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B8653387-DAB0-49C0-B9B4-C1382A26D9B0}" xr6:coauthVersionLast="45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Unidades Vendidas (SEMESTRE)" sheetId="2" r:id="rId1"/>
    <sheet name="Data de Máquinas" sheetId="6" r:id="rId2"/>
    <sheet name="MODELO PL" sheetId="20" r:id="rId3"/>
    <sheet name="DATOS SIMULADOS" sheetId="22" r:id="rId4"/>
    <sheet name="DATOS FINALES" sheetId="19" r:id="rId5"/>
    <sheet name="Datos M1" sheetId="5" r:id="rId6"/>
    <sheet name="Datos M2" sheetId="7" r:id="rId7"/>
    <sheet name="Datos M3" sheetId="8" r:id="rId8"/>
    <sheet name="Datos M4" sheetId="10" r:id="rId9"/>
    <sheet name="Datos M5" sheetId="11" r:id="rId10"/>
    <sheet name="Datos M6" sheetId="12" r:id="rId11"/>
    <sheet name="Datos M7" sheetId="14" r:id="rId12"/>
    <sheet name="Datos M8" sheetId="15" r:id="rId13"/>
    <sheet name="Datos M9" sheetId="17" r:id="rId14"/>
    <sheet name="Datos M10" sheetId="18" r:id="rId15"/>
  </sheets>
  <definedNames>
    <definedName name="_xlnm._FilterDatabase" localSheetId="3" hidden="1">'DATOS SIMULADOS'!$A$2:$K$202</definedName>
    <definedName name="_xlnm._FilterDatabase" localSheetId="2" hidden="1">'MODELO PL'!$A$2:$K$101</definedName>
    <definedName name="_xlnm._FilterDatabase" localSheetId="0" hidden="1">'Unidades Vendidas (SEMESTRE)'!$A$1:$A$370</definedName>
    <definedName name="solver_ctp1" hidden="1">0</definedName>
    <definedName name="solver_ctp2" hidden="1">0</definedName>
    <definedName name="solver_disp" hidden="1">1</definedName>
    <definedName name="solver_eval" hidden="1">0</definedName>
    <definedName name="solver_lcens" hidden="1">-1E+30</definedName>
    <definedName name="solver_lcut" hidden="1">-1E+30</definedName>
    <definedName name="solver_nssim" hidden="1">-1</definedName>
    <definedName name="solver_ntri" hidden="1">1000</definedName>
    <definedName name="solver_rcp" hidden="1">0</definedName>
    <definedName name="solver_rsmp" hidden="1">2</definedName>
    <definedName name="solver_sclt" hidden="1">100</definedName>
    <definedName name="solver_seed" hidden="1">0</definedName>
    <definedName name="solver_ucens" hidden="1">1E+30</definedName>
    <definedName name="solver_ucut" hidden="1">1E+30</definedName>
    <definedName name="solveri_ISpMarker1" hidden="1">"RiskSolver.UI.Charts.Marker:100;3;1;1;1;51;204;204;Marker 1;"</definedName>
    <definedName name="solveri_ISpMarkers" hidden="1">"RiskSolver.UI.Charts.Markers:1"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0" i="20" l="1"/>
  <c r="O115" i="20"/>
  <c r="O116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8" i="20"/>
  <c r="O159" i="20"/>
  <c r="O162" i="20"/>
  <c r="O163" i="20"/>
  <c r="O166" i="20"/>
  <c r="O167" i="20"/>
  <c r="O168" i="20"/>
  <c r="O169" i="20"/>
  <c r="O170" i="20"/>
  <c r="O171" i="20"/>
  <c r="O172" i="20"/>
  <c r="O174" i="20"/>
  <c r="O175" i="20"/>
  <c r="O176" i="20"/>
  <c r="O177" i="20"/>
  <c r="O178" i="20"/>
  <c r="O179" i="20"/>
  <c r="O180" i="20"/>
  <c r="O182" i="20"/>
  <c r="O183" i="20"/>
  <c r="O184" i="20"/>
  <c r="O185" i="20"/>
  <c r="O187" i="20"/>
  <c r="O188" i="20"/>
  <c r="O189" i="20"/>
  <c r="O191" i="20"/>
  <c r="O192" i="20"/>
  <c r="O194" i="20"/>
  <c r="O195" i="20"/>
  <c r="O196" i="20"/>
  <c r="O197" i="20"/>
  <c r="O199" i="20"/>
  <c r="O200" i="20"/>
  <c r="O201" i="20"/>
  <c r="O203" i="20"/>
  <c r="O205" i="20"/>
  <c r="O206" i="20"/>
  <c r="O207" i="20"/>
  <c r="O109" i="20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2" i="2"/>
  <c r="H211" i="20"/>
  <c r="H219" i="20" s="1"/>
  <c r="C209" i="20"/>
  <c r="C211" i="20" s="1"/>
  <c r="C219" i="20" s="1"/>
  <c r="D209" i="20"/>
  <c r="D211" i="20" s="1"/>
  <c r="D219" i="20" s="1"/>
  <c r="E209" i="20"/>
  <c r="E211" i="20" s="1"/>
  <c r="E219" i="20" s="1"/>
  <c r="F209" i="20"/>
  <c r="F211" i="20" s="1"/>
  <c r="F219" i="20" s="1"/>
  <c r="G209" i="20"/>
  <c r="G211" i="20" s="1"/>
  <c r="G219" i="20" s="1"/>
  <c r="H209" i="20"/>
  <c r="I209" i="20"/>
  <c r="I211" i="20" s="1"/>
  <c r="I219" i="20" s="1"/>
  <c r="J209" i="20"/>
  <c r="K209" i="20"/>
  <c r="K211" i="20" s="1"/>
  <c r="K219" i="20" s="1"/>
  <c r="B209" i="20"/>
  <c r="B211" i="20" s="1"/>
  <c r="B219" i="20" s="1"/>
  <c r="C213" i="20"/>
  <c r="D213" i="20"/>
  <c r="E213" i="20"/>
  <c r="F213" i="20"/>
  <c r="G213" i="20"/>
  <c r="H213" i="20"/>
  <c r="I213" i="20"/>
  <c r="J213" i="20"/>
  <c r="K213" i="20"/>
  <c r="B213" i="20"/>
  <c r="L110" i="20"/>
  <c r="L111" i="20"/>
  <c r="O111" i="20" s="1"/>
  <c r="L112" i="20"/>
  <c r="O112" i="20" s="1"/>
  <c r="L113" i="20"/>
  <c r="O113" i="20" s="1"/>
  <c r="L114" i="20"/>
  <c r="O114" i="20" s="1"/>
  <c r="L115" i="20"/>
  <c r="L116" i="20"/>
  <c r="L117" i="20"/>
  <c r="O117" i="20" s="1"/>
  <c r="L118" i="20"/>
  <c r="L119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O156" i="20" s="1"/>
  <c r="L157" i="20"/>
  <c r="O157" i="20" s="1"/>
  <c r="L158" i="20"/>
  <c r="L159" i="20"/>
  <c r="L160" i="20"/>
  <c r="O160" i="20" s="1"/>
  <c r="L161" i="20"/>
  <c r="O161" i="20" s="1"/>
  <c r="L162" i="20"/>
  <c r="L163" i="20"/>
  <c r="L164" i="20"/>
  <c r="O164" i="20" s="1"/>
  <c r="L165" i="20"/>
  <c r="O165" i="20" s="1"/>
  <c r="L166" i="20"/>
  <c r="L167" i="20"/>
  <c r="L168" i="20"/>
  <c r="L169" i="20"/>
  <c r="L170" i="20"/>
  <c r="L171" i="20"/>
  <c r="L172" i="20"/>
  <c r="L173" i="20"/>
  <c r="O173" i="20" s="1"/>
  <c r="L174" i="20"/>
  <c r="L175" i="20"/>
  <c r="L176" i="20"/>
  <c r="L177" i="20"/>
  <c r="L178" i="20"/>
  <c r="L179" i="20"/>
  <c r="L180" i="20"/>
  <c r="L181" i="20"/>
  <c r="O181" i="20" s="1"/>
  <c r="L182" i="20"/>
  <c r="L183" i="20"/>
  <c r="L184" i="20"/>
  <c r="L185" i="20"/>
  <c r="L186" i="20"/>
  <c r="O186" i="20" s="1"/>
  <c r="L187" i="20"/>
  <c r="L188" i="20"/>
  <c r="L189" i="20"/>
  <c r="L190" i="20"/>
  <c r="O190" i="20" s="1"/>
  <c r="L191" i="20"/>
  <c r="L192" i="20"/>
  <c r="L193" i="20"/>
  <c r="O193" i="20" s="1"/>
  <c r="L194" i="20"/>
  <c r="L195" i="20"/>
  <c r="L196" i="20"/>
  <c r="L197" i="20"/>
  <c r="L198" i="20"/>
  <c r="O198" i="20" s="1"/>
  <c r="L199" i="20"/>
  <c r="L200" i="20"/>
  <c r="L201" i="20"/>
  <c r="L202" i="20"/>
  <c r="O202" i="20" s="1"/>
  <c r="L203" i="20"/>
  <c r="L204" i="20"/>
  <c r="O204" i="20" s="1"/>
  <c r="L205" i="20"/>
  <c r="L206" i="20"/>
  <c r="L207" i="20"/>
  <c r="L109" i="20"/>
  <c r="B105" i="20" l="1"/>
  <c r="J211" i="20"/>
  <c r="J219" i="20" s="1"/>
  <c r="C38" i="6" l="1"/>
  <c r="B4" i="19"/>
  <c r="C4" i="19"/>
  <c r="D4" i="19"/>
  <c r="E4" i="19"/>
  <c r="F4" i="19"/>
  <c r="G4" i="19"/>
  <c r="H4" i="19"/>
  <c r="I4" i="19"/>
  <c r="J4" i="19"/>
  <c r="K4" i="19"/>
  <c r="B5" i="19"/>
  <c r="C5" i="19"/>
  <c r="D5" i="19"/>
  <c r="E5" i="19"/>
  <c r="F5" i="19"/>
  <c r="G5" i="19"/>
  <c r="H5" i="19"/>
  <c r="I5" i="19"/>
  <c r="J5" i="19"/>
  <c r="K5" i="19"/>
  <c r="B6" i="19"/>
  <c r="C6" i="19"/>
  <c r="D6" i="19"/>
  <c r="E6" i="19"/>
  <c r="F6" i="19"/>
  <c r="G6" i="19"/>
  <c r="H6" i="19"/>
  <c r="I6" i="19"/>
  <c r="J6" i="19"/>
  <c r="K6" i="19"/>
  <c r="B7" i="19"/>
  <c r="C7" i="19"/>
  <c r="D7" i="19"/>
  <c r="E7" i="19"/>
  <c r="F7" i="19"/>
  <c r="G7" i="19"/>
  <c r="H7" i="19"/>
  <c r="I7" i="19"/>
  <c r="J7" i="19"/>
  <c r="K7" i="19"/>
  <c r="B8" i="19"/>
  <c r="C8" i="19"/>
  <c r="D8" i="19"/>
  <c r="E8" i="19"/>
  <c r="F8" i="19"/>
  <c r="G8" i="19"/>
  <c r="H8" i="19"/>
  <c r="I8" i="19"/>
  <c r="J8" i="19"/>
  <c r="K8" i="19"/>
  <c r="B9" i="19"/>
  <c r="C9" i="19"/>
  <c r="D9" i="19"/>
  <c r="E9" i="19"/>
  <c r="F9" i="19"/>
  <c r="G9" i="19"/>
  <c r="H9" i="19"/>
  <c r="I9" i="19"/>
  <c r="J9" i="19"/>
  <c r="K9" i="19"/>
  <c r="B10" i="19"/>
  <c r="C10" i="19"/>
  <c r="D10" i="19"/>
  <c r="E10" i="19"/>
  <c r="F10" i="19"/>
  <c r="G10" i="19"/>
  <c r="H10" i="19"/>
  <c r="I10" i="19"/>
  <c r="J10" i="19"/>
  <c r="K10" i="19"/>
  <c r="B11" i="19"/>
  <c r="C11" i="19"/>
  <c r="D11" i="19"/>
  <c r="E11" i="19"/>
  <c r="F11" i="19"/>
  <c r="G11" i="19"/>
  <c r="H11" i="19"/>
  <c r="I11" i="19"/>
  <c r="J11" i="19"/>
  <c r="K11" i="19"/>
  <c r="B12" i="19"/>
  <c r="C12" i="19"/>
  <c r="D12" i="19"/>
  <c r="E12" i="19"/>
  <c r="F12" i="19"/>
  <c r="G12" i="19"/>
  <c r="H12" i="19"/>
  <c r="I12" i="19"/>
  <c r="J12" i="19"/>
  <c r="K12" i="19"/>
  <c r="B13" i="19"/>
  <c r="C13" i="19"/>
  <c r="D13" i="19"/>
  <c r="E13" i="19"/>
  <c r="F13" i="19"/>
  <c r="G13" i="19"/>
  <c r="H13" i="19"/>
  <c r="I13" i="19"/>
  <c r="J13" i="19"/>
  <c r="K13" i="19"/>
  <c r="B14" i="19"/>
  <c r="C14" i="19"/>
  <c r="D14" i="19"/>
  <c r="E14" i="19"/>
  <c r="F14" i="19"/>
  <c r="G14" i="19"/>
  <c r="H14" i="19"/>
  <c r="I14" i="19"/>
  <c r="J14" i="19"/>
  <c r="K14" i="19"/>
  <c r="B15" i="19"/>
  <c r="C15" i="19"/>
  <c r="D15" i="19"/>
  <c r="E15" i="19"/>
  <c r="F15" i="19"/>
  <c r="G15" i="19"/>
  <c r="H15" i="19"/>
  <c r="I15" i="19"/>
  <c r="J15" i="19"/>
  <c r="K15" i="19"/>
  <c r="B16" i="19"/>
  <c r="C16" i="19"/>
  <c r="D16" i="19"/>
  <c r="E16" i="19"/>
  <c r="F16" i="19"/>
  <c r="G16" i="19"/>
  <c r="H16" i="19"/>
  <c r="I16" i="19"/>
  <c r="J16" i="19"/>
  <c r="K16" i="19"/>
  <c r="B17" i="19"/>
  <c r="C17" i="19"/>
  <c r="D17" i="19"/>
  <c r="E17" i="19"/>
  <c r="F17" i="19"/>
  <c r="G17" i="19"/>
  <c r="H17" i="19"/>
  <c r="I17" i="19"/>
  <c r="J17" i="19"/>
  <c r="K17" i="19"/>
  <c r="B18" i="19"/>
  <c r="C18" i="19"/>
  <c r="D18" i="19"/>
  <c r="E18" i="19"/>
  <c r="F18" i="19"/>
  <c r="G18" i="19"/>
  <c r="H18" i="19"/>
  <c r="I18" i="19"/>
  <c r="J18" i="19"/>
  <c r="K18" i="19"/>
  <c r="B19" i="19"/>
  <c r="C19" i="19"/>
  <c r="D19" i="19"/>
  <c r="E19" i="19"/>
  <c r="F19" i="19"/>
  <c r="G19" i="19"/>
  <c r="H19" i="19"/>
  <c r="I19" i="19"/>
  <c r="J19" i="19"/>
  <c r="K19" i="19"/>
  <c r="B20" i="19"/>
  <c r="C20" i="19"/>
  <c r="D20" i="19"/>
  <c r="E20" i="19"/>
  <c r="F20" i="19"/>
  <c r="G20" i="19"/>
  <c r="H20" i="19"/>
  <c r="I20" i="19"/>
  <c r="J20" i="19"/>
  <c r="K20" i="19"/>
  <c r="B21" i="19"/>
  <c r="C21" i="19"/>
  <c r="D21" i="19"/>
  <c r="E21" i="19"/>
  <c r="F21" i="19"/>
  <c r="G21" i="19"/>
  <c r="H21" i="19"/>
  <c r="I21" i="19"/>
  <c r="J21" i="19"/>
  <c r="K21" i="19"/>
  <c r="B22" i="19"/>
  <c r="C22" i="19"/>
  <c r="D22" i="19"/>
  <c r="E22" i="19"/>
  <c r="F22" i="19"/>
  <c r="G22" i="19"/>
  <c r="H22" i="19"/>
  <c r="I22" i="19"/>
  <c r="J22" i="19"/>
  <c r="K22" i="19"/>
  <c r="B23" i="19"/>
  <c r="C23" i="19"/>
  <c r="D23" i="19"/>
  <c r="E23" i="19"/>
  <c r="F23" i="19"/>
  <c r="G23" i="19"/>
  <c r="H23" i="19"/>
  <c r="I23" i="19"/>
  <c r="J23" i="19"/>
  <c r="K23" i="19"/>
  <c r="B24" i="19"/>
  <c r="C24" i="19"/>
  <c r="D24" i="19"/>
  <c r="E24" i="19"/>
  <c r="F24" i="19"/>
  <c r="G24" i="19"/>
  <c r="H24" i="19"/>
  <c r="I24" i="19"/>
  <c r="J24" i="19"/>
  <c r="K24" i="19"/>
  <c r="B25" i="19"/>
  <c r="C25" i="19"/>
  <c r="D25" i="19"/>
  <c r="E25" i="19"/>
  <c r="F25" i="19"/>
  <c r="G25" i="19"/>
  <c r="H25" i="19"/>
  <c r="I25" i="19"/>
  <c r="J25" i="19"/>
  <c r="K25" i="19"/>
  <c r="B26" i="19"/>
  <c r="C26" i="19"/>
  <c r="D26" i="19"/>
  <c r="E26" i="19"/>
  <c r="F26" i="19"/>
  <c r="G26" i="19"/>
  <c r="H26" i="19"/>
  <c r="I26" i="19"/>
  <c r="J26" i="19"/>
  <c r="K26" i="19"/>
  <c r="B27" i="19"/>
  <c r="C27" i="19"/>
  <c r="D27" i="19"/>
  <c r="E27" i="19"/>
  <c r="F27" i="19"/>
  <c r="G27" i="19"/>
  <c r="H27" i="19"/>
  <c r="I27" i="19"/>
  <c r="J27" i="19"/>
  <c r="K27" i="19"/>
  <c r="B28" i="19"/>
  <c r="C28" i="19"/>
  <c r="D28" i="19"/>
  <c r="E28" i="19"/>
  <c r="F28" i="19"/>
  <c r="G28" i="19"/>
  <c r="H28" i="19"/>
  <c r="I28" i="19"/>
  <c r="J28" i="19"/>
  <c r="K28" i="19"/>
  <c r="B29" i="19"/>
  <c r="C29" i="19"/>
  <c r="D29" i="19"/>
  <c r="E29" i="19"/>
  <c r="F29" i="19"/>
  <c r="G29" i="19"/>
  <c r="H29" i="19"/>
  <c r="I29" i="19"/>
  <c r="J29" i="19"/>
  <c r="K29" i="19"/>
  <c r="B30" i="19"/>
  <c r="C30" i="19"/>
  <c r="D30" i="19"/>
  <c r="E30" i="19"/>
  <c r="F30" i="19"/>
  <c r="G30" i="19"/>
  <c r="H30" i="19"/>
  <c r="I30" i="19"/>
  <c r="J30" i="19"/>
  <c r="K30" i="19"/>
  <c r="B31" i="19"/>
  <c r="C31" i="19"/>
  <c r="D31" i="19"/>
  <c r="E31" i="19"/>
  <c r="F31" i="19"/>
  <c r="G31" i="19"/>
  <c r="H31" i="19"/>
  <c r="I31" i="19"/>
  <c r="J31" i="19"/>
  <c r="K31" i="19"/>
  <c r="B32" i="19"/>
  <c r="C32" i="19"/>
  <c r="D32" i="19"/>
  <c r="E32" i="19"/>
  <c r="F32" i="19"/>
  <c r="G32" i="19"/>
  <c r="H32" i="19"/>
  <c r="I32" i="19"/>
  <c r="J32" i="19"/>
  <c r="K32" i="19"/>
  <c r="B33" i="19"/>
  <c r="C33" i="19"/>
  <c r="D33" i="19"/>
  <c r="E33" i="19"/>
  <c r="F33" i="19"/>
  <c r="G33" i="19"/>
  <c r="H33" i="19"/>
  <c r="I33" i="19"/>
  <c r="J33" i="19"/>
  <c r="K33" i="19"/>
  <c r="B34" i="19"/>
  <c r="C34" i="19"/>
  <c r="D34" i="19"/>
  <c r="E34" i="19"/>
  <c r="F34" i="19"/>
  <c r="G34" i="19"/>
  <c r="H34" i="19"/>
  <c r="I34" i="19"/>
  <c r="J34" i="19"/>
  <c r="K34" i="19"/>
  <c r="B35" i="19"/>
  <c r="C35" i="19"/>
  <c r="D35" i="19"/>
  <c r="E35" i="19"/>
  <c r="F35" i="19"/>
  <c r="G35" i="19"/>
  <c r="H35" i="19"/>
  <c r="I35" i="19"/>
  <c r="J35" i="19"/>
  <c r="K35" i="19"/>
  <c r="B36" i="19"/>
  <c r="C36" i="19"/>
  <c r="D36" i="19"/>
  <c r="E36" i="19"/>
  <c r="F36" i="19"/>
  <c r="G36" i="19"/>
  <c r="H36" i="19"/>
  <c r="I36" i="19"/>
  <c r="J36" i="19"/>
  <c r="K36" i="19"/>
  <c r="B37" i="19"/>
  <c r="C37" i="19"/>
  <c r="D37" i="19"/>
  <c r="E37" i="19"/>
  <c r="F37" i="19"/>
  <c r="G37" i="19"/>
  <c r="H37" i="19"/>
  <c r="I37" i="19"/>
  <c r="J37" i="19"/>
  <c r="K37" i="19"/>
  <c r="B38" i="19"/>
  <c r="C38" i="19"/>
  <c r="D38" i="19"/>
  <c r="E38" i="19"/>
  <c r="F38" i="19"/>
  <c r="G38" i="19"/>
  <c r="H38" i="19"/>
  <c r="I38" i="19"/>
  <c r="J38" i="19"/>
  <c r="K38" i="19"/>
  <c r="B39" i="19"/>
  <c r="C39" i="19"/>
  <c r="D39" i="19"/>
  <c r="E39" i="19"/>
  <c r="F39" i="19"/>
  <c r="G39" i="19"/>
  <c r="H39" i="19"/>
  <c r="I39" i="19"/>
  <c r="J39" i="19"/>
  <c r="K39" i="19"/>
  <c r="B40" i="19"/>
  <c r="C40" i="19"/>
  <c r="D40" i="19"/>
  <c r="E40" i="19"/>
  <c r="F40" i="19"/>
  <c r="G40" i="19"/>
  <c r="H40" i="19"/>
  <c r="I40" i="19"/>
  <c r="J40" i="19"/>
  <c r="K40" i="19"/>
  <c r="B41" i="19"/>
  <c r="C41" i="19"/>
  <c r="D41" i="19"/>
  <c r="E41" i="19"/>
  <c r="F41" i="19"/>
  <c r="G41" i="19"/>
  <c r="H41" i="19"/>
  <c r="I41" i="19"/>
  <c r="J41" i="19"/>
  <c r="K41" i="19"/>
  <c r="B42" i="19"/>
  <c r="C42" i="19"/>
  <c r="D42" i="19"/>
  <c r="E42" i="19"/>
  <c r="F42" i="19"/>
  <c r="G42" i="19"/>
  <c r="H42" i="19"/>
  <c r="I42" i="19"/>
  <c r="J42" i="19"/>
  <c r="K42" i="19"/>
  <c r="B43" i="19"/>
  <c r="C43" i="19"/>
  <c r="D43" i="19"/>
  <c r="E43" i="19"/>
  <c r="F43" i="19"/>
  <c r="G43" i="19"/>
  <c r="H43" i="19"/>
  <c r="I43" i="19"/>
  <c r="J43" i="19"/>
  <c r="K43" i="19"/>
  <c r="B44" i="19"/>
  <c r="C44" i="19"/>
  <c r="D44" i="19"/>
  <c r="E44" i="19"/>
  <c r="F44" i="19"/>
  <c r="G44" i="19"/>
  <c r="H44" i="19"/>
  <c r="I44" i="19"/>
  <c r="J44" i="19"/>
  <c r="K44" i="19"/>
  <c r="B45" i="19"/>
  <c r="C45" i="19"/>
  <c r="D45" i="19"/>
  <c r="E45" i="19"/>
  <c r="F45" i="19"/>
  <c r="G45" i="19"/>
  <c r="H45" i="19"/>
  <c r="I45" i="19"/>
  <c r="J45" i="19"/>
  <c r="K45" i="19"/>
  <c r="B46" i="19"/>
  <c r="C46" i="19"/>
  <c r="D46" i="19"/>
  <c r="E46" i="19"/>
  <c r="F46" i="19"/>
  <c r="G46" i="19"/>
  <c r="H46" i="19"/>
  <c r="I46" i="19"/>
  <c r="J46" i="19"/>
  <c r="K46" i="19"/>
  <c r="B47" i="19"/>
  <c r="C47" i="19"/>
  <c r="D47" i="19"/>
  <c r="E47" i="19"/>
  <c r="F47" i="19"/>
  <c r="G47" i="19"/>
  <c r="H47" i="19"/>
  <c r="I47" i="19"/>
  <c r="J47" i="19"/>
  <c r="K47" i="19"/>
  <c r="B48" i="19"/>
  <c r="C48" i="19"/>
  <c r="D48" i="19"/>
  <c r="E48" i="19"/>
  <c r="F48" i="19"/>
  <c r="G48" i="19"/>
  <c r="H48" i="19"/>
  <c r="I48" i="19"/>
  <c r="J48" i="19"/>
  <c r="K48" i="19"/>
  <c r="B49" i="19"/>
  <c r="C49" i="19"/>
  <c r="D49" i="19"/>
  <c r="E49" i="19"/>
  <c r="F49" i="19"/>
  <c r="G49" i="19"/>
  <c r="H49" i="19"/>
  <c r="I49" i="19"/>
  <c r="J49" i="19"/>
  <c r="K49" i="19"/>
  <c r="B50" i="19"/>
  <c r="C50" i="19"/>
  <c r="D50" i="19"/>
  <c r="E50" i="19"/>
  <c r="F50" i="19"/>
  <c r="G50" i="19"/>
  <c r="H50" i="19"/>
  <c r="I50" i="19"/>
  <c r="J50" i="19"/>
  <c r="K50" i="19"/>
  <c r="B51" i="19"/>
  <c r="C51" i="19"/>
  <c r="D51" i="19"/>
  <c r="E51" i="19"/>
  <c r="F51" i="19"/>
  <c r="G51" i="19"/>
  <c r="H51" i="19"/>
  <c r="I51" i="19"/>
  <c r="J51" i="19"/>
  <c r="K51" i="19"/>
  <c r="B52" i="19"/>
  <c r="C52" i="19"/>
  <c r="D52" i="19"/>
  <c r="E52" i="19"/>
  <c r="F52" i="19"/>
  <c r="G52" i="19"/>
  <c r="H52" i="19"/>
  <c r="I52" i="19"/>
  <c r="J52" i="19"/>
  <c r="K52" i="19"/>
  <c r="B53" i="19"/>
  <c r="C53" i="19"/>
  <c r="D53" i="19"/>
  <c r="E53" i="19"/>
  <c r="F53" i="19"/>
  <c r="G53" i="19"/>
  <c r="H53" i="19"/>
  <c r="I53" i="19"/>
  <c r="J53" i="19"/>
  <c r="K53" i="19"/>
  <c r="B54" i="19"/>
  <c r="C54" i="19"/>
  <c r="D54" i="19"/>
  <c r="E54" i="19"/>
  <c r="F54" i="19"/>
  <c r="G54" i="19"/>
  <c r="H54" i="19"/>
  <c r="I54" i="19"/>
  <c r="J54" i="19"/>
  <c r="K54" i="19"/>
  <c r="B55" i="19"/>
  <c r="C55" i="19"/>
  <c r="D55" i="19"/>
  <c r="E55" i="19"/>
  <c r="F55" i="19"/>
  <c r="G55" i="19"/>
  <c r="H55" i="19"/>
  <c r="I55" i="19"/>
  <c r="J55" i="19"/>
  <c r="K55" i="19"/>
  <c r="B56" i="19"/>
  <c r="C56" i="19"/>
  <c r="D56" i="19"/>
  <c r="E56" i="19"/>
  <c r="F56" i="19"/>
  <c r="G56" i="19"/>
  <c r="H56" i="19"/>
  <c r="I56" i="19"/>
  <c r="J56" i="19"/>
  <c r="K56" i="19"/>
  <c r="B57" i="19"/>
  <c r="C57" i="19"/>
  <c r="D57" i="19"/>
  <c r="E57" i="19"/>
  <c r="F57" i="19"/>
  <c r="G57" i="19"/>
  <c r="H57" i="19"/>
  <c r="I57" i="19"/>
  <c r="J57" i="19"/>
  <c r="K57" i="19"/>
  <c r="B58" i="19"/>
  <c r="C58" i="19"/>
  <c r="D58" i="19"/>
  <c r="E58" i="19"/>
  <c r="F58" i="19"/>
  <c r="G58" i="19"/>
  <c r="H58" i="19"/>
  <c r="I58" i="19"/>
  <c r="J58" i="19"/>
  <c r="K58" i="19"/>
  <c r="B59" i="19"/>
  <c r="C59" i="19"/>
  <c r="D59" i="19"/>
  <c r="E59" i="19"/>
  <c r="F59" i="19"/>
  <c r="G59" i="19"/>
  <c r="H59" i="19"/>
  <c r="I59" i="19"/>
  <c r="J59" i="19"/>
  <c r="K59" i="19"/>
  <c r="B60" i="19"/>
  <c r="C60" i="19"/>
  <c r="D60" i="19"/>
  <c r="E60" i="19"/>
  <c r="F60" i="19"/>
  <c r="G60" i="19"/>
  <c r="H60" i="19"/>
  <c r="I60" i="19"/>
  <c r="J60" i="19"/>
  <c r="K60" i="19"/>
  <c r="B61" i="19"/>
  <c r="C61" i="19"/>
  <c r="D61" i="19"/>
  <c r="E61" i="19"/>
  <c r="F61" i="19"/>
  <c r="G61" i="19"/>
  <c r="H61" i="19"/>
  <c r="I61" i="19"/>
  <c r="J61" i="19"/>
  <c r="K61" i="19"/>
  <c r="B62" i="19"/>
  <c r="C62" i="19"/>
  <c r="D62" i="19"/>
  <c r="E62" i="19"/>
  <c r="F62" i="19"/>
  <c r="G62" i="19"/>
  <c r="H62" i="19"/>
  <c r="I62" i="19"/>
  <c r="J62" i="19"/>
  <c r="K62" i="19"/>
  <c r="B63" i="19"/>
  <c r="C63" i="19"/>
  <c r="D63" i="19"/>
  <c r="E63" i="19"/>
  <c r="F63" i="19"/>
  <c r="G63" i="19"/>
  <c r="H63" i="19"/>
  <c r="I63" i="19"/>
  <c r="J63" i="19"/>
  <c r="K63" i="19"/>
  <c r="B64" i="19"/>
  <c r="C64" i="19"/>
  <c r="D64" i="19"/>
  <c r="E64" i="19"/>
  <c r="F64" i="19"/>
  <c r="G64" i="19"/>
  <c r="H64" i="19"/>
  <c r="I64" i="19"/>
  <c r="J64" i="19"/>
  <c r="K64" i="19"/>
  <c r="B65" i="19"/>
  <c r="C65" i="19"/>
  <c r="D65" i="19"/>
  <c r="E65" i="19"/>
  <c r="F65" i="19"/>
  <c r="G65" i="19"/>
  <c r="H65" i="19"/>
  <c r="I65" i="19"/>
  <c r="J65" i="19"/>
  <c r="K65" i="19"/>
  <c r="B66" i="19"/>
  <c r="C66" i="19"/>
  <c r="D66" i="19"/>
  <c r="E66" i="19"/>
  <c r="F66" i="19"/>
  <c r="G66" i="19"/>
  <c r="H66" i="19"/>
  <c r="I66" i="19"/>
  <c r="J66" i="19"/>
  <c r="K66" i="19"/>
  <c r="B67" i="19"/>
  <c r="C67" i="19"/>
  <c r="D67" i="19"/>
  <c r="E67" i="19"/>
  <c r="F67" i="19"/>
  <c r="G67" i="19"/>
  <c r="H67" i="19"/>
  <c r="I67" i="19"/>
  <c r="J67" i="19"/>
  <c r="K67" i="19"/>
  <c r="B68" i="19"/>
  <c r="C68" i="19"/>
  <c r="D68" i="19"/>
  <c r="E68" i="19"/>
  <c r="F68" i="19"/>
  <c r="G68" i="19"/>
  <c r="H68" i="19"/>
  <c r="I68" i="19"/>
  <c r="J68" i="19"/>
  <c r="K68" i="19"/>
  <c r="B69" i="19"/>
  <c r="C69" i="19"/>
  <c r="D69" i="19"/>
  <c r="E69" i="19"/>
  <c r="F69" i="19"/>
  <c r="G69" i="19"/>
  <c r="H69" i="19"/>
  <c r="I69" i="19"/>
  <c r="J69" i="19"/>
  <c r="K69" i="19"/>
  <c r="B70" i="19"/>
  <c r="C70" i="19"/>
  <c r="D70" i="19"/>
  <c r="E70" i="19"/>
  <c r="F70" i="19"/>
  <c r="G70" i="19"/>
  <c r="H70" i="19"/>
  <c r="I70" i="19"/>
  <c r="J70" i="19"/>
  <c r="K70" i="19"/>
  <c r="B71" i="19"/>
  <c r="C71" i="19"/>
  <c r="D71" i="19"/>
  <c r="E71" i="19"/>
  <c r="F71" i="19"/>
  <c r="G71" i="19"/>
  <c r="H71" i="19"/>
  <c r="I71" i="19"/>
  <c r="J71" i="19"/>
  <c r="K71" i="19"/>
  <c r="B72" i="19"/>
  <c r="C72" i="19"/>
  <c r="D72" i="19"/>
  <c r="E72" i="19"/>
  <c r="F72" i="19"/>
  <c r="G72" i="19"/>
  <c r="H72" i="19"/>
  <c r="I72" i="19"/>
  <c r="J72" i="19"/>
  <c r="K72" i="19"/>
  <c r="B73" i="19"/>
  <c r="C73" i="19"/>
  <c r="D73" i="19"/>
  <c r="E73" i="19"/>
  <c r="F73" i="19"/>
  <c r="G73" i="19"/>
  <c r="H73" i="19"/>
  <c r="I73" i="19"/>
  <c r="J73" i="19"/>
  <c r="K73" i="19"/>
  <c r="B74" i="19"/>
  <c r="C74" i="19"/>
  <c r="D74" i="19"/>
  <c r="E74" i="19"/>
  <c r="F74" i="19"/>
  <c r="G74" i="19"/>
  <c r="H74" i="19"/>
  <c r="I74" i="19"/>
  <c r="J74" i="19"/>
  <c r="K74" i="19"/>
  <c r="B75" i="19"/>
  <c r="C75" i="19"/>
  <c r="D75" i="19"/>
  <c r="E75" i="19"/>
  <c r="F75" i="19"/>
  <c r="G75" i="19"/>
  <c r="H75" i="19"/>
  <c r="I75" i="19"/>
  <c r="J75" i="19"/>
  <c r="K75" i="19"/>
  <c r="B76" i="19"/>
  <c r="C76" i="19"/>
  <c r="D76" i="19"/>
  <c r="E76" i="19"/>
  <c r="F76" i="19"/>
  <c r="G76" i="19"/>
  <c r="H76" i="19"/>
  <c r="I76" i="19"/>
  <c r="J76" i="19"/>
  <c r="K76" i="19"/>
  <c r="B77" i="19"/>
  <c r="C77" i="19"/>
  <c r="D77" i="19"/>
  <c r="E77" i="19"/>
  <c r="F77" i="19"/>
  <c r="G77" i="19"/>
  <c r="H77" i="19"/>
  <c r="I77" i="19"/>
  <c r="J77" i="19"/>
  <c r="K77" i="19"/>
  <c r="B78" i="19"/>
  <c r="C78" i="19"/>
  <c r="D78" i="19"/>
  <c r="E78" i="19"/>
  <c r="F78" i="19"/>
  <c r="G78" i="19"/>
  <c r="H78" i="19"/>
  <c r="I78" i="19"/>
  <c r="J78" i="19"/>
  <c r="K78" i="19"/>
  <c r="B79" i="19"/>
  <c r="C79" i="19"/>
  <c r="D79" i="19"/>
  <c r="E79" i="19"/>
  <c r="F79" i="19"/>
  <c r="G79" i="19"/>
  <c r="H79" i="19"/>
  <c r="I79" i="19"/>
  <c r="J79" i="19"/>
  <c r="K79" i="19"/>
  <c r="B80" i="19"/>
  <c r="C80" i="19"/>
  <c r="D80" i="19"/>
  <c r="E80" i="19"/>
  <c r="F80" i="19"/>
  <c r="G80" i="19"/>
  <c r="H80" i="19"/>
  <c r="I80" i="19"/>
  <c r="J80" i="19"/>
  <c r="K80" i="19"/>
  <c r="B81" i="19"/>
  <c r="C81" i="19"/>
  <c r="D81" i="19"/>
  <c r="E81" i="19"/>
  <c r="F81" i="19"/>
  <c r="G81" i="19"/>
  <c r="H81" i="19"/>
  <c r="I81" i="19"/>
  <c r="J81" i="19"/>
  <c r="K81" i="19"/>
  <c r="B82" i="19"/>
  <c r="C82" i="19"/>
  <c r="D82" i="19"/>
  <c r="E82" i="19"/>
  <c r="F82" i="19"/>
  <c r="G82" i="19"/>
  <c r="H82" i="19"/>
  <c r="I82" i="19"/>
  <c r="J82" i="19"/>
  <c r="K82" i="19"/>
  <c r="B83" i="19"/>
  <c r="C83" i="19"/>
  <c r="D83" i="19"/>
  <c r="E83" i="19"/>
  <c r="F83" i="19"/>
  <c r="G83" i="19"/>
  <c r="H83" i="19"/>
  <c r="I83" i="19"/>
  <c r="J83" i="19"/>
  <c r="K83" i="19"/>
  <c r="B84" i="19"/>
  <c r="C84" i="19"/>
  <c r="D84" i="19"/>
  <c r="E84" i="19"/>
  <c r="F84" i="19"/>
  <c r="G84" i="19"/>
  <c r="H84" i="19"/>
  <c r="I84" i="19"/>
  <c r="J84" i="19"/>
  <c r="K84" i="19"/>
  <c r="B85" i="19"/>
  <c r="C85" i="19"/>
  <c r="D85" i="19"/>
  <c r="E85" i="19"/>
  <c r="F85" i="19"/>
  <c r="G85" i="19"/>
  <c r="H85" i="19"/>
  <c r="I85" i="19"/>
  <c r="J85" i="19"/>
  <c r="K85" i="19"/>
  <c r="B86" i="19"/>
  <c r="C86" i="19"/>
  <c r="D86" i="19"/>
  <c r="E86" i="19"/>
  <c r="F86" i="19"/>
  <c r="G86" i="19"/>
  <c r="H86" i="19"/>
  <c r="I86" i="19"/>
  <c r="J86" i="19"/>
  <c r="K86" i="19"/>
  <c r="B87" i="19"/>
  <c r="C87" i="19"/>
  <c r="D87" i="19"/>
  <c r="E87" i="19"/>
  <c r="F87" i="19"/>
  <c r="G87" i="19"/>
  <c r="H87" i="19"/>
  <c r="I87" i="19"/>
  <c r="J87" i="19"/>
  <c r="K87" i="19"/>
  <c r="B88" i="19"/>
  <c r="C88" i="19"/>
  <c r="D88" i="19"/>
  <c r="E88" i="19"/>
  <c r="F88" i="19"/>
  <c r="G88" i="19"/>
  <c r="H88" i="19"/>
  <c r="I88" i="19"/>
  <c r="J88" i="19"/>
  <c r="K88" i="19"/>
  <c r="B89" i="19"/>
  <c r="C89" i="19"/>
  <c r="D89" i="19"/>
  <c r="E89" i="19"/>
  <c r="F89" i="19"/>
  <c r="G89" i="19"/>
  <c r="H89" i="19"/>
  <c r="I89" i="19"/>
  <c r="J89" i="19"/>
  <c r="K89" i="19"/>
  <c r="B90" i="19"/>
  <c r="C90" i="19"/>
  <c r="D90" i="19"/>
  <c r="E90" i="19"/>
  <c r="F90" i="19"/>
  <c r="G90" i="19"/>
  <c r="H90" i="19"/>
  <c r="I90" i="19"/>
  <c r="J90" i="19"/>
  <c r="K90" i="19"/>
  <c r="B91" i="19"/>
  <c r="C91" i="19"/>
  <c r="D91" i="19"/>
  <c r="E91" i="19"/>
  <c r="F91" i="19"/>
  <c r="G91" i="19"/>
  <c r="H91" i="19"/>
  <c r="I91" i="19"/>
  <c r="J91" i="19"/>
  <c r="K91" i="19"/>
  <c r="B92" i="19"/>
  <c r="C92" i="19"/>
  <c r="D92" i="19"/>
  <c r="E92" i="19"/>
  <c r="F92" i="19"/>
  <c r="G92" i="19"/>
  <c r="H92" i="19"/>
  <c r="I92" i="19"/>
  <c r="J92" i="19"/>
  <c r="K92" i="19"/>
  <c r="B93" i="19"/>
  <c r="C93" i="19"/>
  <c r="D93" i="19"/>
  <c r="E93" i="19"/>
  <c r="F93" i="19"/>
  <c r="G93" i="19"/>
  <c r="H93" i="19"/>
  <c r="I93" i="19"/>
  <c r="J93" i="19"/>
  <c r="K93" i="19"/>
  <c r="B94" i="19"/>
  <c r="C94" i="19"/>
  <c r="D94" i="19"/>
  <c r="E94" i="19"/>
  <c r="F94" i="19"/>
  <c r="G94" i="19"/>
  <c r="H94" i="19"/>
  <c r="I94" i="19"/>
  <c r="J94" i="19"/>
  <c r="K94" i="19"/>
  <c r="B95" i="19"/>
  <c r="C95" i="19"/>
  <c r="D95" i="19"/>
  <c r="E95" i="19"/>
  <c r="F95" i="19"/>
  <c r="G95" i="19"/>
  <c r="H95" i="19"/>
  <c r="I95" i="19"/>
  <c r="J95" i="19"/>
  <c r="K95" i="19"/>
  <c r="B96" i="19"/>
  <c r="C96" i="19"/>
  <c r="D96" i="19"/>
  <c r="E96" i="19"/>
  <c r="F96" i="19"/>
  <c r="G96" i="19"/>
  <c r="H96" i="19"/>
  <c r="I96" i="19"/>
  <c r="J96" i="19"/>
  <c r="K96" i="19"/>
  <c r="B97" i="19"/>
  <c r="C97" i="19"/>
  <c r="D97" i="19"/>
  <c r="E97" i="19"/>
  <c r="F97" i="19"/>
  <c r="G97" i="19"/>
  <c r="H97" i="19"/>
  <c r="I97" i="19"/>
  <c r="J97" i="19"/>
  <c r="K97" i="19"/>
  <c r="B98" i="19"/>
  <c r="C98" i="19"/>
  <c r="D98" i="19"/>
  <c r="E98" i="19"/>
  <c r="F98" i="19"/>
  <c r="G98" i="19"/>
  <c r="H98" i="19"/>
  <c r="I98" i="19"/>
  <c r="J98" i="19"/>
  <c r="K98" i="19"/>
  <c r="B99" i="19"/>
  <c r="C99" i="19"/>
  <c r="D99" i="19"/>
  <c r="E99" i="19"/>
  <c r="F99" i="19"/>
  <c r="G99" i="19"/>
  <c r="H99" i="19"/>
  <c r="I99" i="19"/>
  <c r="J99" i="19"/>
  <c r="K99" i="19"/>
  <c r="B100" i="19"/>
  <c r="C100" i="19"/>
  <c r="D100" i="19"/>
  <c r="E100" i="19"/>
  <c r="F100" i="19"/>
  <c r="G100" i="19"/>
  <c r="H100" i="19"/>
  <c r="I100" i="19"/>
  <c r="J100" i="19"/>
  <c r="K100" i="19"/>
  <c r="B101" i="19"/>
  <c r="C101" i="19"/>
  <c r="D101" i="19"/>
  <c r="E101" i="19"/>
  <c r="F101" i="19"/>
  <c r="G101" i="19"/>
  <c r="H101" i="19"/>
  <c r="I101" i="19"/>
  <c r="J101" i="19"/>
  <c r="K101" i="19"/>
  <c r="B102" i="19"/>
  <c r="C102" i="19"/>
  <c r="D102" i="19"/>
  <c r="E102" i="19"/>
  <c r="F102" i="19"/>
  <c r="G102" i="19"/>
  <c r="H102" i="19"/>
  <c r="I102" i="19"/>
  <c r="J102" i="19"/>
  <c r="K102" i="19"/>
  <c r="B103" i="19"/>
  <c r="C103" i="19"/>
  <c r="D103" i="19"/>
  <c r="E103" i="19"/>
  <c r="F103" i="19"/>
  <c r="G103" i="19"/>
  <c r="H103" i="19"/>
  <c r="I103" i="19"/>
  <c r="J103" i="19"/>
  <c r="K103" i="19"/>
  <c r="B104" i="19"/>
  <c r="C104" i="19"/>
  <c r="D104" i="19"/>
  <c r="E104" i="19"/>
  <c r="F104" i="19"/>
  <c r="G104" i="19"/>
  <c r="H104" i="19"/>
  <c r="I104" i="19"/>
  <c r="J104" i="19"/>
  <c r="K104" i="19"/>
  <c r="B105" i="19"/>
  <c r="C105" i="19"/>
  <c r="D105" i="19"/>
  <c r="E105" i="19"/>
  <c r="F105" i="19"/>
  <c r="G105" i="19"/>
  <c r="H105" i="19"/>
  <c r="I105" i="19"/>
  <c r="J105" i="19"/>
  <c r="K105" i="19"/>
  <c r="B106" i="19"/>
  <c r="C106" i="19"/>
  <c r="D106" i="19"/>
  <c r="E106" i="19"/>
  <c r="F106" i="19"/>
  <c r="G106" i="19"/>
  <c r="H106" i="19"/>
  <c r="I106" i="19"/>
  <c r="J106" i="19"/>
  <c r="K106" i="19"/>
  <c r="B107" i="19"/>
  <c r="C107" i="19"/>
  <c r="D107" i="19"/>
  <c r="E107" i="19"/>
  <c r="F107" i="19"/>
  <c r="G107" i="19"/>
  <c r="H107" i="19"/>
  <c r="I107" i="19"/>
  <c r="J107" i="19"/>
  <c r="K107" i="19"/>
  <c r="B108" i="19"/>
  <c r="C108" i="19"/>
  <c r="D108" i="19"/>
  <c r="E108" i="19"/>
  <c r="F108" i="19"/>
  <c r="G108" i="19"/>
  <c r="H108" i="19"/>
  <c r="I108" i="19"/>
  <c r="J108" i="19"/>
  <c r="K108" i="19"/>
  <c r="B109" i="19"/>
  <c r="C109" i="19"/>
  <c r="D109" i="19"/>
  <c r="E109" i="19"/>
  <c r="F109" i="19"/>
  <c r="G109" i="19"/>
  <c r="H109" i="19"/>
  <c r="I109" i="19"/>
  <c r="J109" i="19"/>
  <c r="K109" i="19"/>
  <c r="B110" i="19"/>
  <c r="C110" i="19"/>
  <c r="D110" i="19"/>
  <c r="E110" i="19"/>
  <c r="F110" i="19"/>
  <c r="G110" i="19"/>
  <c r="H110" i="19"/>
  <c r="I110" i="19"/>
  <c r="J110" i="19"/>
  <c r="K110" i="19"/>
  <c r="B111" i="19"/>
  <c r="C111" i="19"/>
  <c r="D111" i="19"/>
  <c r="E111" i="19"/>
  <c r="F111" i="19"/>
  <c r="G111" i="19"/>
  <c r="H111" i="19"/>
  <c r="I111" i="19"/>
  <c r="J111" i="19"/>
  <c r="K111" i="19"/>
  <c r="B112" i="19"/>
  <c r="C112" i="19"/>
  <c r="D112" i="19"/>
  <c r="E112" i="19"/>
  <c r="F112" i="19"/>
  <c r="G112" i="19"/>
  <c r="H112" i="19"/>
  <c r="I112" i="19"/>
  <c r="J112" i="19"/>
  <c r="K112" i="19"/>
  <c r="B113" i="19"/>
  <c r="C113" i="19"/>
  <c r="D113" i="19"/>
  <c r="E113" i="19"/>
  <c r="F113" i="19"/>
  <c r="G113" i="19"/>
  <c r="H113" i="19"/>
  <c r="I113" i="19"/>
  <c r="J113" i="19"/>
  <c r="K113" i="19"/>
  <c r="B114" i="19"/>
  <c r="C114" i="19"/>
  <c r="D114" i="19"/>
  <c r="E114" i="19"/>
  <c r="F114" i="19"/>
  <c r="G114" i="19"/>
  <c r="H114" i="19"/>
  <c r="I114" i="19"/>
  <c r="J114" i="19"/>
  <c r="K114" i="19"/>
  <c r="B115" i="19"/>
  <c r="C115" i="19"/>
  <c r="D115" i="19"/>
  <c r="E115" i="19"/>
  <c r="F115" i="19"/>
  <c r="G115" i="19"/>
  <c r="H115" i="19"/>
  <c r="I115" i="19"/>
  <c r="J115" i="19"/>
  <c r="K115" i="19"/>
  <c r="B116" i="19"/>
  <c r="C116" i="19"/>
  <c r="D116" i="19"/>
  <c r="E116" i="19"/>
  <c r="F116" i="19"/>
  <c r="G116" i="19"/>
  <c r="H116" i="19"/>
  <c r="I116" i="19"/>
  <c r="J116" i="19"/>
  <c r="K116" i="19"/>
  <c r="B117" i="19"/>
  <c r="C117" i="19"/>
  <c r="D117" i="19"/>
  <c r="E117" i="19"/>
  <c r="F117" i="19"/>
  <c r="G117" i="19"/>
  <c r="H117" i="19"/>
  <c r="I117" i="19"/>
  <c r="J117" i="19"/>
  <c r="K117" i="19"/>
  <c r="B118" i="19"/>
  <c r="C118" i="19"/>
  <c r="D118" i="19"/>
  <c r="E118" i="19"/>
  <c r="F118" i="19"/>
  <c r="G118" i="19"/>
  <c r="H118" i="19"/>
  <c r="I118" i="19"/>
  <c r="J118" i="19"/>
  <c r="K118" i="19"/>
  <c r="B119" i="19"/>
  <c r="C119" i="19"/>
  <c r="D119" i="19"/>
  <c r="E119" i="19"/>
  <c r="F119" i="19"/>
  <c r="G119" i="19"/>
  <c r="H119" i="19"/>
  <c r="I119" i="19"/>
  <c r="J119" i="19"/>
  <c r="K119" i="19"/>
  <c r="B120" i="19"/>
  <c r="C120" i="19"/>
  <c r="D120" i="19"/>
  <c r="E120" i="19"/>
  <c r="F120" i="19"/>
  <c r="G120" i="19"/>
  <c r="H120" i="19"/>
  <c r="I120" i="19"/>
  <c r="J120" i="19"/>
  <c r="K120" i="19"/>
  <c r="B121" i="19"/>
  <c r="C121" i="19"/>
  <c r="D121" i="19"/>
  <c r="E121" i="19"/>
  <c r="F121" i="19"/>
  <c r="G121" i="19"/>
  <c r="H121" i="19"/>
  <c r="I121" i="19"/>
  <c r="J121" i="19"/>
  <c r="K121" i="19"/>
  <c r="B122" i="19"/>
  <c r="C122" i="19"/>
  <c r="D122" i="19"/>
  <c r="E122" i="19"/>
  <c r="F122" i="19"/>
  <c r="G122" i="19"/>
  <c r="H122" i="19"/>
  <c r="I122" i="19"/>
  <c r="J122" i="19"/>
  <c r="K122" i="19"/>
  <c r="B123" i="19"/>
  <c r="C123" i="19"/>
  <c r="D123" i="19"/>
  <c r="E123" i="19"/>
  <c r="F123" i="19"/>
  <c r="G123" i="19"/>
  <c r="H123" i="19"/>
  <c r="I123" i="19"/>
  <c r="J123" i="19"/>
  <c r="K123" i="19"/>
  <c r="B124" i="19"/>
  <c r="C124" i="19"/>
  <c r="D124" i="19"/>
  <c r="E124" i="19"/>
  <c r="F124" i="19"/>
  <c r="G124" i="19"/>
  <c r="H124" i="19"/>
  <c r="I124" i="19"/>
  <c r="J124" i="19"/>
  <c r="K124" i="19"/>
  <c r="B125" i="19"/>
  <c r="C125" i="19"/>
  <c r="D125" i="19"/>
  <c r="E125" i="19"/>
  <c r="F125" i="19"/>
  <c r="G125" i="19"/>
  <c r="H125" i="19"/>
  <c r="I125" i="19"/>
  <c r="J125" i="19"/>
  <c r="K125" i="19"/>
  <c r="B126" i="19"/>
  <c r="C126" i="19"/>
  <c r="D126" i="19"/>
  <c r="E126" i="19"/>
  <c r="F126" i="19"/>
  <c r="G126" i="19"/>
  <c r="H126" i="19"/>
  <c r="I126" i="19"/>
  <c r="J126" i="19"/>
  <c r="K126" i="19"/>
  <c r="B127" i="19"/>
  <c r="C127" i="19"/>
  <c r="D127" i="19"/>
  <c r="E127" i="19"/>
  <c r="F127" i="19"/>
  <c r="G127" i="19"/>
  <c r="H127" i="19"/>
  <c r="I127" i="19"/>
  <c r="J127" i="19"/>
  <c r="K127" i="19"/>
  <c r="B128" i="19"/>
  <c r="C128" i="19"/>
  <c r="D128" i="19"/>
  <c r="E128" i="19"/>
  <c r="F128" i="19"/>
  <c r="G128" i="19"/>
  <c r="H128" i="19"/>
  <c r="I128" i="19"/>
  <c r="J128" i="19"/>
  <c r="K128" i="19"/>
  <c r="B129" i="19"/>
  <c r="C129" i="19"/>
  <c r="D129" i="19"/>
  <c r="E129" i="19"/>
  <c r="F129" i="19"/>
  <c r="G129" i="19"/>
  <c r="H129" i="19"/>
  <c r="I129" i="19"/>
  <c r="J129" i="19"/>
  <c r="K129" i="19"/>
  <c r="B130" i="19"/>
  <c r="C130" i="19"/>
  <c r="D130" i="19"/>
  <c r="E130" i="19"/>
  <c r="F130" i="19"/>
  <c r="G130" i="19"/>
  <c r="H130" i="19"/>
  <c r="I130" i="19"/>
  <c r="J130" i="19"/>
  <c r="K130" i="19"/>
  <c r="B131" i="19"/>
  <c r="C131" i="19"/>
  <c r="D131" i="19"/>
  <c r="E131" i="19"/>
  <c r="F131" i="19"/>
  <c r="G131" i="19"/>
  <c r="H131" i="19"/>
  <c r="I131" i="19"/>
  <c r="J131" i="19"/>
  <c r="K131" i="19"/>
  <c r="B132" i="19"/>
  <c r="C132" i="19"/>
  <c r="D132" i="19"/>
  <c r="E132" i="19"/>
  <c r="F132" i="19"/>
  <c r="G132" i="19"/>
  <c r="H132" i="19"/>
  <c r="I132" i="19"/>
  <c r="J132" i="19"/>
  <c r="K132" i="19"/>
  <c r="B133" i="19"/>
  <c r="C133" i="19"/>
  <c r="D133" i="19"/>
  <c r="E133" i="19"/>
  <c r="F133" i="19"/>
  <c r="G133" i="19"/>
  <c r="H133" i="19"/>
  <c r="I133" i="19"/>
  <c r="J133" i="19"/>
  <c r="K133" i="19"/>
  <c r="B134" i="19"/>
  <c r="C134" i="19"/>
  <c r="D134" i="19"/>
  <c r="E134" i="19"/>
  <c r="F134" i="19"/>
  <c r="G134" i="19"/>
  <c r="H134" i="19"/>
  <c r="I134" i="19"/>
  <c r="J134" i="19"/>
  <c r="K134" i="19"/>
  <c r="B135" i="19"/>
  <c r="C135" i="19"/>
  <c r="D135" i="19"/>
  <c r="E135" i="19"/>
  <c r="F135" i="19"/>
  <c r="G135" i="19"/>
  <c r="H135" i="19"/>
  <c r="I135" i="19"/>
  <c r="J135" i="19"/>
  <c r="K135" i="19"/>
  <c r="B136" i="19"/>
  <c r="C136" i="19"/>
  <c r="D136" i="19"/>
  <c r="E136" i="19"/>
  <c r="F136" i="19"/>
  <c r="G136" i="19"/>
  <c r="H136" i="19"/>
  <c r="I136" i="19"/>
  <c r="J136" i="19"/>
  <c r="K136" i="19"/>
  <c r="B137" i="19"/>
  <c r="C137" i="19"/>
  <c r="D137" i="19"/>
  <c r="E137" i="19"/>
  <c r="F137" i="19"/>
  <c r="G137" i="19"/>
  <c r="H137" i="19"/>
  <c r="I137" i="19"/>
  <c r="J137" i="19"/>
  <c r="K137" i="19"/>
  <c r="B138" i="19"/>
  <c r="C138" i="19"/>
  <c r="D138" i="19"/>
  <c r="E138" i="19"/>
  <c r="F138" i="19"/>
  <c r="G138" i="19"/>
  <c r="H138" i="19"/>
  <c r="I138" i="19"/>
  <c r="J138" i="19"/>
  <c r="K138" i="19"/>
  <c r="B139" i="19"/>
  <c r="C139" i="19"/>
  <c r="D139" i="19"/>
  <c r="E139" i="19"/>
  <c r="F139" i="19"/>
  <c r="G139" i="19"/>
  <c r="H139" i="19"/>
  <c r="I139" i="19"/>
  <c r="J139" i="19"/>
  <c r="K139" i="19"/>
  <c r="B140" i="19"/>
  <c r="C140" i="19"/>
  <c r="D140" i="19"/>
  <c r="E140" i="19"/>
  <c r="F140" i="19"/>
  <c r="G140" i="19"/>
  <c r="H140" i="19"/>
  <c r="I140" i="19"/>
  <c r="J140" i="19"/>
  <c r="K140" i="19"/>
  <c r="B141" i="19"/>
  <c r="C141" i="19"/>
  <c r="D141" i="19"/>
  <c r="E141" i="19"/>
  <c r="F141" i="19"/>
  <c r="G141" i="19"/>
  <c r="H141" i="19"/>
  <c r="I141" i="19"/>
  <c r="J141" i="19"/>
  <c r="K141" i="19"/>
  <c r="B142" i="19"/>
  <c r="C142" i="19"/>
  <c r="D142" i="19"/>
  <c r="E142" i="19"/>
  <c r="F142" i="19"/>
  <c r="G142" i="19"/>
  <c r="H142" i="19"/>
  <c r="I142" i="19"/>
  <c r="J142" i="19"/>
  <c r="K142" i="19"/>
  <c r="B143" i="19"/>
  <c r="C143" i="19"/>
  <c r="D143" i="19"/>
  <c r="E143" i="19"/>
  <c r="F143" i="19"/>
  <c r="G143" i="19"/>
  <c r="H143" i="19"/>
  <c r="I143" i="19"/>
  <c r="J143" i="19"/>
  <c r="K143" i="19"/>
  <c r="B144" i="19"/>
  <c r="C144" i="19"/>
  <c r="D144" i="19"/>
  <c r="E144" i="19"/>
  <c r="F144" i="19"/>
  <c r="G144" i="19"/>
  <c r="H144" i="19"/>
  <c r="I144" i="19"/>
  <c r="J144" i="19"/>
  <c r="K144" i="19"/>
  <c r="B145" i="19"/>
  <c r="C145" i="19"/>
  <c r="D145" i="19"/>
  <c r="E145" i="19"/>
  <c r="F145" i="19"/>
  <c r="G145" i="19"/>
  <c r="H145" i="19"/>
  <c r="I145" i="19"/>
  <c r="J145" i="19"/>
  <c r="K145" i="19"/>
  <c r="B146" i="19"/>
  <c r="C146" i="19"/>
  <c r="D146" i="19"/>
  <c r="E146" i="19"/>
  <c r="F146" i="19"/>
  <c r="G146" i="19"/>
  <c r="H146" i="19"/>
  <c r="I146" i="19"/>
  <c r="J146" i="19"/>
  <c r="K146" i="19"/>
  <c r="B147" i="19"/>
  <c r="C147" i="19"/>
  <c r="D147" i="19"/>
  <c r="E147" i="19"/>
  <c r="F147" i="19"/>
  <c r="G147" i="19"/>
  <c r="H147" i="19"/>
  <c r="I147" i="19"/>
  <c r="J147" i="19"/>
  <c r="K147" i="19"/>
  <c r="B148" i="19"/>
  <c r="C148" i="19"/>
  <c r="D148" i="19"/>
  <c r="E148" i="19"/>
  <c r="F148" i="19"/>
  <c r="G148" i="19"/>
  <c r="H148" i="19"/>
  <c r="I148" i="19"/>
  <c r="J148" i="19"/>
  <c r="K148" i="19"/>
  <c r="B149" i="19"/>
  <c r="C149" i="19"/>
  <c r="D149" i="19"/>
  <c r="E149" i="19"/>
  <c r="F149" i="19"/>
  <c r="G149" i="19"/>
  <c r="H149" i="19"/>
  <c r="I149" i="19"/>
  <c r="J149" i="19"/>
  <c r="K149" i="19"/>
  <c r="B150" i="19"/>
  <c r="C150" i="19"/>
  <c r="D150" i="19"/>
  <c r="E150" i="19"/>
  <c r="F150" i="19"/>
  <c r="G150" i="19"/>
  <c r="H150" i="19"/>
  <c r="I150" i="19"/>
  <c r="J150" i="19"/>
  <c r="K150" i="19"/>
  <c r="B151" i="19"/>
  <c r="C151" i="19"/>
  <c r="D151" i="19"/>
  <c r="E151" i="19"/>
  <c r="F151" i="19"/>
  <c r="G151" i="19"/>
  <c r="H151" i="19"/>
  <c r="I151" i="19"/>
  <c r="J151" i="19"/>
  <c r="K151" i="19"/>
  <c r="B152" i="19"/>
  <c r="C152" i="19"/>
  <c r="D152" i="19"/>
  <c r="E152" i="19"/>
  <c r="F152" i="19"/>
  <c r="G152" i="19"/>
  <c r="H152" i="19"/>
  <c r="I152" i="19"/>
  <c r="J152" i="19"/>
  <c r="K152" i="19"/>
  <c r="B153" i="19"/>
  <c r="C153" i="19"/>
  <c r="D153" i="19"/>
  <c r="E153" i="19"/>
  <c r="F153" i="19"/>
  <c r="G153" i="19"/>
  <c r="H153" i="19"/>
  <c r="I153" i="19"/>
  <c r="J153" i="19"/>
  <c r="K153" i="19"/>
  <c r="B154" i="19"/>
  <c r="C154" i="19"/>
  <c r="D154" i="19"/>
  <c r="E154" i="19"/>
  <c r="F154" i="19"/>
  <c r="G154" i="19"/>
  <c r="H154" i="19"/>
  <c r="I154" i="19"/>
  <c r="J154" i="19"/>
  <c r="K154" i="19"/>
  <c r="B155" i="19"/>
  <c r="C155" i="19"/>
  <c r="D155" i="19"/>
  <c r="E155" i="19"/>
  <c r="F155" i="19"/>
  <c r="G155" i="19"/>
  <c r="H155" i="19"/>
  <c r="I155" i="19"/>
  <c r="J155" i="19"/>
  <c r="K155" i="19"/>
  <c r="B156" i="19"/>
  <c r="C156" i="19"/>
  <c r="D156" i="19"/>
  <c r="E156" i="19"/>
  <c r="F156" i="19"/>
  <c r="G156" i="19"/>
  <c r="H156" i="19"/>
  <c r="I156" i="19"/>
  <c r="J156" i="19"/>
  <c r="K156" i="19"/>
  <c r="B157" i="19"/>
  <c r="C157" i="19"/>
  <c r="D157" i="19"/>
  <c r="E157" i="19"/>
  <c r="F157" i="19"/>
  <c r="G157" i="19"/>
  <c r="H157" i="19"/>
  <c r="I157" i="19"/>
  <c r="J157" i="19"/>
  <c r="K157" i="19"/>
  <c r="B158" i="19"/>
  <c r="C158" i="19"/>
  <c r="D158" i="19"/>
  <c r="E158" i="19"/>
  <c r="F158" i="19"/>
  <c r="G158" i="19"/>
  <c r="H158" i="19"/>
  <c r="I158" i="19"/>
  <c r="J158" i="19"/>
  <c r="K158" i="19"/>
  <c r="B159" i="19"/>
  <c r="C159" i="19"/>
  <c r="D159" i="19"/>
  <c r="E159" i="19"/>
  <c r="F159" i="19"/>
  <c r="G159" i="19"/>
  <c r="H159" i="19"/>
  <c r="I159" i="19"/>
  <c r="J159" i="19"/>
  <c r="K159" i="19"/>
  <c r="B160" i="19"/>
  <c r="C160" i="19"/>
  <c r="D160" i="19"/>
  <c r="E160" i="19"/>
  <c r="F160" i="19"/>
  <c r="G160" i="19"/>
  <c r="H160" i="19"/>
  <c r="I160" i="19"/>
  <c r="J160" i="19"/>
  <c r="K160" i="19"/>
  <c r="B161" i="19"/>
  <c r="C161" i="19"/>
  <c r="D161" i="19"/>
  <c r="E161" i="19"/>
  <c r="F161" i="19"/>
  <c r="G161" i="19"/>
  <c r="H161" i="19"/>
  <c r="I161" i="19"/>
  <c r="J161" i="19"/>
  <c r="K161" i="19"/>
  <c r="B162" i="19"/>
  <c r="C162" i="19"/>
  <c r="D162" i="19"/>
  <c r="E162" i="19"/>
  <c r="F162" i="19"/>
  <c r="G162" i="19"/>
  <c r="H162" i="19"/>
  <c r="I162" i="19"/>
  <c r="J162" i="19"/>
  <c r="K162" i="19"/>
  <c r="B163" i="19"/>
  <c r="C163" i="19"/>
  <c r="D163" i="19"/>
  <c r="E163" i="19"/>
  <c r="F163" i="19"/>
  <c r="G163" i="19"/>
  <c r="H163" i="19"/>
  <c r="I163" i="19"/>
  <c r="J163" i="19"/>
  <c r="K163" i="19"/>
  <c r="B164" i="19"/>
  <c r="C164" i="19"/>
  <c r="D164" i="19"/>
  <c r="E164" i="19"/>
  <c r="F164" i="19"/>
  <c r="G164" i="19"/>
  <c r="H164" i="19"/>
  <c r="I164" i="19"/>
  <c r="J164" i="19"/>
  <c r="K164" i="19"/>
  <c r="B165" i="19"/>
  <c r="C165" i="19"/>
  <c r="D165" i="19"/>
  <c r="E165" i="19"/>
  <c r="F165" i="19"/>
  <c r="G165" i="19"/>
  <c r="H165" i="19"/>
  <c r="I165" i="19"/>
  <c r="J165" i="19"/>
  <c r="K165" i="19"/>
  <c r="B166" i="19"/>
  <c r="C166" i="19"/>
  <c r="D166" i="19"/>
  <c r="E166" i="19"/>
  <c r="F166" i="19"/>
  <c r="G166" i="19"/>
  <c r="H166" i="19"/>
  <c r="I166" i="19"/>
  <c r="J166" i="19"/>
  <c r="K166" i="19"/>
  <c r="B167" i="19"/>
  <c r="C167" i="19"/>
  <c r="D167" i="19"/>
  <c r="E167" i="19"/>
  <c r="F167" i="19"/>
  <c r="G167" i="19"/>
  <c r="H167" i="19"/>
  <c r="I167" i="19"/>
  <c r="J167" i="19"/>
  <c r="K167" i="19"/>
  <c r="B168" i="19"/>
  <c r="C168" i="19"/>
  <c r="D168" i="19"/>
  <c r="E168" i="19"/>
  <c r="F168" i="19"/>
  <c r="G168" i="19"/>
  <c r="H168" i="19"/>
  <c r="I168" i="19"/>
  <c r="J168" i="19"/>
  <c r="K168" i="19"/>
  <c r="B169" i="19"/>
  <c r="C169" i="19"/>
  <c r="D169" i="19"/>
  <c r="E169" i="19"/>
  <c r="F169" i="19"/>
  <c r="G169" i="19"/>
  <c r="H169" i="19"/>
  <c r="I169" i="19"/>
  <c r="J169" i="19"/>
  <c r="K169" i="19"/>
  <c r="B170" i="19"/>
  <c r="C170" i="19"/>
  <c r="D170" i="19"/>
  <c r="E170" i="19"/>
  <c r="F170" i="19"/>
  <c r="G170" i="19"/>
  <c r="H170" i="19"/>
  <c r="I170" i="19"/>
  <c r="J170" i="19"/>
  <c r="K170" i="19"/>
  <c r="B171" i="19"/>
  <c r="C171" i="19"/>
  <c r="D171" i="19"/>
  <c r="E171" i="19"/>
  <c r="F171" i="19"/>
  <c r="G171" i="19"/>
  <c r="H171" i="19"/>
  <c r="I171" i="19"/>
  <c r="J171" i="19"/>
  <c r="K171" i="19"/>
  <c r="B172" i="19"/>
  <c r="C172" i="19"/>
  <c r="D172" i="19"/>
  <c r="E172" i="19"/>
  <c r="F172" i="19"/>
  <c r="G172" i="19"/>
  <c r="H172" i="19"/>
  <c r="I172" i="19"/>
  <c r="J172" i="19"/>
  <c r="K172" i="19"/>
  <c r="B173" i="19"/>
  <c r="C173" i="19"/>
  <c r="D173" i="19"/>
  <c r="E173" i="19"/>
  <c r="F173" i="19"/>
  <c r="G173" i="19"/>
  <c r="H173" i="19"/>
  <c r="I173" i="19"/>
  <c r="J173" i="19"/>
  <c r="K173" i="19"/>
  <c r="B174" i="19"/>
  <c r="C174" i="19"/>
  <c r="D174" i="19"/>
  <c r="E174" i="19"/>
  <c r="F174" i="19"/>
  <c r="G174" i="19"/>
  <c r="H174" i="19"/>
  <c r="I174" i="19"/>
  <c r="J174" i="19"/>
  <c r="K174" i="19"/>
  <c r="B175" i="19"/>
  <c r="C175" i="19"/>
  <c r="D175" i="19"/>
  <c r="E175" i="19"/>
  <c r="F175" i="19"/>
  <c r="G175" i="19"/>
  <c r="H175" i="19"/>
  <c r="I175" i="19"/>
  <c r="J175" i="19"/>
  <c r="K175" i="19"/>
  <c r="B176" i="19"/>
  <c r="C176" i="19"/>
  <c r="D176" i="19"/>
  <c r="E176" i="19"/>
  <c r="F176" i="19"/>
  <c r="G176" i="19"/>
  <c r="H176" i="19"/>
  <c r="I176" i="19"/>
  <c r="J176" i="19"/>
  <c r="K176" i="19"/>
  <c r="B177" i="19"/>
  <c r="C177" i="19"/>
  <c r="D177" i="19"/>
  <c r="E177" i="19"/>
  <c r="F177" i="19"/>
  <c r="G177" i="19"/>
  <c r="H177" i="19"/>
  <c r="I177" i="19"/>
  <c r="J177" i="19"/>
  <c r="K177" i="19"/>
  <c r="B178" i="19"/>
  <c r="C178" i="19"/>
  <c r="D178" i="19"/>
  <c r="E178" i="19"/>
  <c r="F178" i="19"/>
  <c r="G178" i="19"/>
  <c r="H178" i="19"/>
  <c r="I178" i="19"/>
  <c r="J178" i="19"/>
  <c r="K178" i="19"/>
  <c r="B179" i="19"/>
  <c r="C179" i="19"/>
  <c r="D179" i="19"/>
  <c r="E179" i="19"/>
  <c r="F179" i="19"/>
  <c r="G179" i="19"/>
  <c r="H179" i="19"/>
  <c r="I179" i="19"/>
  <c r="J179" i="19"/>
  <c r="K179" i="19"/>
  <c r="B180" i="19"/>
  <c r="C180" i="19"/>
  <c r="D180" i="19"/>
  <c r="E180" i="19"/>
  <c r="F180" i="19"/>
  <c r="G180" i="19"/>
  <c r="H180" i="19"/>
  <c r="I180" i="19"/>
  <c r="J180" i="19"/>
  <c r="K180" i="19"/>
  <c r="B181" i="19"/>
  <c r="C181" i="19"/>
  <c r="D181" i="19"/>
  <c r="E181" i="19"/>
  <c r="F181" i="19"/>
  <c r="G181" i="19"/>
  <c r="H181" i="19"/>
  <c r="I181" i="19"/>
  <c r="J181" i="19"/>
  <c r="K181" i="19"/>
  <c r="B182" i="19"/>
  <c r="C182" i="19"/>
  <c r="D182" i="19"/>
  <c r="E182" i="19"/>
  <c r="F182" i="19"/>
  <c r="G182" i="19"/>
  <c r="H182" i="19"/>
  <c r="I182" i="19"/>
  <c r="J182" i="19"/>
  <c r="K182" i="19"/>
  <c r="B183" i="19"/>
  <c r="C183" i="19"/>
  <c r="D183" i="19"/>
  <c r="E183" i="19"/>
  <c r="F183" i="19"/>
  <c r="G183" i="19"/>
  <c r="H183" i="19"/>
  <c r="I183" i="19"/>
  <c r="J183" i="19"/>
  <c r="K183" i="19"/>
  <c r="B184" i="19"/>
  <c r="C184" i="19"/>
  <c r="D184" i="19"/>
  <c r="E184" i="19"/>
  <c r="F184" i="19"/>
  <c r="G184" i="19"/>
  <c r="H184" i="19"/>
  <c r="I184" i="19"/>
  <c r="J184" i="19"/>
  <c r="K184" i="19"/>
  <c r="B185" i="19"/>
  <c r="C185" i="19"/>
  <c r="D185" i="19"/>
  <c r="E185" i="19"/>
  <c r="F185" i="19"/>
  <c r="G185" i="19"/>
  <c r="H185" i="19"/>
  <c r="I185" i="19"/>
  <c r="J185" i="19"/>
  <c r="K185" i="19"/>
  <c r="B186" i="19"/>
  <c r="C186" i="19"/>
  <c r="D186" i="19"/>
  <c r="E186" i="19"/>
  <c r="F186" i="19"/>
  <c r="G186" i="19"/>
  <c r="H186" i="19"/>
  <c r="I186" i="19"/>
  <c r="J186" i="19"/>
  <c r="K186" i="19"/>
  <c r="B187" i="19"/>
  <c r="C187" i="19"/>
  <c r="D187" i="19"/>
  <c r="E187" i="19"/>
  <c r="F187" i="19"/>
  <c r="G187" i="19"/>
  <c r="H187" i="19"/>
  <c r="I187" i="19"/>
  <c r="J187" i="19"/>
  <c r="K187" i="19"/>
  <c r="B188" i="19"/>
  <c r="C188" i="19"/>
  <c r="D188" i="19"/>
  <c r="E188" i="19"/>
  <c r="F188" i="19"/>
  <c r="G188" i="19"/>
  <c r="H188" i="19"/>
  <c r="I188" i="19"/>
  <c r="J188" i="19"/>
  <c r="K188" i="19"/>
  <c r="B189" i="19"/>
  <c r="C189" i="19"/>
  <c r="D189" i="19"/>
  <c r="E189" i="19"/>
  <c r="F189" i="19"/>
  <c r="G189" i="19"/>
  <c r="H189" i="19"/>
  <c r="I189" i="19"/>
  <c r="J189" i="19"/>
  <c r="K189" i="19"/>
  <c r="B190" i="19"/>
  <c r="C190" i="19"/>
  <c r="D190" i="19"/>
  <c r="E190" i="19"/>
  <c r="F190" i="19"/>
  <c r="G190" i="19"/>
  <c r="H190" i="19"/>
  <c r="I190" i="19"/>
  <c r="J190" i="19"/>
  <c r="K190" i="19"/>
  <c r="B191" i="19"/>
  <c r="C191" i="19"/>
  <c r="D191" i="19"/>
  <c r="E191" i="19"/>
  <c r="F191" i="19"/>
  <c r="G191" i="19"/>
  <c r="H191" i="19"/>
  <c r="I191" i="19"/>
  <c r="J191" i="19"/>
  <c r="K191" i="19"/>
  <c r="B192" i="19"/>
  <c r="C192" i="19"/>
  <c r="D192" i="19"/>
  <c r="E192" i="19"/>
  <c r="F192" i="19"/>
  <c r="G192" i="19"/>
  <c r="H192" i="19"/>
  <c r="I192" i="19"/>
  <c r="J192" i="19"/>
  <c r="K192" i="19"/>
  <c r="B193" i="19"/>
  <c r="C193" i="19"/>
  <c r="D193" i="19"/>
  <c r="E193" i="19"/>
  <c r="F193" i="19"/>
  <c r="G193" i="19"/>
  <c r="H193" i="19"/>
  <c r="I193" i="19"/>
  <c r="J193" i="19"/>
  <c r="K193" i="19"/>
  <c r="B194" i="19"/>
  <c r="C194" i="19"/>
  <c r="D194" i="19"/>
  <c r="E194" i="19"/>
  <c r="F194" i="19"/>
  <c r="G194" i="19"/>
  <c r="H194" i="19"/>
  <c r="I194" i="19"/>
  <c r="J194" i="19"/>
  <c r="K194" i="19"/>
  <c r="B195" i="19"/>
  <c r="C195" i="19"/>
  <c r="D195" i="19"/>
  <c r="E195" i="19"/>
  <c r="F195" i="19"/>
  <c r="G195" i="19"/>
  <c r="H195" i="19"/>
  <c r="I195" i="19"/>
  <c r="J195" i="19"/>
  <c r="K195" i="19"/>
  <c r="B196" i="19"/>
  <c r="C196" i="19"/>
  <c r="D196" i="19"/>
  <c r="E196" i="19"/>
  <c r="F196" i="19"/>
  <c r="G196" i="19"/>
  <c r="H196" i="19"/>
  <c r="I196" i="19"/>
  <c r="J196" i="19"/>
  <c r="K196" i="19"/>
  <c r="B197" i="19"/>
  <c r="C197" i="19"/>
  <c r="D197" i="19"/>
  <c r="E197" i="19"/>
  <c r="F197" i="19"/>
  <c r="G197" i="19"/>
  <c r="H197" i="19"/>
  <c r="I197" i="19"/>
  <c r="J197" i="19"/>
  <c r="K197" i="19"/>
  <c r="B198" i="19"/>
  <c r="C198" i="19"/>
  <c r="D198" i="19"/>
  <c r="E198" i="19"/>
  <c r="F198" i="19"/>
  <c r="G198" i="19"/>
  <c r="H198" i="19"/>
  <c r="I198" i="19"/>
  <c r="J198" i="19"/>
  <c r="K198" i="19"/>
  <c r="B199" i="19"/>
  <c r="C199" i="19"/>
  <c r="D199" i="19"/>
  <c r="E199" i="19"/>
  <c r="F199" i="19"/>
  <c r="G199" i="19"/>
  <c r="H199" i="19"/>
  <c r="I199" i="19"/>
  <c r="J199" i="19"/>
  <c r="K199" i="19"/>
  <c r="B200" i="19"/>
  <c r="C200" i="19"/>
  <c r="D200" i="19"/>
  <c r="E200" i="19"/>
  <c r="F200" i="19"/>
  <c r="G200" i="19"/>
  <c r="H200" i="19"/>
  <c r="I200" i="19"/>
  <c r="J200" i="19"/>
  <c r="K200" i="19"/>
  <c r="B201" i="19"/>
  <c r="C201" i="19"/>
  <c r="D201" i="19"/>
  <c r="E201" i="19"/>
  <c r="F201" i="19"/>
  <c r="G201" i="19"/>
  <c r="H201" i="19"/>
  <c r="I201" i="19"/>
  <c r="J201" i="19"/>
  <c r="K201" i="19"/>
  <c r="B202" i="19"/>
  <c r="C202" i="19"/>
  <c r="D202" i="19"/>
  <c r="E202" i="19"/>
  <c r="F202" i="19"/>
  <c r="G202" i="19"/>
  <c r="H202" i="19"/>
  <c r="I202" i="19"/>
  <c r="J202" i="19"/>
  <c r="K202" i="19"/>
  <c r="K3" i="19"/>
  <c r="J3" i="19"/>
  <c r="I3" i="19"/>
  <c r="H3" i="19"/>
  <c r="G3" i="19"/>
  <c r="F3" i="19"/>
  <c r="E3" i="19"/>
  <c r="D3" i="19"/>
  <c r="B3" i="19"/>
  <c r="AF202" i="18"/>
  <c r="AF201" i="18"/>
  <c r="AF200" i="18"/>
  <c r="AF199" i="18"/>
  <c r="AF198" i="18"/>
  <c r="AF197" i="18"/>
  <c r="AF196" i="18"/>
  <c r="AF195" i="18"/>
  <c r="AF194" i="18"/>
  <c r="AF193" i="18"/>
  <c r="AF192" i="18"/>
  <c r="AF191" i="18"/>
  <c r="AF190" i="18"/>
  <c r="AF189" i="18"/>
  <c r="AF188" i="18"/>
  <c r="AF187" i="18"/>
  <c r="AF186" i="18"/>
  <c r="AF185" i="18"/>
  <c r="AF184" i="18"/>
  <c r="AF183" i="18"/>
  <c r="AF182" i="18"/>
  <c r="AF181" i="18"/>
  <c r="AF180" i="18"/>
  <c r="AF179" i="18"/>
  <c r="AF178" i="18"/>
  <c r="AF177" i="18"/>
  <c r="AF176" i="18"/>
  <c r="AF175" i="18"/>
  <c r="AF174" i="18"/>
  <c r="AF173" i="18"/>
  <c r="AF172" i="18"/>
  <c r="AF171" i="18"/>
  <c r="AF170" i="18"/>
  <c r="AF169" i="18"/>
  <c r="AF168" i="18"/>
  <c r="AF167" i="18"/>
  <c r="AF166" i="18"/>
  <c r="AF165" i="18"/>
  <c r="AF164" i="18"/>
  <c r="AF163" i="18"/>
  <c r="AF162" i="18"/>
  <c r="AF161" i="18"/>
  <c r="AF160" i="18"/>
  <c r="AF159" i="18"/>
  <c r="AF158" i="18"/>
  <c r="AF157" i="18"/>
  <c r="AF156" i="18"/>
  <c r="AF155" i="18"/>
  <c r="AF154" i="18"/>
  <c r="AF153" i="18"/>
  <c r="AF152" i="18"/>
  <c r="AF151" i="18"/>
  <c r="AF150" i="18"/>
  <c r="AF149" i="18"/>
  <c r="AF148" i="18"/>
  <c r="AF147" i="18"/>
  <c r="AF146" i="18"/>
  <c r="AF145" i="18"/>
  <c r="AF144" i="18"/>
  <c r="AF143" i="18"/>
  <c r="AF142" i="18"/>
  <c r="AF141" i="18"/>
  <c r="AF140" i="18"/>
  <c r="AF139" i="18"/>
  <c r="AF138" i="18"/>
  <c r="AF137" i="18"/>
  <c r="AF136" i="18"/>
  <c r="AF135" i="18"/>
  <c r="AF134" i="18"/>
  <c r="AF133" i="18"/>
  <c r="AF132" i="18"/>
  <c r="AF131" i="18"/>
  <c r="AF130" i="18"/>
  <c r="AF129" i="18"/>
  <c r="AF128" i="18"/>
  <c r="AF127" i="18"/>
  <c r="AF126" i="18"/>
  <c r="AF125" i="18"/>
  <c r="AF124" i="18"/>
  <c r="AF123" i="18"/>
  <c r="AF122" i="18"/>
  <c r="AF121" i="18"/>
  <c r="AF120" i="18"/>
  <c r="AF119" i="18"/>
  <c r="AF118" i="18"/>
  <c r="AF117" i="18"/>
  <c r="AF116" i="18"/>
  <c r="AF115" i="18"/>
  <c r="AF114" i="18"/>
  <c r="AF113" i="18"/>
  <c r="AF112" i="18"/>
  <c r="AF111" i="18"/>
  <c r="AF110" i="18"/>
  <c r="AF109" i="18"/>
  <c r="AF108" i="18"/>
  <c r="AF107" i="18"/>
  <c r="AF106" i="18"/>
  <c r="AF105" i="18"/>
  <c r="AF104" i="18"/>
  <c r="AF103" i="18"/>
  <c r="AF102" i="18"/>
  <c r="AF101" i="18"/>
  <c r="AF100" i="18"/>
  <c r="AF99" i="18"/>
  <c r="AF98" i="18"/>
  <c r="AF97" i="18"/>
  <c r="AF96" i="18"/>
  <c r="AF95" i="18"/>
  <c r="AF94" i="18"/>
  <c r="AF93" i="18"/>
  <c r="AF92" i="18"/>
  <c r="AF91" i="18"/>
  <c r="AF90" i="18"/>
  <c r="AF89" i="18"/>
  <c r="AF88" i="18"/>
  <c r="AF87" i="18"/>
  <c r="AF86" i="18"/>
  <c r="AF85" i="18"/>
  <c r="AF84" i="18"/>
  <c r="AF83" i="18"/>
  <c r="AF82" i="18"/>
  <c r="AF81" i="18"/>
  <c r="AF80" i="18"/>
  <c r="AF79" i="18"/>
  <c r="AF78" i="18"/>
  <c r="AF77" i="18"/>
  <c r="AF76" i="18"/>
  <c r="AF75" i="18"/>
  <c r="AF74" i="18"/>
  <c r="AF73" i="18"/>
  <c r="AF72" i="18"/>
  <c r="AF71" i="18"/>
  <c r="AF70" i="18"/>
  <c r="AF69" i="18"/>
  <c r="AF68" i="18"/>
  <c r="AF67" i="18"/>
  <c r="AF66" i="18"/>
  <c r="AF65" i="18"/>
  <c r="AF64" i="18"/>
  <c r="AF63" i="18"/>
  <c r="AF62" i="18"/>
  <c r="AF61" i="18"/>
  <c r="AF60" i="18"/>
  <c r="AF59" i="18"/>
  <c r="AF58" i="18"/>
  <c r="AF57" i="18"/>
  <c r="AF56" i="18"/>
  <c r="AF55" i="18"/>
  <c r="AF54" i="18"/>
  <c r="AF53" i="18"/>
  <c r="AF52" i="18"/>
  <c r="AF51" i="18"/>
  <c r="AF50" i="18"/>
  <c r="AF49" i="18"/>
  <c r="AF48" i="18"/>
  <c r="AF47" i="18"/>
  <c r="AF46" i="18"/>
  <c r="AF45" i="18"/>
  <c r="AF44" i="18"/>
  <c r="AF43" i="18"/>
  <c r="AF42" i="18"/>
  <c r="AF41" i="18"/>
  <c r="AF40" i="18"/>
  <c r="AF39" i="18"/>
  <c r="AF38" i="18"/>
  <c r="AF37" i="18"/>
  <c r="AF36" i="18"/>
  <c r="AF35" i="18"/>
  <c r="AF34" i="18"/>
  <c r="AF33" i="18"/>
  <c r="AF32" i="18"/>
  <c r="AF31" i="18"/>
  <c r="AF30" i="18"/>
  <c r="AF29" i="18"/>
  <c r="AF28" i="18"/>
  <c r="AF27" i="18"/>
  <c r="AF26" i="18"/>
  <c r="AF25" i="18"/>
  <c r="AF24" i="18"/>
  <c r="AF23" i="18"/>
  <c r="AF22" i="18"/>
  <c r="AF21" i="18"/>
  <c r="AF20" i="18"/>
  <c r="AF19" i="18"/>
  <c r="AF18" i="18"/>
  <c r="AF17" i="18"/>
  <c r="AF16" i="18"/>
  <c r="AF15" i="18"/>
  <c r="AF14" i="18"/>
  <c r="AF13" i="18"/>
  <c r="AF12" i="18"/>
  <c r="AF11" i="18"/>
  <c r="AF10" i="18"/>
  <c r="AF9" i="18"/>
  <c r="AF8" i="18"/>
  <c r="AF7" i="18"/>
  <c r="AF6" i="18"/>
  <c r="AF5" i="18"/>
  <c r="AF4" i="18"/>
  <c r="AF3" i="18"/>
  <c r="AF202" i="17"/>
  <c r="AF201" i="17"/>
  <c r="AF200" i="17"/>
  <c r="AF199" i="17"/>
  <c r="AF198" i="17"/>
  <c r="AF197" i="17"/>
  <c r="AF196" i="17"/>
  <c r="AF195" i="17"/>
  <c r="AF194" i="17"/>
  <c r="AF193" i="17"/>
  <c r="AF192" i="17"/>
  <c r="AF191" i="17"/>
  <c r="AF190" i="17"/>
  <c r="AF189" i="17"/>
  <c r="AF188" i="17"/>
  <c r="AF187" i="17"/>
  <c r="AF186" i="17"/>
  <c r="AF185" i="17"/>
  <c r="AF184" i="17"/>
  <c r="AF183" i="17"/>
  <c r="AF182" i="17"/>
  <c r="AF181" i="17"/>
  <c r="AF180" i="17"/>
  <c r="AF179" i="17"/>
  <c r="AF178" i="17"/>
  <c r="AF177" i="17"/>
  <c r="AF176" i="17"/>
  <c r="AF175" i="17"/>
  <c r="AF174" i="17"/>
  <c r="AF173" i="17"/>
  <c r="AF172" i="17"/>
  <c r="AF171" i="17"/>
  <c r="AF170" i="17"/>
  <c r="AF169" i="17"/>
  <c r="AF168" i="17"/>
  <c r="AF167" i="17"/>
  <c r="AF166" i="17"/>
  <c r="AF165" i="17"/>
  <c r="AF164" i="17"/>
  <c r="AF163" i="17"/>
  <c r="AF162" i="17"/>
  <c r="AF161" i="17"/>
  <c r="AF160" i="17"/>
  <c r="AF159" i="17"/>
  <c r="AF158" i="17"/>
  <c r="AF157" i="17"/>
  <c r="AF156" i="17"/>
  <c r="AF155" i="17"/>
  <c r="AF154" i="17"/>
  <c r="AF153" i="17"/>
  <c r="AF152" i="17"/>
  <c r="AF151" i="17"/>
  <c r="AF150" i="17"/>
  <c r="AF149" i="17"/>
  <c r="AF148" i="17"/>
  <c r="AF147" i="17"/>
  <c r="AF146" i="17"/>
  <c r="AF145" i="17"/>
  <c r="AF144" i="17"/>
  <c r="AF143" i="17"/>
  <c r="AF142" i="17"/>
  <c r="AF141" i="17"/>
  <c r="AF140" i="17"/>
  <c r="AF139" i="17"/>
  <c r="AF138" i="17"/>
  <c r="AF137" i="17"/>
  <c r="AF136" i="17"/>
  <c r="AF135" i="17"/>
  <c r="AF134" i="17"/>
  <c r="AF133" i="17"/>
  <c r="AF132" i="17"/>
  <c r="AF131" i="17"/>
  <c r="AF130" i="17"/>
  <c r="AF129" i="17"/>
  <c r="AF128" i="17"/>
  <c r="AF127" i="17"/>
  <c r="AF126" i="17"/>
  <c r="AF125" i="17"/>
  <c r="AF124" i="17"/>
  <c r="AF123" i="17"/>
  <c r="AF122" i="17"/>
  <c r="AF121" i="17"/>
  <c r="AF120" i="17"/>
  <c r="AF119" i="17"/>
  <c r="AF118" i="17"/>
  <c r="AF117" i="17"/>
  <c r="AF116" i="17"/>
  <c r="AF115" i="17"/>
  <c r="AF114" i="17"/>
  <c r="AF113" i="17"/>
  <c r="AF112" i="17"/>
  <c r="AF111" i="17"/>
  <c r="AF110" i="17"/>
  <c r="AF109" i="17"/>
  <c r="AF108" i="17"/>
  <c r="AF107" i="17"/>
  <c r="AF106" i="17"/>
  <c r="AF105" i="17"/>
  <c r="AF104" i="17"/>
  <c r="AF103" i="17"/>
  <c r="AF102" i="17"/>
  <c r="AF101" i="17"/>
  <c r="AF100" i="17"/>
  <c r="AF99" i="17"/>
  <c r="AF98" i="17"/>
  <c r="AF97" i="17"/>
  <c r="AF96" i="17"/>
  <c r="AF95" i="17"/>
  <c r="AF94" i="17"/>
  <c r="AF93" i="17"/>
  <c r="AF92" i="17"/>
  <c r="AF91" i="17"/>
  <c r="AF90" i="17"/>
  <c r="AF89" i="17"/>
  <c r="AF88" i="17"/>
  <c r="AF87" i="17"/>
  <c r="AF86" i="17"/>
  <c r="AF85" i="17"/>
  <c r="AF84" i="17"/>
  <c r="AF83" i="17"/>
  <c r="AF82" i="17"/>
  <c r="AF81" i="17"/>
  <c r="AF80" i="17"/>
  <c r="AF79" i="17"/>
  <c r="AF78" i="17"/>
  <c r="AF77" i="17"/>
  <c r="AF76" i="17"/>
  <c r="AF75" i="17"/>
  <c r="AF74" i="17"/>
  <c r="AF73" i="17"/>
  <c r="AF72" i="17"/>
  <c r="AF71" i="17"/>
  <c r="AF70" i="17"/>
  <c r="AF69" i="17"/>
  <c r="AF68" i="17"/>
  <c r="AF67" i="17"/>
  <c r="AF66" i="17"/>
  <c r="AF65" i="17"/>
  <c r="AF64" i="17"/>
  <c r="AF63" i="17"/>
  <c r="AF62" i="17"/>
  <c r="AF61" i="17"/>
  <c r="AF60" i="17"/>
  <c r="AF59" i="17"/>
  <c r="AF58" i="17"/>
  <c r="AF57" i="17"/>
  <c r="AF56" i="17"/>
  <c r="AF55" i="17"/>
  <c r="AF54" i="17"/>
  <c r="AF53" i="17"/>
  <c r="AF52" i="17"/>
  <c r="AF51" i="17"/>
  <c r="AF50" i="17"/>
  <c r="AF49" i="17"/>
  <c r="AF48" i="17"/>
  <c r="AF47" i="17"/>
  <c r="AF46" i="17"/>
  <c r="AF45" i="17"/>
  <c r="AF44" i="17"/>
  <c r="AF43" i="17"/>
  <c r="AF42" i="17"/>
  <c r="AF41" i="17"/>
  <c r="AF40" i="17"/>
  <c r="AF39" i="17"/>
  <c r="AF38" i="17"/>
  <c r="AF37" i="17"/>
  <c r="AF36" i="17"/>
  <c r="AF35" i="17"/>
  <c r="AF34" i="17"/>
  <c r="AF33" i="17"/>
  <c r="AF32" i="17"/>
  <c r="AF31" i="17"/>
  <c r="AF30" i="17"/>
  <c r="AF29" i="17"/>
  <c r="AF28" i="17"/>
  <c r="AF27" i="17"/>
  <c r="AF26" i="17"/>
  <c r="AF25" i="17"/>
  <c r="AF24" i="17"/>
  <c r="AF23" i="17"/>
  <c r="AF22" i="17"/>
  <c r="AF21" i="17"/>
  <c r="AF20" i="17"/>
  <c r="AF19" i="17"/>
  <c r="AF18" i="17"/>
  <c r="AF17" i="17"/>
  <c r="AF16" i="17"/>
  <c r="AF15" i="17"/>
  <c r="AF14" i="17"/>
  <c r="AF13" i="17"/>
  <c r="AF12" i="17"/>
  <c r="AF11" i="17"/>
  <c r="AF10" i="17"/>
  <c r="AF9" i="17"/>
  <c r="AF8" i="17"/>
  <c r="AF7" i="17"/>
  <c r="AF6" i="17"/>
  <c r="AF5" i="17"/>
  <c r="AF4" i="17"/>
  <c r="AF3" i="17"/>
  <c r="AF202" i="15"/>
  <c r="AF201" i="15"/>
  <c r="AF200" i="15"/>
  <c r="AF199" i="15"/>
  <c r="AF198" i="15"/>
  <c r="AF197" i="15"/>
  <c r="AF196" i="15"/>
  <c r="AF195" i="15"/>
  <c r="AF194" i="15"/>
  <c r="AF193" i="15"/>
  <c r="AF192" i="15"/>
  <c r="AF191" i="15"/>
  <c r="AF190" i="15"/>
  <c r="AF189" i="15"/>
  <c r="AF188" i="15"/>
  <c r="AF187" i="15"/>
  <c r="AF186" i="15"/>
  <c r="AF185" i="15"/>
  <c r="AF184" i="15"/>
  <c r="AF183" i="15"/>
  <c r="AF182" i="15"/>
  <c r="AF181" i="15"/>
  <c r="AF180" i="15"/>
  <c r="AF179" i="15"/>
  <c r="AF178" i="15"/>
  <c r="AF177" i="15"/>
  <c r="AF176" i="15"/>
  <c r="AF175" i="15"/>
  <c r="AF174" i="15"/>
  <c r="AF173" i="15"/>
  <c r="AF172" i="15"/>
  <c r="AF171" i="15"/>
  <c r="AF170" i="15"/>
  <c r="AF169" i="15"/>
  <c r="AF168" i="15"/>
  <c r="AF167" i="15"/>
  <c r="AF166" i="15"/>
  <c r="AF165" i="15"/>
  <c r="AF164" i="15"/>
  <c r="AF163" i="15"/>
  <c r="AF162" i="15"/>
  <c r="AF161" i="15"/>
  <c r="AF160" i="15"/>
  <c r="AF159" i="15"/>
  <c r="AF158" i="15"/>
  <c r="AF157" i="15"/>
  <c r="AF156" i="15"/>
  <c r="AF155" i="15"/>
  <c r="AF154" i="15"/>
  <c r="AF153" i="15"/>
  <c r="AF152" i="15"/>
  <c r="AF151" i="15"/>
  <c r="AF150" i="15"/>
  <c r="AF149" i="15"/>
  <c r="AF148" i="15"/>
  <c r="AF147" i="15"/>
  <c r="AF146" i="15"/>
  <c r="AF145" i="15"/>
  <c r="AF144" i="15"/>
  <c r="AF143" i="15"/>
  <c r="AF142" i="15"/>
  <c r="AF141" i="15"/>
  <c r="AF140" i="15"/>
  <c r="AF139" i="15"/>
  <c r="AF138" i="15"/>
  <c r="AF137" i="15"/>
  <c r="AF136" i="15"/>
  <c r="AF135" i="15"/>
  <c r="AF134" i="15"/>
  <c r="AF133" i="15"/>
  <c r="AF132" i="15"/>
  <c r="AF131" i="15"/>
  <c r="AF130" i="15"/>
  <c r="AF129" i="15"/>
  <c r="AF128" i="15"/>
  <c r="AF127" i="15"/>
  <c r="AF126" i="15"/>
  <c r="AF125" i="15"/>
  <c r="AF124" i="15"/>
  <c r="AF123" i="15"/>
  <c r="AF122" i="15"/>
  <c r="AF121" i="15"/>
  <c r="AF120" i="15"/>
  <c r="AF119" i="15"/>
  <c r="AF118" i="15"/>
  <c r="AF117" i="15"/>
  <c r="AF116" i="15"/>
  <c r="AF115" i="15"/>
  <c r="AF114" i="15"/>
  <c r="AF113" i="15"/>
  <c r="AF112" i="15"/>
  <c r="AF111" i="15"/>
  <c r="AF110" i="15"/>
  <c r="AF109" i="15"/>
  <c r="AF108" i="15"/>
  <c r="AF107" i="15"/>
  <c r="AF106" i="15"/>
  <c r="AF105" i="15"/>
  <c r="AF104" i="15"/>
  <c r="AF103" i="15"/>
  <c r="AF102" i="15"/>
  <c r="AF101" i="15"/>
  <c r="AF100" i="15"/>
  <c r="AF99" i="15"/>
  <c r="AF98" i="15"/>
  <c r="AF97" i="15"/>
  <c r="AF96" i="15"/>
  <c r="AF95" i="15"/>
  <c r="AF94" i="15"/>
  <c r="AF93" i="15"/>
  <c r="AF92" i="15"/>
  <c r="AF91" i="15"/>
  <c r="AF90" i="15"/>
  <c r="AF89" i="15"/>
  <c r="AF88" i="15"/>
  <c r="AF87" i="15"/>
  <c r="AF86" i="15"/>
  <c r="AF85" i="15"/>
  <c r="AF84" i="15"/>
  <c r="AF83" i="15"/>
  <c r="AF82" i="15"/>
  <c r="AF81" i="15"/>
  <c r="AF80" i="15"/>
  <c r="AF79" i="15"/>
  <c r="AF78" i="15"/>
  <c r="AF77" i="15"/>
  <c r="AF76" i="15"/>
  <c r="AF75" i="15"/>
  <c r="AF74" i="15"/>
  <c r="AF73" i="15"/>
  <c r="AF72" i="15"/>
  <c r="AF71" i="15"/>
  <c r="AF70" i="15"/>
  <c r="AF69" i="15"/>
  <c r="AF68" i="15"/>
  <c r="AF67" i="15"/>
  <c r="AF66" i="15"/>
  <c r="AF65" i="15"/>
  <c r="AF64" i="15"/>
  <c r="AF63" i="15"/>
  <c r="AF62" i="15"/>
  <c r="AF61" i="15"/>
  <c r="AF60" i="15"/>
  <c r="AF59" i="15"/>
  <c r="AF58" i="15"/>
  <c r="AF57" i="15"/>
  <c r="AF56" i="15"/>
  <c r="AF55" i="15"/>
  <c r="AF54" i="15"/>
  <c r="AF53" i="15"/>
  <c r="AF52" i="15"/>
  <c r="AF51" i="15"/>
  <c r="AF50" i="15"/>
  <c r="AF49" i="15"/>
  <c r="AF48" i="15"/>
  <c r="AF47" i="15"/>
  <c r="AF46" i="15"/>
  <c r="AF45" i="15"/>
  <c r="AF44" i="15"/>
  <c r="AF43" i="15"/>
  <c r="AF42" i="15"/>
  <c r="AF41" i="15"/>
  <c r="AF40" i="15"/>
  <c r="AF39" i="15"/>
  <c r="AF38" i="15"/>
  <c r="AF37" i="15"/>
  <c r="AF36" i="15"/>
  <c r="AF35" i="15"/>
  <c r="AF34" i="15"/>
  <c r="AF33" i="15"/>
  <c r="AF32" i="15"/>
  <c r="AF31" i="15"/>
  <c r="AF30" i="15"/>
  <c r="AF29" i="15"/>
  <c r="AF28" i="15"/>
  <c r="AF27" i="15"/>
  <c r="AF26" i="15"/>
  <c r="AF25" i="15"/>
  <c r="AF24" i="15"/>
  <c r="AF23" i="15"/>
  <c r="AF22" i="15"/>
  <c r="AF21" i="15"/>
  <c r="AF20" i="15"/>
  <c r="AF19" i="15"/>
  <c r="AF18" i="15"/>
  <c r="AF17" i="15"/>
  <c r="AF16" i="15"/>
  <c r="AF15" i="15"/>
  <c r="AF14" i="15"/>
  <c r="AF13" i="15"/>
  <c r="AF12" i="15"/>
  <c r="AF11" i="15"/>
  <c r="AF10" i="15"/>
  <c r="AF9" i="15"/>
  <c r="AF8" i="15"/>
  <c r="AF7" i="15"/>
  <c r="AF6" i="15"/>
  <c r="AF5" i="15"/>
  <c r="AF4" i="15"/>
  <c r="AF3" i="15"/>
  <c r="AF202" i="14"/>
  <c r="AF201" i="14"/>
  <c r="AF200" i="14"/>
  <c r="AF199" i="14"/>
  <c r="AF198" i="14"/>
  <c r="AF197" i="14"/>
  <c r="AF196" i="14"/>
  <c r="AF195" i="14"/>
  <c r="AF194" i="14"/>
  <c r="AF193" i="14"/>
  <c r="AF192" i="14"/>
  <c r="AF191" i="14"/>
  <c r="AF190" i="14"/>
  <c r="AF189" i="14"/>
  <c r="AF188" i="14"/>
  <c r="AF187" i="14"/>
  <c r="AF186" i="14"/>
  <c r="AF185" i="14"/>
  <c r="AF184" i="14"/>
  <c r="AF183" i="14"/>
  <c r="AF182" i="14"/>
  <c r="AF181" i="14"/>
  <c r="AF180" i="14"/>
  <c r="AF179" i="14"/>
  <c r="AF178" i="14"/>
  <c r="AF177" i="14"/>
  <c r="AF176" i="14"/>
  <c r="AF175" i="14"/>
  <c r="AF174" i="14"/>
  <c r="AF173" i="14"/>
  <c r="AF172" i="14"/>
  <c r="AF171" i="14"/>
  <c r="AF170" i="14"/>
  <c r="AF169" i="14"/>
  <c r="AF168" i="14"/>
  <c r="AF167" i="14"/>
  <c r="AF166" i="14"/>
  <c r="AF165" i="14"/>
  <c r="AF164" i="14"/>
  <c r="AF163" i="14"/>
  <c r="AF162" i="14"/>
  <c r="AF161" i="14"/>
  <c r="AF160" i="14"/>
  <c r="AF159" i="14"/>
  <c r="AF158" i="14"/>
  <c r="AF157" i="14"/>
  <c r="AF156" i="14"/>
  <c r="AF155" i="14"/>
  <c r="AF154" i="14"/>
  <c r="AF153" i="14"/>
  <c r="AF152" i="14"/>
  <c r="AF151" i="14"/>
  <c r="AF150" i="14"/>
  <c r="AF149" i="14"/>
  <c r="AF148" i="14"/>
  <c r="AF147" i="14"/>
  <c r="AF146" i="14"/>
  <c r="AF145" i="14"/>
  <c r="AF144" i="14"/>
  <c r="AF143" i="14"/>
  <c r="AF142" i="14"/>
  <c r="AF141" i="14"/>
  <c r="AF140" i="14"/>
  <c r="AF139" i="14"/>
  <c r="AF138" i="14"/>
  <c r="AF137" i="14"/>
  <c r="AF136" i="14"/>
  <c r="AF135" i="14"/>
  <c r="AF134" i="14"/>
  <c r="AF133" i="14"/>
  <c r="AF132" i="14"/>
  <c r="AF131" i="14"/>
  <c r="AF130" i="14"/>
  <c r="AF129" i="14"/>
  <c r="AF128" i="14"/>
  <c r="AF127" i="14"/>
  <c r="AF126" i="14"/>
  <c r="AF125" i="14"/>
  <c r="AF124" i="14"/>
  <c r="AF123" i="14"/>
  <c r="AF122" i="14"/>
  <c r="AF121" i="14"/>
  <c r="AF120" i="14"/>
  <c r="AF119" i="14"/>
  <c r="AF118" i="14"/>
  <c r="AF117" i="14"/>
  <c r="AF116" i="14"/>
  <c r="AF115" i="14"/>
  <c r="AF114" i="14"/>
  <c r="AF113" i="14"/>
  <c r="AF112" i="14"/>
  <c r="AF111" i="14"/>
  <c r="AF110" i="14"/>
  <c r="AF109" i="14"/>
  <c r="AF108" i="14"/>
  <c r="AF107" i="14"/>
  <c r="AF106" i="14"/>
  <c r="AF105" i="14"/>
  <c r="AF104" i="14"/>
  <c r="AF103" i="14"/>
  <c r="AF102" i="14"/>
  <c r="AF101" i="14"/>
  <c r="AF100" i="14"/>
  <c r="AF99" i="14"/>
  <c r="AF98" i="14"/>
  <c r="AF97" i="14"/>
  <c r="AF96" i="14"/>
  <c r="AF95" i="14"/>
  <c r="AF94" i="14"/>
  <c r="AF93" i="14"/>
  <c r="AF92" i="14"/>
  <c r="AF91" i="14"/>
  <c r="AF90" i="14"/>
  <c r="AF89" i="14"/>
  <c r="AF88" i="14"/>
  <c r="AF87" i="14"/>
  <c r="AF86" i="14"/>
  <c r="AF85" i="14"/>
  <c r="AF84" i="14"/>
  <c r="AF83" i="14"/>
  <c r="AF82" i="14"/>
  <c r="AF81" i="14"/>
  <c r="AF80" i="14"/>
  <c r="AF79" i="14"/>
  <c r="AF78" i="14"/>
  <c r="AF77" i="14"/>
  <c r="AF76" i="14"/>
  <c r="AF75" i="14"/>
  <c r="AF74" i="14"/>
  <c r="AF73" i="14"/>
  <c r="AF72" i="14"/>
  <c r="AF71" i="14"/>
  <c r="AF70" i="14"/>
  <c r="AF69" i="14"/>
  <c r="AF68" i="14"/>
  <c r="AF67" i="14"/>
  <c r="AF66" i="14"/>
  <c r="AF65" i="14"/>
  <c r="AF64" i="14"/>
  <c r="AF63" i="14"/>
  <c r="AF62" i="14"/>
  <c r="AF61" i="14"/>
  <c r="AF60" i="14"/>
  <c r="AF59" i="14"/>
  <c r="AF58" i="14"/>
  <c r="AF57" i="14"/>
  <c r="AF56" i="14"/>
  <c r="AF55" i="14"/>
  <c r="AF54" i="14"/>
  <c r="AF53" i="14"/>
  <c r="AF52" i="14"/>
  <c r="AF51" i="14"/>
  <c r="AF50" i="14"/>
  <c r="AF49" i="14"/>
  <c r="AF48" i="14"/>
  <c r="AF47" i="14"/>
  <c r="AF46" i="14"/>
  <c r="AF45" i="14"/>
  <c r="AF44" i="14"/>
  <c r="AF43" i="14"/>
  <c r="AF42" i="14"/>
  <c r="AF41" i="14"/>
  <c r="AF40" i="14"/>
  <c r="AF39" i="14"/>
  <c r="AF38" i="14"/>
  <c r="AF37" i="14"/>
  <c r="AF36" i="14"/>
  <c r="AF35" i="14"/>
  <c r="AF34" i="14"/>
  <c r="AF33" i="14"/>
  <c r="AF32" i="14"/>
  <c r="AF31" i="14"/>
  <c r="AF30" i="14"/>
  <c r="AF29" i="14"/>
  <c r="AF28" i="14"/>
  <c r="AF27" i="14"/>
  <c r="AF26" i="14"/>
  <c r="AF25" i="14"/>
  <c r="AF24" i="14"/>
  <c r="AF23" i="14"/>
  <c r="AF22" i="14"/>
  <c r="AF21" i="14"/>
  <c r="AF20" i="14"/>
  <c r="AF19" i="14"/>
  <c r="AF18" i="14"/>
  <c r="AF17" i="14"/>
  <c r="AF16" i="14"/>
  <c r="AF15" i="14"/>
  <c r="AF14" i="14"/>
  <c r="AF13" i="14"/>
  <c r="AF12" i="14"/>
  <c r="AF11" i="14"/>
  <c r="AF10" i="14"/>
  <c r="AF9" i="14"/>
  <c r="AF8" i="14"/>
  <c r="AF7" i="14"/>
  <c r="AF6" i="14"/>
  <c r="AF5" i="14"/>
  <c r="AF4" i="14"/>
  <c r="AF3" i="14"/>
  <c r="AF202" i="12"/>
  <c r="AF201" i="12"/>
  <c r="AF200" i="12"/>
  <c r="AF199" i="12"/>
  <c r="AF198" i="12"/>
  <c r="AF197" i="12"/>
  <c r="AF196" i="12"/>
  <c r="AF195" i="12"/>
  <c r="AF194" i="12"/>
  <c r="AF193" i="12"/>
  <c r="AF192" i="12"/>
  <c r="AF191" i="12"/>
  <c r="AF190" i="12"/>
  <c r="AF189" i="12"/>
  <c r="AF188" i="12"/>
  <c r="AF187" i="12"/>
  <c r="AF186" i="12"/>
  <c r="AF185" i="12"/>
  <c r="AF184" i="12"/>
  <c r="AF183" i="12"/>
  <c r="AF182" i="12"/>
  <c r="AF181" i="12"/>
  <c r="AF180" i="12"/>
  <c r="AF179" i="12"/>
  <c r="AF178" i="12"/>
  <c r="AF177" i="12"/>
  <c r="AF176" i="12"/>
  <c r="AF175" i="12"/>
  <c r="AF174" i="12"/>
  <c r="AF173" i="12"/>
  <c r="AF172" i="12"/>
  <c r="AF171" i="12"/>
  <c r="AF170" i="12"/>
  <c r="AF169" i="12"/>
  <c r="AF168" i="12"/>
  <c r="AF167" i="12"/>
  <c r="AF166" i="12"/>
  <c r="AF165" i="12"/>
  <c r="AF164" i="12"/>
  <c r="AF163" i="12"/>
  <c r="AF162" i="12"/>
  <c r="AF161" i="12"/>
  <c r="AF160" i="12"/>
  <c r="AF159" i="12"/>
  <c r="AF158" i="12"/>
  <c r="AF157" i="12"/>
  <c r="AF156" i="12"/>
  <c r="AF155" i="12"/>
  <c r="AF154" i="12"/>
  <c r="AF153" i="12"/>
  <c r="AF152" i="12"/>
  <c r="AF151" i="12"/>
  <c r="AF150" i="12"/>
  <c r="AF149" i="12"/>
  <c r="AF148" i="12"/>
  <c r="AF147" i="12"/>
  <c r="AF146" i="12"/>
  <c r="AF145" i="12"/>
  <c r="AF144" i="12"/>
  <c r="AF143" i="12"/>
  <c r="AF142" i="12"/>
  <c r="AF141" i="12"/>
  <c r="AF140" i="12"/>
  <c r="AF139" i="12"/>
  <c r="AF138" i="12"/>
  <c r="AF137" i="12"/>
  <c r="AF136" i="12"/>
  <c r="AF135" i="12"/>
  <c r="AF134" i="12"/>
  <c r="AF133" i="12"/>
  <c r="AF132" i="12"/>
  <c r="AF131" i="12"/>
  <c r="AF130" i="12"/>
  <c r="AF129" i="12"/>
  <c r="AF128" i="12"/>
  <c r="AF127" i="12"/>
  <c r="AF126" i="12"/>
  <c r="AF125" i="12"/>
  <c r="AF124" i="12"/>
  <c r="AF123" i="12"/>
  <c r="AF122" i="12"/>
  <c r="AF121" i="12"/>
  <c r="AF120" i="12"/>
  <c r="AF119" i="12"/>
  <c r="AF118" i="12"/>
  <c r="AF117" i="12"/>
  <c r="AF116" i="12"/>
  <c r="AF115" i="12"/>
  <c r="AF114" i="12"/>
  <c r="AF113" i="12"/>
  <c r="AF112" i="12"/>
  <c r="AF111" i="12"/>
  <c r="AF110" i="12"/>
  <c r="AF109" i="12"/>
  <c r="AF108" i="12"/>
  <c r="AF107" i="12"/>
  <c r="AF106" i="12"/>
  <c r="AF105" i="12"/>
  <c r="AF104" i="12"/>
  <c r="AF103" i="12"/>
  <c r="AF102" i="12"/>
  <c r="AF101" i="12"/>
  <c r="AF100" i="12"/>
  <c r="AF99" i="12"/>
  <c r="AF98" i="12"/>
  <c r="AF97" i="12"/>
  <c r="AF96" i="12"/>
  <c r="AF95" i="12"/>
  <c r="AF94" i="12"/>
  <c r="AF93" i="12"/>
  <c r="AF92" i="12"/>
  <c r="AF91" i="12"/>
  <c r="AF90" i="12"/>
  <c r="AF89" i="12"/>
  <c r="AF88" i="12"/>
  <c r="AF87" i="12"/>
  <c r="AF86" i="12"/>
  <c r="AF85" i="12"/>
  <c r="AF84" i="12"/>
  <c r="AF83" i="12"/>
  <c r="AF82" i="12"/>
  <c r="AF81" i="12"/>
  <c r="AF80" i="12"/>
  <c r="AF79" i="12"/>
  <c r="AF78" i="12"/>
  <c r="AF77" i="12"/>
  <c r="AF76" i="12"/>
  <c r="AF75" i="12"/>
  <c r="AF74" i="12"/>
  <c r="AF73" i="12"/>
  <c r="AF72" i="12"/>
  <c r="AF71" i="12"/>
  <c r="AF70" i="12"/>
  <c r="AF69" i="12"/>
  <c r="AF68" i="12"/>
  <c r="AF67" i="12"/>
  <c r="AF66" i="12"/>
  <c r="AF65" i="12"/>
  <c r="AF64" i="12"/>
  <c r="AF63" i="12"/>
  <c r="AF62" i="12"/>
  <c r="AF61" i="12"/>
  <c r="AF60" i="12"/>
  <c r="AF59" i="12"/>
  <c r="AF58" i="12"/>
  <c r="AF57" i="12"/>
  <c r="AF56" i="12"/>
  <c r="AF55" i="12"/>
  <c r="AF54" i="12"/>
  <c r="AF53" i="12"/>
  <c r="AF52" i="12"/>
  <c r="AF51" i="12"/>
  <c r="AF50" i="12"/>
  <c r="AF49" i="12"/>
  <c r="AF48" i="12"/>
  <c r="AF47" i="12"/>
  <c r="AF46" i="12"/>
  <c r="AF45" i="12"/>
  <c r="AF44" i="12"/>
  <c r="AF43" i="12"/>
  <c r="AF42" i="12"/>
  <c r="AF41" i="12"/>
  <c r="AF40" i="12"/>
  <c r="AF39" i="12"/>
  <c r="AF38" i="12"/>
  <c r="AF37" i="12"/>
  <c r="AF36" i="12"/>
  <c r="AF35" i="12"/>
  <c r="AF34" i="12"/>
  <c r="AF33" i="12"/>
  <c r="AF32" i="12"/>
  <c r="AF31" i="12"/>
  <c r="AF30" i="12"/>
  <c r="AF29" i="12"/>
  <c r="AF28" i="12"/>
  <c r="AF27" i="12"/>
  <c r="AF26" i="12"/>
  <c r="AF25" i="12"/>
  <c r="AF24" i="12"/>
  <c r="AF23" i="12"/>
  <c r="AF22" i="12"/>
  <c r="AF21" i="12"/>
  <c r="AF20" i="12"/>
  <c r="AF19" i="12"/>
  <c r="AF18" i="12"/>
  <c r="AF17" i="12"/>
  <c r="AF16" i="12"/>
  <c r="AF15" i="12"/>
  <c r="AF14" i="12"/>
  <c r="AF13" i="12"/>
  <c r="AF12" i="12"/>
  <c r="AF11" i="12"/>
  <c r="AF10" i="12"/>
  <c r="AF9" i="12"/>
  <c r="AF8" i="12"/>
  <c r="AF7" i="12"/>
  <c r="AF6" i="12"/>
  <c r="AF5" i="12"/>
  <c r="AF4" i="12"/>
  <c r="AF3" i="12"/>
  <c r="AF202" i="11"/>
  <c r="AF201" i="11"/>
  <c r="AF200" i="11"/>
  <c r="AF199" i="11"/>
  <c r="AF198" i="11"/>
  <c r="AF197" i="11"/>
  <c r="AF196" i="11"/>
  <c r="AF195" i="11"/>
  <c r="AF194" i="11"/>
  <c r="AF193" i="11"/>
  <c r="AF192" i="11"/>
  <c r="AF191" i="11"/>
  <c r="AF190" i="11"/>
  <c r="AF189" i="11"/>
  <c r="AF188" i="11"/>
  <c r="AF187" i="11"/>
  <c r="AF186" i="11"/>
  <c r="AF185" i="11"/>
  <c r="AF184" i="11"/>
  <c r="AF183" i="11"/>
  <c r="AF182" i="11"/>
  <c r="AF181" i="11"/>
  <c r="AF180" i="11"/>
  <c r="AF179" i="11"/>
  <c r="AF178" i="11"/>
  <c r="AF177" i="11"/>
  <c r="AF176" i="11"/>
  <c r="AF175" i="11"/>
  <c r="AF174" i="11"/>
  <c r="AF173" i="11"/>
  <c r="AF172" i="11"/>
  <c r="AF171" i="11"/>
  <c r="AF170" i="11"/>
  <c r="AF169" i="11"/>
  <c r="AF168" i="11"/>
  <c r="AF167" i="11"/>
  <c r="AF166" i="11"/>
  <c r="AF165" i="11"/>
  <c r="AF164" i="11"/>
  <c r="AF163" i="11"/>
  <c r="AF162" i="11"/>
  <c r="AF161" i="11"/>
  <c r="AF160" i="11"/>
  <c r="AF159" i="11"/>
  <c r="AF158" i="11"/>
  <c r="AF157" i="11"/>
  <c r="AF156" i="11"/>
  <c r="AF155" i="11"/>
  <c r="AF154" i="11"/>
  <c r="AF153" i="11"/>
  <c r="AF152" i="11"/>
  <c r="AF151" i="11"/>
  <c r="AF150" i="11"/>
  <c r="AF149" i="11"/>
  <c r="AF148" i="11"/>
  <c r="AF147" i="11"/>
  <c r="AF146" i="11"/>
  <c r="AF145" i="11"/>
  <c r="AF144" i="11"/>
  <c r="AF143" i="11"/>
  <c r="AF142" i="11"/>
  <c r="AF141" i="11"/>
  <c r="AF140" i="11"/>
  <c r="AF139" i="11"/>
  <c r="AF138" i="11"/>
  <c r="AF137" i="11"/>
  <c r="AF136" i="11"/>
  <c r="AF135" i="11"/>
  <c r="AF134" i="11"/>
  <c r="AF133" i="11"/>
  <c r="AF132" i="11"/>
  <c r="AF131" i="11"/>
  <c r="AF130" i="11"/>
  <c r="AF129" i="11"/>
  <c r="AF128" i="11"/>
  <c r="AF127" i="11"/>
  <c r="AF126" i="11"/>
  <c r="AF125" i="11"/>
  <c r="AF124" i="11"/>
  <c r="AF123" i="11"/>
  <c r="AF122" i="11"/>
  <c r="AF121" i="11"/>
  <c r="AF120" i="11"/>
  <c r="AF119" i="11"/>
  <c r="AF118" i="11"/>
  <c r="AF117" i="11"/>
  <c r="AF116" i="11"/>
  <c r="AF115" i="11"/>
  <c r="AF114" i="11"/>
  <c r="AF113" i="11"/>
  <c r="AF112" i="11"/>
  <c r="AF111" i="11"/>
  <c r="AF110" i="11"/>
  <c r="AF109" i="11"/>
  <c r="AF108" i="11"/>
  <c r="AF107" i="11"/>
  <c r="AF106" i="11"/>
  <c r="AF105" i="11"/>
  <c r="AF104" i="11"/>
  <c r="AF103" i="11"/>
  <c r="AF102" i="11"/>
  <c r="AF101" i="11"/>
  <c r="AF100" i="11"/>
  <c r="AF99" i="11"/>
  <c r="AF98" i="11"/>
  <c r="AF97" i="11"/>
  <c r="AF96" i="11"/>
  <c r="AF95" i="11"/>
  <c r="AF94" i="11"/>
  <c r="AF93" i="11"/>
  <c r="AF92" i="11"/>
  <c r="AF91" i="11"/>
  <c r="AF90" i="11"/>
  <c r="AF89" i="11"/>
  <c r="AF88" i="11"/>
  <c r="AF87" i="11"/>
  <c r="AF86" i="11"/>
  <c r="AF85" i="11"/>
  <c r="AF84" i="11"/>
  <c r="AF83" i="11"/>
  <c r="AF82" i="11"/>
  <c r="AF81" i="11"/>
  <c r="AF80" i="11"/>
  <c r="AF79" i="11"/>
  <c r="AF78" i="11"/>
  <c r="AF77" i="11"/>
  <c r="AF76" i="11"/>
  <c r="AF75" i="11"/>
  <c r="AF74" i="11"/>
  <c r="AF73" i="11"/>
  <c r="AF72" i="11"/>
  <c r="AF71" i="11"/>
  <c r="AF70" i="11"/>
  <c r="AF69" i="11"/>
  <c r="AF68" i="11"/>
  <c r="AF67" i="11"/>
  <c r="AF66" i="11"/>
  <c r="AF65" i="11"/>
  <c r="AF64" i="11"/>
  <c r="AF63" i="11"/>
  <c r="AF62" i="11"/>
  <c r="AF61" i="11"/>
  <c r="AF60" i="11"/>
  <c r="AF59" i="11"/>
  <c r="AF58" i="11"/>
  <c r="AF57" i="11"/>
  <c r="AF56" i="11"/>
  <c r="AF55" i="11"/>
  <c r="AF54" i="11"/>
  <c r="AF53" i="11"/>
  <c r="AF52" i="11"/>
  <c r="AF51" i="11"/>
  <c r="AF50" i="11"/>
  <c r="AF49" i="11"/>
  <c r="AF48" i="11"/>
  <c r="AF47" i="11"/>
  <c r="AF46" i="11"/>
  <c r="AF45" i="11"/>
  <c r="AF44" i="11"/>
  <c r="AF43" i="11"/>
  <c r="AF42" i="11"/>
  <c r="AF41" i="11"/>
  <c r="AF40" i="11"/>
  <c r="AF39" i="11"/>
  <c r="AF38" i="11"/>
  <c r="AF37" i="11"/>
  <c r="AF36" i="11"/>
  <c r="AF35" i="11"/>
  <c r="AF34" i="11"/>
  <c r="AF33" i="11"/>
  <c r="AF32" i="11"/>
  <c r="AF31" i="11"/>
  <c r="AF30" i="11"/>
  <c r="AF29" i="11"/>
  <c r="AF28" i="11"/>
  <c r="AF27" i="11"/>
  <c r="AF26" i="11"/>
  <c r="AF25" i="11"/>
  <c r="AF24" i="11"/>
  <c r="AF23" i="11"/>
  <c r="AF22" i="11"/>
  <c r="AF21" i="11"/>
  <c r="AF20" i="11"/>
  <c r="AF19" i="11"/>
  <c r="AF18" i="11"/>
  <c r="AF17" i="11"/>
  <c r="AF16" i="11"/>
  <c r="AF15" i="11"/>
  <c r="AF14" i="11"/>
  <c r="AF13" i="11"/>
  <c r="AF12" i="11"/>
  <c r="AF11" i="11"/>
  <c r="AF10" i="11"/>
  <c r="AF9" i="11"/>
  <c r="AF8" i="11"/>
  <c r="AF7" i="11"/>
  <c r="AF6" i="11"/>
  <c r="AF5" i="11"/>
  <c r="AF4" i="11"/>
  <c r="AF3" i="11"/>
  <c r="AF202" i="10"/>
  <c r="AF201" i="10"/>
  <c r="AF200" i="10"/>
  <c r="AF199" i="10"/>
  <c r="AF198" i="10"/>
  <c r="AF197" i="10"/>
  <c r="AF196" i="10"/>
  <c r="AF195" i="10"/>
  <c r="AF194" i="10"/>
  <c r="AF193" i="10"/>
  <c r="AF192" i="10"/>
  <c r="AF191" i="10"/>
  <c r="AF190" i="10"/>
  <c r="AF189" i="10"/>
  <c r="AF188" i="10"/>
  <c r="AF187" i="10"/>
  <c r="AF186" i="10"/>
  <c r="AF185" i="10"/>
  <c r="AF184" i="10"/>
  <c r="AF183" i="10"/>
  <c r="AF182" i="10"/>
  <c r="AF181" i="10"/>
  <c r="AF180" i="10"/>
  <c r="AF179" i="10"/>
  <c r="AF178" i="10"/>
  <c r="AF177" i="10"/>
  <c r="AF176" i="10"/>
  <c r="AF175" i="10"/>
  <c r="AF174" i="10"/>
  <c r="AF173" i="10"/>
  <c r="AF172" i="10"/>
  <c r="AF171" i="10"/>
  <c r="AF170" i="10"/>
  <c r="AF169" i="10"/>
  <c r="AF168" i="10"/>
  <c r="AF167" i="10"/>
  <c r="AF166" i="10"/>
  <c r="AF165" i="10"/>
  <c r="AF164" i="10"/>
  <c r="AF163" i="10"/>
  <c r="AF162" i="10"/>
  <c r="AF161" i="10"/>
  <c r="AF160" i="10"/>
  <c r="AF159" i="10"/>
  <c r="AF158" i="10"/>
  <c r="AF157" i="10"/>
  <c r="AF156" i="10"/>
  <c r="AF155" i="10"/>
  <c r="AF154" i="10"/>
  <c r="AF153" i="10"/>
  <c r="AF152" i="10"/>
  <c r="AF151" i="10"/>
  <c r="AF150" i="10"/>
  <c r="AF149" i="10"/>
  <c r="AF148" i="10"/>
  <c r="AF147" i="10"/>
  <c r="AF146" i="10"/>
  <c r="AF145" i="10"/>
  <c r="AF144" i="10"/>
  <c r="AF143" i="10"/>
  <c r="AF142" i="10"/>
  <c r="AF141" i="10"/>
  <c r="AF140" i="10"/>
  <c r="AF139" i="10"/>
  <c r="AF138" i="10"/>
  <c r="AF137" i="10"/>
  <c r="AF136" i="10"/>
  <c r="AF135" i="10"/>
  <c r="AF134" i="10"/>
  <c r="AF133" i="10"/>
  <c r="AF132" i="10"/>
  <c r="AF131" i="10"/>
  <c r="AF130" i="10"/>
  <c r="AF129" i="10"/>
  <c r="AF128" i="10"/>
  <c r="AF127" i="10"/>
  <c r="AF126" i="10"/>
  <c r="AF125" i="10"/>
  <c r="AF124" i="10"/>
  <c r="AF123" i="10"/>
  <c r="AF122" i="10"/>
  <c r="AF121" i="10"/>
  <c r="AF120" i="10"/>
  <c r="AF119" i="10"/>
  <c r="AF118" i="10"/>
  <c r="AF117" i="10"/>
  <c r="AF116" i="10"/>
  <c r="AF115" i="10"/>
  <c r="AF114" i="10"/>
  <c r="AF113" i="10"/>
  <c r="AF112" i="10"/>
  <c r="AF111" i="10"/>
  <c r="AF110" i="10"/>
  <c r="AF109" i="10"/>
  <c r="AF108" i="10"/>
  <c r="AF107" i="10"/>
  <c r="AF106" i="10"/>
  <c r="AF105" i="10"/>
  <c r="AF104" i="10"/>
  <c r="AF103" i="10"/>
  <c r="AF102" i="10"/>
  <c r="AF101" i="10"/>
  <c r="AF100" i="10"/>
  <c r="AF99" i="10"/>
  <c r="AF98" i="10"/>
  <c r="AF97" i="10"/>
  <c r="AF96" i="10"/>
  <c r="AF95" i="10"/>
  <c r="AF94" i="10"/>
  <c r="AF93" i="10"/>
  <c r="AF92" i="10"/>
  <c r="AF91" i="10"/>
  <c r="AF90" i="10"/>
  <c r="AF89" i="10"/>
  <c r="AF88" i="10"/>
  <c r="AF87" i="10"/>
  <c r="AF86" i="10"/>
  <c r="AF85" i="10"/>
  <c r="AF84" i="10"/>
  <c r="AF83" i="10"/>
  <c r="AF82" i="10"/>
  <c r="AF81" i="10"/>
  <c r="AF80" i="10"/>
  <c r="AF79" i="10"/>
  <c r="AF78" i="10"/>
  <c r="AF77" i="10"/>
  <c r="AF76" i="10"/>
  <c r="AF75" i="10"/>
  <c r="AF74" i="10"/>
  <c r="AF73" i="10"/>
  <c r="AF72" i="10"/>
  <c r="AF71" i="10"/>
  <c r="AF70" i="10"/>
  <c r="AF69" i="10"/>
  <c r="AF68" i="10"/>
  <c r="AF67" i="10"/>
  <c r="AF66" i="10"/>
  <c r="AF65" i="10"/>
  <c r="AF64" i="10"/>
  <c r="AF63" i="10"/>
  <c r="AF62" i="10"/>
  <c r="AF61" i="10"/>
  <c r="AF60" i="10"/>
  <c r="AF59" i="10"/>
  <c r="AF58" i="10"/>
  <c r="AF57" i="10"/>
  <c r="AF56" i="10"/>
  <c r="AF55" i="10"/>
  <c r="AF54" i="10"/>
  <c r="AF53" i="10"/>
  <c r="AF52" i="10"/>
  <c r="AF51" i="10"/>
  <c r="AF50" i="10"/>
  <c r="AF49" i="10"/>
  <c r="AF48" i="10"/>
  <c r="AF47" i="10"/>
  <c r="AF46" i="10"/>
  <c r="AF45" i="10"/>
  <c r="AF44" i="10"/>
  <c r="AF43" i="10"/>
  <c r="AF42" i="10"/>
  <c r="AF41" i="10"/>
  <c r="AF40" i="10"/>
  <c r="AF39" i="10"/>
  <c r="AF38" i="10"/>
  <c r="AF37" i="10"/>
  <c r="AF36" i="10"/>
  <c r="AF35" i="10"/>
  <c r="AF34" i="10"/>
  <c r="AF33" i="10"/>
  <c r="AF32" i="10"/>
  <c r="AF31" i="10"/>
  <c r="AF30" i="10"/>
  <c r="AF29" i="10"/>
  <c r="AF28" i="10"/>
  <c r="AF27" i="10"/>
  <c r="AF26" i="10"/>
  <c r="AF25" i="10"/>
  <c r="AF24" i="10"/>
  <c r="AF23" i="10"/>
  <c r="AF22" i="10"/>
  <c r="AF21" i="10"/>
  <c r="AF20" i="10"/>
  <c r="AF19" i="10"/>
  <c r="AF18" i="10"/>
  <c r="AF17" i="10"/>
  <c r="AF16" i="10"/>
  <c r="AF15" i="10"/>
  <c r="AF14" i="10"/>
  <c r="AF13" i="10"/>
  <c r="AF12" i="10"/>
  <c r="AF11" i="10"/>
  <c r="AF10" i="10"/>
  <c r="AF9" i="10"/>
  <c r="AF8" i="10"/>
  <c r="AF7" i="10"/>
  <c r="AF6" i="10"/>
  <c r="AF5" i="10"/>
  <c r="AF4" i="10"/>
  <c r="AF3" i="10"/>
  <c r="AF202" i="8"/>
  <c r="AF201" i="8"/>
  <c r="AF200" i="8"/>
  <c r="AF199" i="8"/>
  <c r="AF198" i="8"/>
  <c r="AF197" i="8"/>
  <c r="AF196" i="8"/>
  <c r="AF195" i="8"/>
  <c r="AF194" i="8"/>
  <c r="AF193" i="8"/>
  <c r="AF192" i="8"/>
  <c r="AF191" i="8"/>
  <c r="AF190" i="8"/>
  <c r="AF189" i="8"/>
  <c r="AF188" i="8"/>
  <c r="AF187" i="8"/>
  <c r="AF186" i="8"/>
  <c r="AF185" i="8"/>
  <c r="AF184" i="8"/>
  <c r="AF183" i="8"/>
  <c r="AF182" i="8"/>
  <c r="AF181" i="8"/>
  <c r="AF180" i="8"/>
  <c r="AF179" i="8"/>
  <c r="AF178" i="8"/>
  <c r="AF177" i="8"/>
  <c r="AF176" i="8"/>
  <c r="AF175" i="8"/>
  <c r="AF174" i="8"/>
  <c r="AF173" i="8"/>
  <c r="AF172" i="8"/>
  <c r="AF171" i="8"/>
  <c r="AF170" i="8"/>
  <c r="AF169" i="8"/>
  <c r="AF168" i="8"/>
  <c r="AF167" i="8"/>
  <c r="AF166" i="8"/>
  <c r="AF165" i="8"/>
  <c r="AF164" i="8"/>
  <c r="AF163" i="8"/>
  <c r="AF162" i="8"/>
  <c r="AF161" i="8"/>
  <c r="AF160" i="8"/>
  <c r="AF159" i="8"/>
  <c r="AF158" i="8"/>
  <c r="AF157" i="8"/>
  <c r="AF156" i="8"/>
  <c r="AF155" i="8"/>
  <c r="AF154" i="8"/>
  <c r="AF153" i="8"/>
  <c r="AF152" i="8"/>
  <c r="AF151" i="8"/>
  <c r="AF150" i="8"/>
  <c r="AF149" i="8"/>
  <c r="AF148" i="8"/>
  <c r="AF147" i="8"/>
  <c r="AF146" i="8"/>
  <c r="AF145" i="8"/>
  <c r="AF144" i="8"/>
  <c r="AF143" i="8"/>
  <c r="AF142" i="8"/>
  <c r="AF141" i="8"/>
  <c r="AF140" i="8"/>
  <c r="AF139" i="8"/>
  <c r="AF138" i="8"/>
  <c r="AF137" i="8"/>
  <c r="AF136" i="8"/>
  <c r="AF135" i="8"/>
  <c r="AF134" i="8"/>
  <c r="AF133" i="8"/>
  <c r="AF132" i="8"/>
  <c r="AF131" i="8"/>
  <c r="AF130" i="8"/>
  <c r="AF129" i="8"/>
  <c r="AF128" i="8"/>
  <c r="AF127" i="8"/>
  <c r="AF126" i="8"/>
  <c r="AF125" i="8"/>
  <c r="AF124" i="8"/>
  <c r="AF123" i="8"/>
  <c r="AF122" i="8"/>
  <c r="AF121" i="8"/>
  <c r="AF120" i="8"/>
  <c r="AF119" i="8"/>
  <c r="AF118" i="8"/>
  <c r="AF117" i="8"/>
  <c r="AF116" i="8"/>
  <c r="AF115" i="8"/>
  <c r="AF114" i="8"/>
  <c r="AF113" i="8"/>
  <c r="AF112" i="8"/>
  <c r="AF111" i="8"/>
  <c r="AF110" i="8"/>
  <c r="AF109" i="8"/>
  <c r="AF108" i="8"/>
  <c r="AF107" i="8"/>
  <c r="AF106" i="8"/>
  <c r="AF105" i="8"/>
  <c r="AF104" i="8"/>
  <c r="AF103" i="8"/>
  <c r="AF102" i="8"/>
  <c r="AF101" i="8"/>
  <c r="AF100" i="8"/>
  <c r="AF99" i="8"/>
  <c r="AF98" i="8"/>
  <c r="AF97" i="8"/>
  <c r="AF96" i="8"/>
  <c r="AF95" i="8"/>
  <c r="AF94" i="8"/>
  <c r="AF93" i="8"/>
  <c r="AF92" i="8"/>
  <c r="AF91" i="8"/>
  <c r="AF90" i="8"/>
  <c r="AF89" i="8"/>
  <c r="AF88" i="8"/>
  <c r="AF87" i="8"/>
  <c r="AF86" i="8"/>
  <c r="AF85" i="8"/>
  <c r="AF84" i="8"/>
  <c r="AF83" i="8"/>
  <c r="AF82" i="8"/>
  <c r="AF81" i="8"/>
  <c r="AF80" i="8"/>
  <c r="AF79" i="8"/>
  <c r="AF78" i="8"/>
  <c r="AF77" i="8"/>
  <c r="AF76" i="8"/>
  <c r="AF75" i="8"/>
  <c r="AF74" i="8"/>
  <c r="AF73" i="8"/>
  <c r="AF72" i="8"/>
  <c r="AF71" i="8"/>
  <c r="AF70" i="8"/>
  <c r="AF69" i="8"/>
  <c r="AF68" i="8"/>
  <c r="AF67" i="8"/>
  <c r="AF66" i="8"/>
  <c r="AF65" i="8"/>
  <c r="AF64" i="8"/>
  <c r="AF63" i="8"/>
  <c r="AF62" i="8"/>
  <c r="AF61" i="8"/>
  <c r="AF60" i="8"/>
  <c r="AF59" i="8"/>
  <c r="AF58" i="8"/>
  <c r="AF57" i="8"/>
  <c r="AF56" i="8"/>
  <c r="AF55" i="8"/>
  <c r="AF54" i="8"/>
  <c r="AF53" i="8"/>
  <c r="AF52" i="8"/>
  <c r="AF51" i="8"/>
  <c r="AF50" i="8"/>
  <c r="AF49" i="8"/>
  <c r="AF48" i="8"/>
  <c r="AF47" i="8"/>
  <c r="AF46" i="8"/>
  <c r="AF45" i="8"/>
  <c r="AF44" i="8"/>
  <c r="AF43" i="8"/>
  <c r="AF42" i="8"/>
  <c r="AF41" i="8"/>
  <c r="AF40" i="8"/>
  <c r="AF39" i="8"/>
  <c r="AF38" i="8"/>
  <c r="AF37" i="8"/>
  <c r="AF36" i="8"/>
  <c r="AF35" i="8"/>
  <c r="AF34" i="8"/>
  <c r="AF33" i="8"/>
  <c r="AF32" i="8"/>
  <c r="AF31" i="8"/>
  <c r="AF30" i="8"/>
  <c r="AF29" i="8"/>
  <c r="AF28" i="8"/>
  <c r="AF27" i="8"/>
  <c r="AF26" i="8"/>
  <c r="AF25" i="8"/>
  <c r="AF24" i="8"/>
  <c r="AF23" i="8"/>
  <c r="AF22" i="8"/>
  <c r="AF21" i="8"/>
  <c r="AF20" i="8"/>
  <c r="AF19" i="8"/>
  <c r="AF18" i="8"/>
  <c r="AF17" i="8"/>
  <c r="AF16" i="8"/>
  <c r="AF15" i="8"/>
  <c r="AF14" i="8"/>
  <c r="AF13" i="8"/>
  <c r="AF12" i="8"/>
  <c r="AF11" i="8"/>
  <c r="AF10" i="8"/>
  <c r="AF9" i="8"/>
  <c r="AF8" i="8"/>
  <c r="AF7" i="8"/>
  <c r="AF6" i="8"/>
  <c r="AF5" i="8"/>
  <c r="AF4" i="8"/>
  <c r="AF3" i="8"/>
  <c r="AF202" i="7"/>
  <c r="AF201" i="7"/>
  <c r="AF200" i="7"/>
  <c r="AF199" i="7"/>
  <c r="AF198" i="7"/>
  <c r="AF197" i="7"/>
  <c r="AF196" i="7"/>
  <c r="AF195" i="7"/>
  <c r="AF194" i="7"/>
  <c r="AF193" i="7"/>
  <c r="AF192" i="7"/>
  <c r="AF191" i="7"/>
  <c r="AF190" i="7"/>
  <c r="AF189" i="7"/>
  <c r="AF188" i="7"/>
  <c r="AF187" i="7"/>
  <c r="AF186" i="7"/>
  <c r="AF185" i="7"/>
  <c r="AF184" i="7"/>
  <c r="AF183" i="7"/>
  <c r="AF182" i="7"/>
  <c r="AF181" i="7"/>
  <c r="AF180" i="7"/>
  <c r="AF179" i="7"/>
  <c r="AF178" i="7"/>
  <c r="AF177" i="7"/>
  <c r="AF176" i="7"/>
  <c r="AF175" i="7"/>
  <c r="AF174" i="7"/>
  <c r="AF173" i="7"/>
  <c r="AF172" i="7"/>
  <c r="AF171" i="7"/>
  <c r="AF170" i="7"/>
  <c r="AF169" i="7"/>
  <c r="AF168" i="7"/>
  <c r="AF167" i="7"/>
  <c r="AF166" i="7"/>
  <c r="AF165" i="7"/>
  <c r="AF164" i="7"/>
  <c r="AF163" i="7"/>
  <c r="AF162" i="7"/>
  <c r="AF161" i="7"/>
  <c r="AF160" i="7"/>
  <c r="AF159" i="7"/>
  <c r="AF158" i="7"/>
  <c r="AF157" i="7"/>
  <c r="AF156" i="7"/>
  <c r="AF155" i="7"/>
  <c r="AF154" i="7"/>
  <c r="AF153" i="7"/>
  <c r="AF152" i="7"/>
  <c r="AF151" i="7"/>
  <c r="AF150" i="7"/>
  <c r="AF149" i="7"/>
  <c r="AF148" i="7"/>
  <c r="AF147" i="7"/>
  <c r="AF146" i="7"/>
  <c r="AF145" i="7"/>
  <c r="AF144" i="7"/>
  <c r="AF143" i="7"/>
  <c r="AF142" i="7"/>
  <c r="AF141" i="7"/>
  <c r="AF140" i="7"/>
  <c r="AF139" i="7"/>
  <c r="AF138" i="7"/>
  <c r="AF137" i="7"/>
  <c r="AF136" i="7"/>
  <c r="AF135" i="7"/>
  <c r="AF134" i="7"/>
  <c r="AF133" i="7"/>
  <c r="AF132" i="7"/>
  <c r="AF131" i="7"/>
  <c r="AF130" i="7"/>
  <c r="AF129" i="7"/>
  <c r="AF128" i="7"/>
  <c r="AF127" i="7"/>
  <c r="AF126" i="7"/>
  <c r="AF125" i="7"/>
  <c r="AF124" i="7"/>
  <c r="AF123" i="7"/>
  <c r="AF122" i="7"/>
  <c r="AF121" i="7"/>
  <c r="AF120" i="7"/>
  <c r="AF119" i="7"/>
  <c r="AF118" i="7"/>
  <c r="AF117" i="7"/>
  <c r="AF116" i="7"/>
  <c r="AF115" i="7"/>
  <c r="AF114" i="7"/>
  <c r="AF113" i="7"/>
  <c r="AF112" i="7"/>
  <c r="AF111" i="7"/>
  <c r="AF110" i="7"/>
  <c r="AF109" i="7"/>
  <c r="AF108" i="7"/>
  <c r="AF107" i="7"/>
  <c r="AF106" i="7"/>
  <c r="AF105" i="7"/>
  <c r="AF104" i="7"/>
  <c r="AF103" i="7"/>
  <c r="AF102" i="7"/>
  <c r="AF101" i="7"/>
  <c r="AF100" i="7"/>
  <c r="AF99" i="7"/>
  <c r="AF98" i="7"/>
  <c r="AF97" i="7"/>
  <c r="AF96" i="7"/>
  <c r="AF95" i="7"/>
  <c r="AF94" i="7"/>
  <c r="AF93" i="7"/>
  <c r="AF92" i="7"/>
  <c r="AF91" i="7"/>
  <c r="AF90" i="7"/>
  <c r="AF89" i="7"/>
  <c r="AF88" i="7"/>
  <c r="AF87" i="7"/>
  <c r="AF86" i="7"/>
  <c r="AF85" i="7"/>
  <c r="AF84" i="7"/>
  <c r="AF83" i="7"/>
  <c r="AF82" i="7"/>
  <c r="AF81" i="7"/>
  <c r="AF80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62" i="7"/>
  <c r="AF61" i="7"/>
  <c r="AF60" i="7"/>
  <c r="AF59" i="7"/>
  <c r="AF58" i="7"/>
  <c r="AF57" i="7"/>
  <c r="AF56" i="7"/>
  <c r="AF55" i="7"/>
  <c r="AF54" i="7"/>
  <c r="AF53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C3" i="19" s="1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C12" i="6"/>
  <c r="AF3" i="5"/>
  <c r="D64" i="2"/>
  <c r="E64" i="2" s="1"/>
  <c r="F64" i="2" s="1"/>
  <c r="D68" i="2"/>
  <c r="E68" i="2" s="1"/>
  <c r="F68" i="2" s="1"/>
  <c r="D71" i="2"/>
  <c r="E71" i="2" s="1"/>
  <c r="F71" i="2" s="1"/>
  <c r="D72" i="2"/>
  <c r="E72" i="2" s="1"/>
  <c r="F72" i="2" s="1"/>
  <c r="D75" i="2"/>
  <c r="E75" i="2" s="1"/>
  <c r="F75" i="2" s="1"/>
  <c r="D76" i="2"/>
  <c r="E76" i="2" s="1"/>
  <c r="F76" i="2" s="1"/>
  <c r="D79" i="2"/>
  <c r="E79" i="2" s="1"/>
  <c r="F79" i="2" s="1"/>
  <c r="D80" i="2"/>
  <c r="E80" i="2" s="1"/>
  <c r="F80" i="2" s="1"/>
  <c r="D83" i="2"/>
  <c r="E83" i="2" s="1"/>
  <c r="F83" i="2" s="1"/>
  <c r="D84" i="2"/>
  <c r="E84" i="2" s="1"/>
  <c r="F84" i="2" s="1"/>
  <c r="D87" i="2"/>
  <c r="E87" i="2" s="1"/>
  <c r="F87" i="2" s="1"/>
  <c r="D88" i="2"/>
  <c r="E88" i="2" s="1"/>
  <c r="F88" i="2" s="1"/>
  <c r="D91" i="2"/>
  <c r="E91" i="2" s="1"/>
  <c r="F91" i="2" s="1"/>
  <c r="D92" i="2"/>
  <c r="E92" i="2" s="1"/>
  <c r="F92" i="2" s="1"/>
  <c r="D95" i="2"/>
  <c r="E95" i="2" s="1"/>
  <c r="F95" i="2" s="1"/>
  <c r="D96" i="2"/>
  <c r="E96" i="2" s="1"/>
  <c r="F96" i="2" s="1"/>
  <c r="D99" i="2"/>
  <c r="E99" i="2" s="1"/>
  <c r="F99" i="2" s="1"/>
  <c r="D100" i="2"/>
  <c r="E100" i="2" s="1"/>
  <c r="F100" i="2" s="1"/>
  <c r="D104" i="2"/>
  <c r="E104" i="2" s="1"/>
  <c r="F104" i="2" s="1"/>
  <c r="D107" i="2"/>
  <c r="E107" i="2" s="1"/>
  <c r="F107" i="2" s="1"/>
  <c r="D108" i="2"/>
  <c r="E108" i="2" s="1"/>
  <c r="F108" i="2" s="1"/>
  <c r="D112" i="2"/>
  <c r="E112" i="2" s="1"/>
  <c r="F112" i="2" s="1"/>
  <c r="D115" i="2"/>
  <c r="E115" i="2" s="1"/>
  <c r="F115" i="2" s="1"/>
  <c r="D116" i="2"/>
  <c r="E116" i="2" s="1"/>
  <c r="F116" i="2" s="1"/>
  <c r="D120" i="2"/>
  <c r="E120" i="2" s="1"/>
  <c r="F120" i="2" s="1"/>
  <c r="D123" i="2"/>
  <c r="E123" i="2" s="1"/>
  <c r="F123" i="2" s="1"/>
  <c r="D124" i="2"/>
  <c r="E124" i="2" s="1"/>
  <c r="F124" i="2" s="1"/>
  <c r="D127" i="2"/>
  <c r="E127" i="2" s="1"/>
  <c r="F127" i="2" s="1"/>
  <c r="D130" i="2"/>
  <c r="E130" i="2" s="1"/>
  <c r="F130" i="2" s="1"/>
  <c r="D131" i="2"/>
  <c r="E131" i="2" s="1"/>
  <c r="F131" i="2" s="1"/>
  <c r="D135" i="2"/>
  <c r="E135" i="2" s="1"/>
  <c r="F135" i="2" s="1"/>
  <c r="D138" i="2"/>
  <c r="E138" i="2" s="1"/>
  <c r="F138" i="2" s="1"/>
  <c r="D139" i="2"/>
  <c r="E139" i="2" s="1"/>
  <c r="F139" i="2" s="1"/>
  <c r="D142" i="2"/>
  <c r="E142" i="2" s="1"/>
  <c r="F142" i="2" s="1"/>
  <c r="D143" i="2"/>
  <c r="E143" i="2" s="1"/>
  <c r="F143" i="2" s="1"/>
  <c r="D146" i="2"/>
  <c r="E146" i="2" s="1"/>
  <c r="F146" i="2" s="1"/>
  <c r="D147" i="2"/>
  <c r="E147" i="2" s="1"/>
  <c r="F147" i="2" s="1"/>
  <c r="D151" i="2"/>
  <c r="E151" i="2" s="1"/>
  <c r="F151" i="2" s="1"/>
  <c r="D154" i="2"/>
  <c r="E154" i="2" s="1"/>
  <c r="F154" i="2" s="1"/>
  <c r="D155" i="2"/>
  <c r="E155" i="2" s="1"/>
  <c r="F155" i="2" s="1"/>
  <c r="D158" i="2"/>
  <c r="E158" i="2" s="1"/>
  <c r="F158" i="2" s="1"/>
  <c r="D159" i="2"/>
  <c r="E159" i="2" s="1"/>
  <c r="F159" i="2" s="1"/>
  <c r="D162" i="2"/>
  <c r="E162" i="2" s="1"/>
  <c r="F162" i="2" s="1"/>
  <c r="D163" i="2"/>
  <c r="E163" i="2" s="1"/>
  <c r="F163" i="2" s="1"/>
  <c r="D165" i="2"/>
  <c r="E165" i="2" s="1"/>
  <c r="F165" i="2" s="1"/>
  <c r="D169" i="2"/>
  <c r="E169" i="2" s="1"/>
  <c r="F169" i="2" s="1"/>
  <c r="D172" i="2"/>
  <c r="E172" i="2" s="1"/>
  <c r="F172" i="2" s="1"/>
  <c r="D173" i="2"/>
  <c r="E173" i="2" s="1"/>
  <c r="F173" i="2" s="1"/>
  <c r="D177" i="2"/>
  <c r="E177" i="2" s="1"/>
  <c r="F177" i="2" s="1"/>
  <c r="D180" i="2"/>
  <c r="E180" i="2" s="1"/>
  <c r="F180" i="2" s="1"/>
  <c r="D181" i="2"/>
  <c r="E181" i="2" s="1"/>
  <c r="F181" i="2" s="1"/>
  <c r="D183" i="2"/>
  <c r="E183" i="2" s="1"/>
  <c r="F183" i="2" s="1"/>
  <c r="D186" i="2"/>
  <c r="E186" i="2" s="1"/>
  <c r="F186" i="2" s="1"/>
  <c r="D187" i="2"/>
  <c r="E187" i="2" s="1"/>
  <c r="F187" i="2" s="1"/>
  <c r="D190" i="2"/>
  <c r="E190" i="2" s="1"/>
  <c r="F190" i="2" s="1"/>
  <c r="D191" i="2"/>
  <c r="E191" i="2" s="1"/>
  <c r="F191" i="2" s="1"/>
  <c r="D193" i="2"/>
  <c r="E193" i="2" s="1"/>
  <c r="F193" i="2" s="1"/>
  <c r="D196" i="2"/>
  <c r="E196" i="2" s="1"/>
  <c r="F196" i="2" s="1"/>
  <c r="D199" i="2"/>
  <c r="E199" i="2" s="1"/>
  <c r="F199" i="2" s="1"/>
  <c r="D66" i="2"/>
  <c r="E66" i="2" s="1"/>
  <c r="F66" i="2" s="1"/>
  <c r="D67" i="2"/>
  <c r="E67" i="2" s="1"/>
  <c r="F67" i="2" s="1"/>
  <c r="D70" i="2"/>
  <c r="E70" i="2" s="1"/>
  <c r="F70" i="2" s="1"/>
  <c r="D74" i="2"/>
  <c r="E74" i="2" s="1"/>
  <c r="F74" i="2" s="1"/>
  <c r="D78" i="2"/>
  <c r="E78" i="2" s="1"/>
  <c r="F78" i="2" s="1"/>
  <c r="D82" i="2"/>
  <c r="E82" i="2" s="1"/>
  <c r="F82" i="2" s="1"/>
  <c r="D86" i="2"/>
  <c r="E86" i="2" s="1"/>
  <c r="F86" i="2" s="1"/>
  <c r="D90" i="2"/>
  <c r="E90" i="2" s="1"/>
  <c r="F90" i="2" s="1"/>
  <c r="D94" i="2"/>
  <c r="E94" i="2" s="1"/>
  <c r="F94" i="2" s="1"/>
  <c r="D98" i="2"/>
  <c r="E98" i="2" s="1"/>
  <c r="F98" i="2" s="1"/>
  <c r="D102" i="2"/>
  <c r="E102" i="2" s="1"/>
  <c r="F102" i="2" s="1"/>
  <c r="D103" i="2"/>
  <c r="E103" i="2" s="1"/>
  <c r="F103" i="2" s="1"/>
  <c r="D106" i="2"/>
  <c r="E106" i="2" s="1"/>
  <c r="F106" i="2" s="1"/>
  <c r="D110" i="2"/>
  <c r="E110" i="2" s="1"/>
  <c r="F110" i="2" s="1"/>
  <c r="D111" i="2"/>
  <c r="E111" i="2" s="1"/>
  <c r="F111" i="2" s="1"/>
  <c r="D114" i="2"/>
  <c r="E114" i="2" s="1"/>
  <c r="F114" i="2" s="1"/>
  <c r="D118" i="2"/>
  <c r="E118" i="2" s="1"/>
  <c r="F118" i="2" s="1"/>
  <c r="D122" i="2"/>
  <c r="E122" i="2" s="1"/>
  <c r="F122" i="2" s="1"/>
  <c r="D126" i="2"/>
  <c r="E126" i="2" s="1"/>
  <c r="F126" i="2" s="1"/>
  <c r="D129" i="2"/>
  <c r="E129" i="2" s="1"/>
  <c r="F129" i="2" s="1"/>
  <c r="D133" i="2"/>
  <c r="E133" i="2" s="1"/>
  <c r="F133" i="2" s="1"/>
  <c r="D134" i="2"/>
  <c r="E134" i="2" s="1"/>
  <c r="F134" i="2" s="1"/>
  <c r="D137" i="2"/>
  <c r="E137" i="2" s="1"/>
  <c r="F137" i="2" s="1"/>
  <c r="D141" i="2"/>
  <c r="E141" i="2" s="1"/>
  <c r="F141" i="2" s="1"/>
  <c r="D145" i="2"/>
  <c r="E145" i="2" s="1"/>
  <c r="F145" i="2" s="1"/>
  <c r="D149" i="2"/>
  <c r="E149" i="2" s="1"/>
  <c r="F149" i="2" s="1"/>
  <c r="D153" i="2"/>
  <c r="E153" i="2" s="1"/>
  <c r="F153" i="2" s="1"/>
  <c r="D157" i="2"/>
  <c r="E157" i="2" s="1"/>
  <c r="F157" i="2" s="1"/>
  <c r="D161" i="2"/>
  <c r="E161" i="2" s="1"/>
  <c r="F161" i="2" s="1"/>
  <c r="D164" i="2"/>
  <c r="E164" i="2" s="1"/>
  <c r="F164" i="2" s="1"/>
  <c r="D167" i="2"/>
  <c r="E167" i="2" s="1"/>
  <c r="F167" i="2" s="1"/>
  <c r="D168" i="2"/>
  <c r="E168" i="2" s="1"/>
  <c r="F168" i="2" s="1"/>
  <c r="D171" i="2"/>
  <c r="E171" i="2" s="1"/>
  <c r="F171" i="2" s="1"/>
  <c r="D175" i="2"/>
  <c r="E175" i="2" s="1"/>
  <c r="F175" i="2" s="1"/>
  <c r="D176" i="2"/>
  <c r="E176" i="2" s="1"/>
  <c r="F176" i="2" s="1"/>
  <c r="D179" i="2"/>
  <c r="E179" i="2" s="1"/>
  <c r="F179" i="2" s="1"/>
  <c r="D185" i="2"/>
  <c r="E185" i="2" s="1"/>
  <c r="F185" i="2" s="1"/>
  <c r="D189" i="2"/>
  <c r="E189" i="2" s="1"/>
  <c r="F189" i="2" s="1"/>
  <c r="D194" i="2"/>
  <c r="E194" i="2" s="1"/>
  <c r="F194" i="2" s="1"/>
  <c r="D195" i="2"/>
  <c r="E195" i="2" s="1"/>
  <c r="F195" i="2" s="1"/>
  <c r="D198" i="2"/>
  <c r="E198" i="2" s="1"/>
  <c r="F198" i="2" s="1"/>
  <c r="D63" i="2"/>
  <c r="E63" i="2" s="1"/>
  <c r="F63" i="2" s="1"/>
  <c r="D3" i="2"/>
  <c r="E3" i="2" s="1"/>
  <c r="F3" i="2" s="1"/>
  <c r="D4" i="2"/>
  <c r="E4" i="2" s="1"/>
  <c r="F4" i="2" s="1"/>
  <c r="D5" i="2"/>
  <c r="E5" i="2" s="1"/>
  <c r="F5" i="2" s="1"/>
  <c r="D6" i="2"/>
  <c r="E6" i="2" s="1"/>
  <c r="F6" i="2" s="1"/>
  <c r="D7" i="2"/>
  <c r="E7" i="2" s="1"/>
  <c r="F7" i="2" s="1"/>
  <c r="D8" i="2"/>
  <c r="E8" i="2" s="1"/>
  <c r="F8" i="2" s="1"/>
  <c r="D9" i="2"/>
  <c r="E9" i="2" s="1"/>
  <c r="F9" i="2" s="1"/>
  <c r="D11" i="2"/>
  <c r="E11" i="2" s="1"/>
  <c r="F11" i="2" s="1"/>
  <c r="D12" i="2"/>
  <c r="E12" i="2" s="1"/>
  <c r="F12" i="2" s="1"/>
  <c r="D13" i="2"/>
  <c r="E13" i="2" s="1"/>
  <c r="F13" i="2" s="1"/>
  <c r="D14" i="2"/>
  <c r="E14" i="2" s="1"/>
  <c r="F14" i="2" s="1"/>
  <c r="D15" i="2"/>
  <c r="E15" i="2" s="1"/>
  <c r="F15" i="2" s="1"/>
  <c r="D16" i="2"/>
  <c r="E16" i="2" s="1"/>
  <c r="F16" i="2" s="1"/>
  <c r="D17" i="2"/>
  <c r="E17" i="2" s="1"/>
  <c r="F17" i="2" s="1"/>
  <c r="D18" i="2"/>
  <c r="E18" i="2" s="1"/>
  <c r="F18" i="2" s="1"/>
  <c r="D19" i="2"/>
  <c r="E19" i="2" s="1"/>
  <c r="F19" i="2" s="1"/>
  <c r="D20" i="2"/>
  <c r="E20" i="2" s="1"/>
  <c r="F20" i="2" s="1"/>
  <c r="D21" i="2"/>
  <c r="E21" i="2" s="1"/>
  <c r="F21" i="2" s="1"/>
  <c r="D22" i="2"/>
  <c r="E22" i="2" s="1"/>
  <c r="F22" i="2" s="1"/>
  <c r="D23" i="2"/>
  <c r="E23" i="2" s="1"/>
  <c r="F23" i="2" s="1"/>
  <c r="D24" i="2"/>
  <c r="E24" i="2" s="1"/>
  <c r="F24" i="2" s="1"/>
  <c r="D25" i="2"/>
  <c r="E25" i="2" s="1"/>
  <c r="F25" i="2" s="1"/>
  <c r="D26" i="2"/>
  <c r="E26" i="2" s="1"/>
  <c r="F26" i="2" s="1"/>
  <c r="D27" i="2"/>
  <c r="E27" i="2" s="1"/>
  <c r="F27" i="2" s="1"/>
  <c r="D28" i="2"/>
  <c r="E28" i="2" s="1"/>
  <c r="F28" i="2" s="1"/>
  <c r="D29" i="2"/>
  <c r="E29" i="2" s="1"/>
  <c r="F29" i="2" s="1"/>
  <c r="D30" i="2"/>
  <c r="E30" i="2" s="1"/>
  <c r="F30" i="2" s="1"/>
  <c r="D31" i="2"/>
  <c r="E31" i="2" s="1"/>
  <c r="F31" i="2" s="1"/>
  <c r="D32" i="2"/>
  <c r="E32" i="2" s="1"/>
  <c r="F32" i="2" s="1"/>
  <c r="D33" i="2"/>
  <c r="E33" i="2" s="1"/>
  <c r="F33" i="2" s="1"/>
  <c r="D34" i="2"/>
  <c r="E34" i="2" s="1"/>
  <c r="F34" i="2" s="1"/>
  <c r="D35" i="2"/>
  <c r="E35" i="2" s="1"/>
  <c r="F35" i="2" s="1"/>
  <c r="D36" i="2"/>
  <c r="E36" i="2" s="1"/>
  <c r="F36" i="2" s="1"/>
  <c r="D37" i="2"/>
  <c r="E37" i="2" s="1"/>
  <c r="F37" i="2" s="1"/>
  <c r="D38" i="2"/>
  <c r="E38" i="2" s="1"/>
  <c r="F38" i="2" s="1"/>
  <c r="D39" i="2"/>
  <c r="E39" i="2" s="1"/>
  <c r="F39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D45" i="2"/>
  <c r="E45" i="2" s="1"/>
  <c r="F45" i="2" s="1"/>
  <c r="D46" i="2"/>
  <c r="E46" i="2" s="1"/>
  <c r="F46" i="2" s="1"/>
  <c r="D47" i="2"/>
  <c r="E47" i="2" s="1"/>
  <c r="F47" i="2" s="1"/>
  <c r="D48" i="2"/>
  <c r="E48" i="2" s="1"/>
  <c r="F48" i="2" s="1"/>
  <c r="D49" i="2"/>
  <c r="E49" i="2" s="1"/>
  <c r="F49" i="2" s="1"/>
  <c r="D50" i="2"/>
  <c r="E50" i="2" s="1"/>
  <c r="F50" i="2" s="1"/>
  <c r="D51" i="2"/>
  <c r="E51" i="2" s="1"/>
  <c r="F51" i="2" s="1"/>
  <c r="D52" i="2"/>
  <c r="E52" i="2" s="1"/>
  <c r="F52" i="2" s="1"/>
  <c r="D53" i="2"/>
  <c r="E53" i="2" s="1"/>
  <c r="F53" i="2" s="1"/>
  <c r="D54" i="2"/>
  <c r="E54" i="2" s="1"/>
  <c r="F54" i="2" s="1"/>
  <c r="D55" i="2"/>
  <c r="E55" i="2" s="1"/>
  <c r="F55" i="2" s="1"/>
  <c r="D56" i="2"/>
  <c r="E56" i="2" s="1"/>
  <c r="F56" i="2" s="1"/>
  <c r="D57" i="2"/>
  <c r="E57" i="2" s="1"/>
  <c r="F57" i="2" s="1"/>
  <c r="D58" i="2"/>
  <c r="E58" i="2" s="1"/>
  <c r="F58" i="2" s="1"/>
  <c r="D59" i="2"/>
  <c r="E59" i="2" s="1"/>
  <c r="F59" i="2" s="1"/>
  <c r="D60" i="2"/>
  <c r="E60" i="2" s="1"/>
  <c r="F60" i="2" s="1"/>
  <c r="D61" i="2"/>
  <c r="E61" i="2" s="1"/>
  <c r="F61" i="2" s="1"/>
  <c r="D62" i="2"/>
  <c r="E62" i="2" s="1"/>
  <c r="F62" i="2" s="1"/>
  <c r="D65" i="2"/>
  <c r="E65" i="2" s="1"/>
  <c r="F65" i="2" s="1"/>
  <c r="D69" i="2"/>
  <c r="E69" i="2" s="1"/>
  <c r="F69" i="2" s="1"/>
  <c r="D73" i="2"/>
  <c r="E73" i="2" s="1"/>
  <c r="F73" i="2" s="1"/>
  <c r="D77" i="2"/>
  <c r="E77" i="2" s="1"/>
  <c r="F77" i="2" s="1"/>
  <c r="D81" i="2"/>
  <c r="E81" i="2" s="1"/>
  <c r="F81" i="2" s="1"/>
  <c r="D85" i="2"/>
  <c r="E85" i="2" s="1"/>
  <c r="F85" i="2" s="1"/>
  <c r="D89" i="2"/>
  <c r="E89" i="2" s="1"/>
  <c r="F89" i="2" s="1"/>
  <c r="D93" i="2"/>
  <c r="E93" i="2" s="1"/>
  <c r="F93" i="2" s="1"/>
  <c r="D97" i="2"/>
  <c r="E97" i="2" s="1"/>
  <c r="F97" i="2" s="1"/>
  <c r="D101" i="2"/>
  <c r="E101" i="2" s="1"/>
  <c r="F101" i="2" s="1"/>
  <c r="D105" i="2"/>
  <c r="E105" i="2" s="1"/>
  <c r="F105" i="2" s="1"/>
  <c r="D109" i="2"/>
  <c r="E109" i="2" s="1"/>
  <c r="F109" i="2" s="1"/>
  <c r="D113" i="2"/>
  <c r="E113" i="2" s="1"/>
  <c r="F113" i="2" s="1"/>
  <c r="D117" i="2"/>
  <c r="E117" i="2" s="1"/>
  <c r="F117" i="2" s="1"/>
  <c r="D119" i="2"/>
  <c r="E119" i="2" s="1"/>
  <c r="F119" i="2" s="1"/>
  <c r="D121" i="2"/>
  <c r="E121" i="2" s="1"/>
  <c r="F121" i="2" s="1"/>
  <c r="D125" i="2"/>
  <c r="E125" i="2" s="1"/>
  <c r="F125" i="2" s="1"/>
  <c r="D128" i="2"/>
  <c r="E128" i="2" s="1"/>
  <c r="F128" i="2" s="1"/>
  <c r="D132" i="2"/>
  <c r="E132" i="2" s="1"/>
  <c r="F132" i="2" s="1"/>
  <c r="D136" i="2"/>
  <c r="E136" i="2" s="1"/>
  <c r="F136" i="2" s="1"/>
  <c r="D140" i="2"/>
  <c r="E140" i="2" s="1"/>
  <c r="F140" i="2" s="1"/>
  <c r="D144" i="2"/>
  <c r="E144" i="2" s="1"/>
  <c r="F144" i="2" s="1"/>
  <c r="D148" i="2"/>
  <c r="E148" i="2" s="1"/>
  <c r="F148" i="2" s="1"/>
  <c r="D150" i="2"/>
  <c r="E150" i="2" s="1"/>
  <c r="F150" i="2" s="1"/>
  <c r="D152" i="2"/>
  <c r="E152" i="2" s="1"/>
  <c r="F152" i="2" s="1"/>
  <c r="D156" i="2"/>
  <c r="E156" i="2" s="1"/>
  <c r="F156" i="2" s="1"/>
  <c r="D160" i="2"/>
  <c r="E160" i="2" s="1"/>
  <c r="F160" i="2" s="1"/>
  <c r="D166" i="2"/>
  <c r="E166" i="2" s="1"/>
  <c r="F166" i="2" s="1"/>
  <c r="D170" i="2"/>
  <c r="E170" i="2" s="1"/>
  <c r="F170" i="2" s="1"/>
  <c r="D174" i="2"/>
  <c r="E174" i="2" s="1"/>
  <c r="F174" i="2" s="1"/>
  <c r="D178" i="2"/>
  <c r="E178" i="2" s="1"/>
  <c r="F178" i="2" s="1"/>
  <c r="D182" i="2"/>
  <c r="E182" i="2" s="1"/>
  <c r="F182" i="2" s="1"/>
  <c r="D184" i="2"/>
  <c r="E184" i="2" s="1"/>
  <c r="F184" i="2" s="1"/>
  <c r="D188" i="2"/>
  <c r="E188" i="2" s="1"/>
  <c r="F188" i="2" s="1"/>
  <c r="D192" i="2"/>
  <c r="E192" i="2" s="1"/>
  <c r="F192" i="2" s="1"/>
  <c r="D197" i="2"/>
  <c r="E197" i="2" s="1"/>
  <c r="F197" i="2" s="1"/>
  <c r="D200" i="2"/>
  <c r="E200" i="2" s="1"/>
  <c r="F200" i="2" s="1"/>
  <c r="D2" i="2"/>
  <c r="E2" i="2" s="1"/>
  <c r="F2" i="2" s="1"/>
  <c r="D10" i="2" l="1"/>
  <c r="E10" i="2" s="1"/>
  <c r="F10" i="2" s="1"/>
</calcChain>
</file>

<file path=xl/sharedStrings.xml><?xml version="1.0" encoding="utf-8"?>
<sst xmlns="http://schemas.openxmlformats.org/spreadsheetml/2006/main" count="3348" uniqueCount="275">
  <si>
    <t>PRODUCTO</t>
  </si>
  <si>
    <t>GRAMOS</t>
  </si>
  <si>
    <t>KILOS</t>
  </si>
  <si>
    <t>TONELADAS</t>
  </si>
  <si>
    <t xml:space="preserve">TAPA 28 MM  CONICA AMARILLA                                 </t>
  </si>
  <si>
    <t xml:space="preserve">MAQUILA BOTELLA W240 QUALA                                  </t>
  </si>
  <si>
    <t xml:space="preserve">ENVASE 600 BALA ML PET 20 GR                                </t>
  </si>
  <si>
    <t xml:space="preserve">ENVASE 810 PET BISONTE                                      </t>
  </si>
  <si>
    <t xml:space="preserve">MAQUILA ENV 500 ANATOMICO LPS PET                           </t>
  </si>
  <si>
    <t xml:space="preserve">TAPA SUAVIZANTE FUCSIA                                      </t>
  </si>
  <si>
    <t xml:space="preserve">ENVASE BRILLA KING 500 BLANCO                               </t>
  </si>
  <si>
    <t xml:space="preserve">ENVASE 4 LTS SUAVIZANTE AMARILLO PEADS                      </t>
  </si>
  <si>
    <t xml:space="preserve">TAPA FLIT TOP JABON INTIMO KOBA                             </t>
  </si>
  <si>
    <t xml:space="preserve">32160012SOBRETAPA VV AZUL SF                                </t>
  </si>
  <si>
    <t xml:space="preserve">67525342 TAPA CUADRADA EGO GEL NEGRA 240                    </t>
  </si>
  <si>
    <t xml:space="preserve">ENVASE 4 LTS SUAVIZANTE AZUL PEADS BERHLAN                  </t>
  </si>
  <si>
    <t xml:space="preserve">63711265TAPA LZC CREMA 450G LIMON IMAG 2017                 </t>
  </si>
  <si>
    <t xml:space="preserve">64298656BOT AROMATEL DEEP BLUE 2500 ML                      </t>
  </si>
  <si>
    <t xml:space="preserve">MAQUILA ENVASE BALA 600 ML 17 GR                            </t>
  </si>
  <si>
    <t xml:space="preserve">ENVASE JABON INTIMO 300 KOBA                                </t>
  </si>
  <si>
    <t xml:space="preserve">TAPA SUAVIZANTE NATURAL                                     </t>
  </si>
  <si>
    <t xml:space="preserve">63716499CONJUNTO BASE ET LZC LVC LIMON 450G RPM IM          </t>
  </si>
  <si>
    <t xml:space="preserve">TAPA 28 MM PCO WL AZUL 2935 PET                             </t>
  </si>
  <si>
    <t xml:space="preserve">ENVASE JABON INTIMO JM 300 ML                               </t>
  </si>
  <si>
    <t xml:space="preserve">67563448 TAPA SAV ACO KERATINA 530 ML                       </t>
  </si>
  <si>
    <t xml:space="preserve">67563450 TAPA SAV ACO ARGAN 530 ML                          </t>
  </si>
  <si>
    <t xml:space="preserve">67556899 TAPA SAVITAL AC MULTIVITAMINAS                     </t>
  </si>
  <si>
    <t xml:space="preserve">67563458 TAPA SAV AC COLAGENO 530                           </t>
  </si>
  <si>
    <t xml:space="preserve">ENVASE GALON COHETE BLANCO PE                               </t>
  </si>
  <si>
    <t xml:space="preserve">TAPA 28 MM SIN BANDA FUCSIA                                 </t>
  </si>
  <si>
    <t xml:space="preserve">ENVASE 500 ACEITE SHORT NECK #1                             </t>
  </si>
  <si>
    <t xml:space="preserve">63711264TAPA LZC CREMA 450G ALOE                            </t>
  </si>
  <si>
    <t xml:space="preserve">64320999CAP SAV CO LIGHT GOLD 510/490ML TIQUE               </t>
  </si>
  <si>
    <t xml:space="preserve">ENVASE 4 LTS SUAVIZANTE AZUL PE                             </t>
  </si>
  <si>
    <t xml:space="preserve">ENVASE LIMPIADOR BLANCO X 500 ETERNA                        </t>
  </si>
  <si>
    <t xml:space="preserve">ENVASE 300 CM3 TRANSPARENTE PET                             </t>
  </si>
  <si>
    <t xml:space="preserve">63716500CONJUNTO BASE ET LZC LVC ALOE 450G RPM 2023         </t>
  </si>
  <si>
    <t xml:space="preserve">ENVASE BRILLA KING 810 ML PET AMSA                          </t>
  </si>
  <si>
    <t xml:space="preserve">TAPA 38 MM AMARILLA LINER INCORPORADO                       </t>
  </si>
  <si>
    <t xml:space="preserve">67421609 TAPA  NEGRA EGO GEL 500 ML                         </t>
  </si>
  <si>
    <t xml:space="preserve">ENV GALON PET TRANS. REDONDO T38 CON MANIJA                 </t>
  </si>
  <si>
    <t xml:space="preserve">31100907 ENSALADERA GALLINA 4X200 COL QUALA T AZUL          </t>
  </si>
  <si>
    <t xml:space="preserve">ENVASE 900 ACEITE SHORT NECK PET                            </t>
  </si>
  <si>
    <t xml:space="preserve">ENVASE 2000 COHETE BLANCO AGENTEX PE                        </t>
  </si>
  <si>
    <t xml:space="preserve">ENVASE BETUN CREMA PET 40 GR BISONTE                        </t>
  </si>
  <si>
    <t xml:space="preserve">63716305ENV LZC LIMON 850 G                                 </t>
  </si>
  <si>
    <t xml:space="preserve">63710480 TAPA ENV LZC 800 GR Y 1.1 KG LIMON                 </t>
  </si>
  <si>
    <t xml:space="preserve">63710479 TAPA ENV LZC 800 GR Y 1.1 KG ALOE                  </t>
  </si>
  <si>
    <t xml:space="preserve">MANIJA ENVASE PET AMARILLA                                  </t>
  </si>
  <si>
    <t xml:space="preserve">PREFORMA 16.5 GRS PET CRISTAL                               </t>
  </si>
  <si>
    <t xml:space="preserve">67589799TAPA EGO GEL ATRACTION 240 ML                       </t>
  </si>
  <si>
    <t xml:space="preserve">ETIQUETADO ENVASE ROPA INTIMA                               </t>
  </si>
  <si>
    <t xml:space="preserve">63716304ENV LZC ALOE 850 G                                  </t>
  </si>
  <si>
    <t xml:space="preserve">ENVASE JABON DE MANOS CILINDRICO 1000 PET                   </t>
  </si>
  <si>
    <t xml:space="preserve">ENVASE 1000 LIMPIAPISOS LPS PET                             </t>
  </si>
  <si>
    <t xml:space="preserve">ENVASE ROSADO 1000 ET  QUITAMANCHAS                         </t>
  </si>
  <si>
    <t xml:space="preserve">ENVASE 3000 ACEITE T28 SF PET                               </t>
  </si>
  <si>
    <t xml:space="preserve">ETIQUETADO ENV JABON JM ALOE                                </t>
  </si>
  <si>
    <t xml:space="preserve">63711267	TAPA LZC CREMA 450G AVENA IMAG 2017                </t>
  </si>
  <si>
    <t xml:space="preserve">TAPA 38 MM ROJA LINER INCORPORADO                           </t>
  </si>
  <si>
    <t xml:space="preserve">67428134 TAPA SAVITAL AC SABILA Y PALTA                     </t>
  </si>
  <si>
    <t xml:space="preserve">ENVASE 4 LITROS DETERGENTE AZUL LPS                         </t>
  </si>
  <si>
    <t xml:space="preserve">ENVASE BLANCO 1000 ET QUITAMANCHAS                          </t>
  </si>
  <si>
    <t xml:space="preserve">ETIQUETADO ENV JABON JM MANZANILLA                          </t>
  </si>
  <si>
    <t xml:space="preserve">ENVASE 300 CM3 TRANSPARENTE PET NUTRI                       </t>
  </si>
  <si>
    <t xml:space="preserve">20610043 FRASCO INSTACREAM 450 GR PP QUALA                  </t>
  </si>
  <si>
    <t xml:space="preserve">63716501CONJUNTO BASE ET LZC LVC AVENA 450G RPM IMG 2023    </t>
  </si>
  <si>
    <t xml:space="preserve"> ENVASE 3000 ACEITE TAPA 28 SF PET                          </t>
  </si>
  <si>
    <t xml:space="preserve">63711270 TAPA LZC 800 AVENA IMAG 2017                       </t>
  </si>
  <si>
    <t xml:space="preserve">63716306ENV LZC AVENA 850 G                                 </t>
  </si>
  <si>
    <t xml:space="preserve">TAPA DETERGENTE AZUL PP CARDENAS                            </t>
  </si>
  <si>
    <t xml:space="preserve">ENVASE 1000 ANATOMICO PET                                   </t>
  </si>
  <si>
    <t xml:space="preserve">67589793TAPA EGO ATRACTION 500 IMAN                         </t>
  </si>
  <si>
    <t xml:space="preserve">ENVASE 1000 CM3 PET ACEITE SHORT NECK                       </t>
  </si>
  <si>
    <t xml:space="preserve">MANIJA ENVASE PET ROJA 38                                   </t>
  </si>
  <si>
    <t xml:space="preserve">BOTELLA PLANA PE                                            </t>
  </si>
  <si>
    <t xml:space="preserve">ENVASE 300ML GRECIA AMBAR PET BISONTE                       </t>
  </si>
  <si>
    <t xml:space="preserve">ENVASE 2000 LIMPIAPISOS PET                                 </t>
  </si>
  <si>
    <t xml:space="preserve">TAPA 28 CONICA BLANCA                                       </t>
  </si>
  <si>
    <t xml:space="preserve">20622089 TAPA INSTACREAM 175 GR QUALA                       </t>
  </si>
  <si>
    <t xml:space="preserve">ENVASE GALON PET TRANS REDONDO T38                          </t>
  </si>
  <si>
    <t xml:space="preserve">ENVASE 2000 CM3 PET ACEITE SF GENERICO                      </t>
  </si>
  <si>
    <t xml:space="preserve">ENVASE 500 ANATOMICO PET                                    </t>
  </si>
  <si>
    <t xml:space="preserve">TAPA MAXTER  38MM VINOTINTO ARINTIA                         </t>
  </si>
  <si>
    <t xml:space="preserve">ENVASE BEG 1/4 T 38 AZUL                                    </t>
  </si>
  <si>
    <t xml:space="preserve">ENVASE 250 OLEOLLANO AKK PET                                </t>
  </si>
  <si>
    <t xml:space="preserve">ENVASE LEDESA 2000 CM3 PRIMA PE BLANCO                      </t>
  </si>
  <si>
    <t xml:space="preserve">MOLDE ENVASE 300ML GRECIA AMBAR PET BISONTE                 </t>
  </si>
  <si>
    <t xml:space="preserve">64349297TAPA PP ROSCA FAB TRANS  90ML MINISOU               </t>
  </si>
  <si>
    <t xml:space="preserve">TAPA 38 MM VERDE NUEVA                                      </t>
  </si>
  <si>
    <t xml:space="preserve">ENVASE 375 PET SF                                           </t>
  </si>
  <si>
    <t xml:space="preserve">TAPA 46 MM ROJA PET                                         </t>
  </si>
  <si>
    <t xml:space="preserve">TAPA 28 MM AZUL BOPET SIN BANDA                             </t>
  </si>
  <si>
    <t xml:space="preserve">TAPA 38 MM BLANCA LINER INCORPORADO                         </t>
  </si>
  <si>
    <t xml:space="preserve">20610041 FRASCO INSTACREAM 175 GR PP QUALA PARDO            </t>
  </si>
  <si>
    <t xml:space="preserve">ENVASE MAXTER 1/4 GL VINOTINTO ARINTIA                      </t>
  </si>
  <si>
    <t xml:space="preserve">67421834TP ROSADA DOS 90 ML CHARL                           </t>
  </si>
  <si>
    <t xml:space="preserve">ENVASE 335 PET TRANS PETALOIDE SHORT NECK                   </t>
  </si>
  <si>
    <t xml:space="preserve">ENVASE 5 LITROS PET TRANSPARENTE REDONDO T46                </t>
  </si>
  <si>
    <t xml:space="preserve">BOTELLA LAVALOZA DERSA DESINFECTANTE 750 ML                 </t>
  </si>
  <si>
    <t xml:space="preserve">TAPA BEG 38 MM CON FOIL ROJA BEG                            </t>
  </si>
  <si>
    <t xml:space="preserve">67563447 TAPA SAV ACO BIOTINA 530                           </t>
  </si>
  <si>
    <t xml:space="preserve">ENVASE 2000 COHETE BLANCO AGENTEX LIMON PE                  </t>
  </si>
  <si>
    <t xml:space="preserve">ENVASE 4LTRS SUAVIZANTE AZUL AGUA MARINA                    </t>
  </si>
  <si>
    <t xml:space="preserve">ENVASE 1000 ANATOMICO BLANCO PET                            </t>
  </si>
  <si>
    <t xml:space="preserve">ENVASE C-1000 28 PEAD NATURAL                               </t>
  </si>
  <si>
    <t xml:space="preserve">ENVASE 2000 CM3 PET  44 GR PETALOIDE                        </t>
  </si>
  <si>
    <t xml:space="preserve">ENVASE 5 LITROS ACEITE PET 1                                </t>
  </si>
  <si>
    <t xml:space="preserve">63700249 CUCHARA 200-400-800 POLVO BRINSA                   </t>
  </si>
  <si>
    <t xml:space="preserve">67616589 TAPA SAV AC 530 AGUACATE                           </t>
  </si>
  <si>
    <t xml:space="preserve">ENVASE 750 LVM TRANSPARENTE                                 </t>
  </si>
  <si>
    <t xml:space="preserve">20622093 TAPA INSTACREAM LIGTH 450 GR QUALA                 </t>
  </si>
  <si>
    <t xml:space="preserve">ENV 2000 COHETE BLANCO AGENTEX FLORAL BERHLA                </t>
  </si>
  <si>
    <t xml:space="preserve">TAPA 28 MM PCO WL ROJO  PET                                 </t>
  </si>
  <si>
    <t xml:space="preserve">ENVASE TRANSPARENTE 300 CHAMPU PET BISONTE                  </t>
  </si>
  <si>
    <t xml:space="preserve">ENVASE 750 B.L. REDONDA                                     </t>
  </si>
  <si>
    <t xml:space="preserve">TAPA FLIP-TOP GRIS GENERICA NP                              </t>
  </si>
  <si>
    <t xml:space="preserve">ENVASE LEDESA 1500 CM3 PRIMA PE                             </t>
  </si>
  <si>
    <t xml:space="preserve">MAQUILA ENV 1000 ANATOMICO PET LPS                          </t>
  </si>
  <si>
    <t xml:space="preserve">ENVASE BLANQUEADOR 1000 LILA                                </t>
  </si>
  <si>
    <t xml:space="preserve">TAPA DETERGENTE BLANCO PP CARDENAS                          </t>
  </si>
  <si>
    <t xml:space="preserve">ENVASE 1000 CC LIMPIADOR PET                                </t>
  </si>
  <si>
    <t xml:space="preserve">TAPA 38 MM AZUL NUEVA                                       </t>
  </si>
  <si>
    <t xml:space="preserve">20622091 TAPA INSTACREM 450 GR QUALA                        </t>
  </si>
  <si>
    <t xml:space="preserve">ENVASE 2000 COHETE BLANCO PE                                </t>
  </si>
  <si>
    <t xml:space="preserve">BOTELLA LAVALOZA DERSA + JABON REY 750 ML                   </t>
  </si>
  <si>
    <t xml:space="preserve">ENV LIMPIAPISOS 1000 OVALADO PET                            </t>
  </si>
  <si>
    <t xml:space="preserve">ENVASE 1000 LIMPIAPISOS DERSA PET                           </t>
  </si>
  <si>
    <t xml:space="preserve">ENVASE 2000 CM3 PET  41 GR PETALOIDE                        </t>
  </si>
  <si>
    <t xml:space="preserve">63711264 TAPA LZC CREMA 450 ALOE IMAG 2017                  </t>
  </si>
  <si>
    <t xml:space="preserve">63716500CONJUNTO BASE ET LZC LVC ALOE 450G RPM 202          </t>
  </si>
  <si>
    <t xml:space="preserve">TAPA 28 MM PCO WL VERDE 341 PET                             </t>
  </si>
  <si>
    <t xml:space="preserve">63711305TAPA LZC CREMA 450G COCO                            </t>
  </si>
  <si>
    <t xml:space="preserve">63716502CONJUNTO BASE ET LZC LVC COCO 450G RPM IMG          </t>
  </si>
  <si>
    <t xml:space="preserve">ENVASE 500 ANATOMICO PET 2                                  </t>
  </si>
  <si>
    <t xml:space="preserve">TAPA 28 AZUL SIN BANDA 400                                  </t>
  </si>
  <si>
    <t xml:space="preserve">PREFORMA 75 GR CRISTAL                                      </t>
  </si>
  <si>
    <t xml:space="preserve">TAPA 20 LTS ROJA PP-TAPON                                   </t>
  </si>
  <si>
    <t xml:space="preserve">ENVASE 500 LIMPIAVIDRIOS BISONTE                            </t>
  </si>
  <si>
    <t xml:space="preserve">TAPA 46 MM AZUL PET                                         </t>
  </si>
  <si>
    <t xml:space="preserve">TAPA BEG 38 MM SIN FOIL ROJA BEG                            </t>
  </si>
  <si>
    <t xml:space="preserve">PREFORMA CRISTAL SN 58.8 GR                                 </t>
  </si>
  <si>
    <t xml:space="preserve">TAPA 38 MM AZUL LINER INCORPORADO                           </t>
  </si>
  <si>
    <t xml:space="preserve">TAPA SUAVIZANTE ROSADO PP                                   </t>
  </si>
  <si>
    <t xml:space="preserve">ENV GALON PET TRANS. T38 CON MANIJA DOBLE BOLSAS            </t>
  </si>
  <si>
    <t xml:space="preserve">TAPA 28MM CONICA BLANCO                                     </t>
  </si>
  <si>
    <t xml:space="preserve">TAPA 28 MM PCO WL ROJO                                      </t>
  </si>
  <si>
    <t xml:space="preserve">ENVASE 500 CM CUADRADO TRANSPARENTE PET                     </t>
  </si>
  <si>
    <t xml:space="preserve">ENVASE 500 ANATOMICO LPS PET                                </t>
  </si>
  <si>
    <t xml:space="preserve">ENVASE BEG PINTA AZUL T 28                                  </t>
  </si>
  <si>
    <t xml:space="preserve">ENVASE SUAVIZANTE 2000 AZUL PEADS                           </t>
  </si>
  <si>
    <t xml:space="preserve">TAPA 28 MM 1881 AMARILLA LINERLESS                          </t>
  </si>
  <si>
    <t xml:space="preserve">ENVASE 500 ML CILINDRICO PET GENERICO                       </t>
  </si>
  <si>
    <t xml:space="preserve">ENV 1000 ML PET TRANSP CARBONATADA ANILLOS 29GRS            </t>
  </si>
  <si>
    <t xml:space="preserve">TAPA T28 VERDE EXL-MINI 360 TERM 1881                       </t>
  </si>
  <si>
    <t xml:space="preserve">BOTELLA 600 CM3 PET P                                       </t>
  </si>
  <si>
    <t xml:space="preserve">MANIJA ENVASE ACEITE PET BLANCO                             </t>
  </si>
  <si>
    <t xml:space="preserve">ENVASE 4 LITROS REDONDO BOCA 38                             </t>
  </si>
  <si>
    <t xml:space="preserve">TAPA DETERGENTE AZUL PP                                     </t>
  </si>
  <si>
    <t xml:space="preserve">TAPA T 28 ROJA EXL-NIMI 360 TERM 1881                       </t>
  </si>
  <si>
    <t xml:space="preserve">ENVASE LAVALOZA 1000 ANATOMICO PET                          </t>
  </si>
  <si>
    <t xml:space="preserve">PREFORMA SN 20 GRS CRISTAL                                  </t>
  </si>
  <si>
    <t xml:space="preserve">ENVASE 1000 BALA 28 GRS PET                                 </t>
  </si>
  <si>
    <t xml:space="preserve">ENVASE 500 ANATOMICO PET 34 GRS                             </t>
  </si>
  <si>
    <t xml:space="preserve">TAPA 46 MM BLANCA PET                                       </t>
  </si>
  <si>
    <t xml:space="preserve">ENVASE 5 LITROS ACEITE PET 2                                </t>
  </si>
  <si>
    <t xml:space="preserve">MAQUILA ENV 1700 TRANSP CAPRI  GEN.NUEVO 41 GR SM           </t>
  </si>
  <si>
    <t xml:space="preserve">MAQUILA ENV 400 CRISTAL 19 GR S.M. PET CAPRI                </t>
  </si>
  <si>
    <t xml:space="preserve">MAQUILA ENV 400 CRISTAL 17 GR S.M. PET CAPRI                </t>
  </si>
  <si>
    <t xml:space="preserve">MAQUILA ENV 1000 PET CAPRI NUEVO 31 GR TRANSP SM            </t>
  </si>
  <si>
    <t xml:space="preserve">MAQULA ENVE 335 CM3 PET PETALOIDE TRANS 18 GR               </t>
  </si>
  <si>
    <t xml:space="preserve">MAQUILA ENV PET 400 MAXI CAPRI 18 GR SM                     </t>
  </si>
  <si>
    <t xml:space="preserve">MAQUILA ENV 1000 ML PET TRANSP CARBONATADA 35GRS            </t>
  </si>
  <si>
    <t xml:space="preserve">ENV 1700 TRANSP CAPRI  NUEVO 41 GR RPM                      </t>
  </si>
  <si>
    <t xml:space="preserve">ENVASE 2000 CM3 PET CARBONATADA                             </t>
  </si>
  <si>
    <t xml:space="preserve">MAQUILA ENVASE 3785 TRANSPARENTE FULLER                     </t>
  </si>
  <si>
    <t xml:space="preserve">TAPA 46 MM VERDE CLARO                                      </t>
  </si>
  <si>
    <t xml:space="preserve">MAQUILA ENVASE 2000 TRANSPARENTE FULLER                     </t>
  </si>
  <si>
    <t xml:space="preserve">MAQUILA ENVASE 3785 PET BLANCO FULLER                       </t>
  </si>
  <si>
    <t xml:space="preserve">MAQUILA ENVASE 1000 PET TRANSPARENTE FULLER                 </t>
  </si>
  <si>
    <t xml:space="preserve">MAQUILA ENVASE 1000 PET BLANCO FULLER                       </t>
  </si>
  <si>
    <t xml:space="preserve">MAQUILA ENVASE 500 PET TRANSPARENTE FULLER                  </t>
  </si>
  <si>
    <t xml:space="preserve">MAQUILA ENVASE 500 PET BLANCO FULLER                        </t>
  </si>
  <si>
    <t xml:space="preserve">MAQUILA ENVASE 2000 PET BLANCO FULLER                       </t>
  </si>
  <si>
    <t xml:space="preserve">ENV 3000 MAXI NUEVO DISEÑO PET 58 GR RPM                    </t>
  </si>
  <si>
    <t xml:space="preserve">MAQUILA ENVASE 3020 LITROS PETALOIDE                        </t>
  </si>
  <si>
    <t xml:space="preserve">MAQUILA ENV 500 ANATOMICO PET                               </t>
  </si>
  <si>
    <t xml:space="preserve">MAQUILA ENVASE 2000 PET MAGENTA FULLER                      </t>
  </si>
  <si>
    <t xml:space="preserve">MAQUILA ENVASE 3785 PET AZUL FULLER                         </t>
  </si>
  <si>
    <t xml:space="preserve">MAQUILA ENVASE LAVALOZA 1000 ANATOMICO PET                  </t>
  </si>
  <si>
    <t xml:space="preserve">MAQUILA ENV 3000 MAXI NUEVO DISEÑO PET 54 GR                </t>
  </si>
  <si>
    <t xml:space="preserve">MAQUILA ENV LAVALOZA 500 ANATOMICO PET                      </t>
  </si>
  <si>
    <t xml:space="preserve">ENV 1000 ML PET TRANSP CARBONATADA ANILLOS 33GRS            </t>
  </si>
  <si>
    <t xml:space="preserve">MAQUILA ENVASE 1000 PET AZUL FULLER                         </t>
  </si>
  <si>
    <t xml:space="preserve">MAQUILA ENVASE 1000 PET MAGENTA FULLER                      </t>
  </si>
  <si>
    <t xml:space="preserve">PREFORMA 16.5 GR SN CRISTAL                                 </t>
  </si>
  <si>
    <t xml:space="preserve">ENV 3000  ACEITE T28 SF PET                                 </t>
  </si>
  <si>
    <t xml:space="preserve">ENVASE 2000 COHETE BLANCO PE B                              </t>
  </si>
  <si>
    <t xml:space="preserve">ENVASE 3785 PET BOCA 38                                     </t>
  </si>
  <si>
    <t>MAQUINA EXTRUSION SOPLADO UNILOY A-2</t>
  </si>
  <si>
    <t>MAQUINA EXTRUSION SOPLADO UNILOY A-1</t>
  </si>
  <si>
    <t>MAQUINA EXTRUSION SOPLADO KAUTEX #1</t>
  </si>
  <si>
    <t>MAQUINA EXTRUSION SOPLADO ECOBLOW 600D/100  #2</t>
  </si>
  <si>
    <t>MAQUINA EXTRUSION SOPLADO BEKUM BM08-4</t>
  </si>
  <si>
    <t>MAQUINA EXTRUSION SOPLADO BEKUM BAE 1-1</t>
  </si>
  <si>
    <t>MAQUINA EXTRUSION SOPLADO BATTENFELD VK3-1</t>
  </si>
  <si>
    <t>MAQUINA EXTRUSION SOPLADO B 30</t>
  </si>
  <si>
    <t>MAQUINA EXTRUSION SOPLADO AUTOBLOW 400D    #2</t>
  </si>
  <si>
    <t>MAQUINA EXTRUSION SOPLADO AUTOBLOW  570  #1</t>
  </si>
  <si>
    <t>PESO UNITARIO (GRAMOS)</t>
  </si>
  <si>
    <t xml:space="preserve">SOBRETAPA SAVILOE 33M                               </t>
  </si>
  <si>
    <t xml:space="preserve">SOBRETAPA VV VERDE SF QUALA                         </t>
  </si>
  <si>
    <t xml:space="preserve">TAPA PP  ARO DEEP BLUE 90 ML                        </t>
  </si>
  <si>
    <t xml:space="preserve">TAPA SAV ACO COLAGENO 530 ML PE                    </t>
  </si>
  <si>
    <t xml:space="preserve">TAPA GRIS ROS EGO CERA 160 ML                      </t>
  </si>
  <si>
    <t>UNIDADES</t>
  </si>
  <si>
    <t>Máquina</t>
  </si>
  <si>
    <t>Indicador</t>
  </si>
  <si>
    <t>Registro 1</t>
  </si>
  <si>
    <t>Registro 2</t>
  </si>
  <si>
    <t>Registro 3</t>
  </si>
  <si>
    <t>Registro 4</t>
  </si>
  <si>
    <t>Registro 5</t>
  </si>
  <si>
    <t>Registro 6</t>
  </si>
  <si>
    <t>Registro 7</t>
  </si>
  <si>
    <t>Registro 8</t>
  </si>
  <si>
    <t>Registro 9</t>
  </si>
  <si>
    <t>Registro 10</t>
  </si>
  <si>
    <t>Registro 11</t>
  </si>
  <si>
    <t>Registro 12</t>
  </si>
  <si>
    <t>Registro 13</t>
  </si>
  <si>
    <t>Registro 14</t>
  </si>
  <si>
    <t>Registro 15</t>
  </si>
  <si>
    <t>Registro 16</t>
  </si>
  <si>
    <t>Registro 17</t>
  </si>
  <si>
    <t>Registro 18</t>
  </si>
  <si>
    <t>Registro 19</t>
  </si>
  <si>
    <t>Registro 20</t>
  </si>
  <si>
    <t>Registro 21</t>
  </si>
  <si>
    <t>Registro 22</t>
  </si>
  <si>
    <t>Registro 23</t>
  </si>
  <si>
    <t>Registro 24</t>
  </si>
  <si>
    <t>Registro 25</t>
  </si>
  <si>
    <t>Registro 26</t>
  </si>
  <si>
    <t>Registro 27</t>
  </si>
  <si>
    <t>Registro 28</t>
  </si>
  <si>
    <t>Registro 29</t>
  </si>
  <si>
    <t>Registro 30</t>
  </si>
  <si>
    <t>TIEMPO REGISTRADO EN SEGUNDOS POR UNA UNIDAD DE PRODUCTO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</si>
  <si>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</si>
  <si>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</si>
  <si>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</si>
  <si>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</si>
  <si>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</si>
  <si>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</si>
  <si>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</si>
  <si>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</si>
  <si>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</si>
  <si>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</si>
  <si>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SetUp Promedio</t>
  </si>
  <si>
    <t>En minutos</t>
  </si>
  <si>
    <t>Promedio General</t>
  </si>
  <si>
    <t xml:space="preserve">Promedio </t>
  </si>
  <si>
    <t>TIEMPO PROMEDIO REGISTRADO POR CADA MÁQUINA EN PRODUCIR CADA REFERENCIA (EN SEGUNDOS)</t>
  </si>
  <si>
    <t>&gt;=</t>
  </si>
  <si>
    <t>TIEMPO PROMEDIO REGISTRADO POR CADA MÁQUINA EN PRODUCIR CADA REFERENCIA (EN MINUTOS)</t>
  </si>
  <si>
    <t>Set-up Time (en minutos)</t>
  </si>
  <si>
    <t>F.O: Minimizar Z=</t>
  </si>
  <si>
    <t>¿Requiere SetUp time) Cuántas veces</t>
  </si>
  <si>
    <t>SUMA</t>
  </si>
  <si>
    <t>DEMANDA</t>
  </si>
  <si>
    <t>Restricción de Tiempo al DÍA (1440 minutos)</t>
  </si>
  <si>
    <t>&lt;=</t>
  </si>
  <si>
    <t>Esta restricción establece que ninguna máquina podrá ser asignada con trabajo para más de 1440 minutos al día, que es 24 horas a 60 minutos cada una. Se considera individualmente para cada máquina porque pueden trabajar simultáneamente todas, se cuenta con capacidad y recursos para hacerlo. Este tiempo incluye el Setup time.</t>
  </si>
  <si>
    <t>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</si>
</sst>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5" fontId="0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horizontal="center"/>
    </xf>
    <xf numFmtId="164" fontId="2" fillId="0" borderId="0" xfId="1" applyNumberFormat="1" applyFont="1" applyFill="1" applyAlignment="1">
      <alignment horizontal="center" vertical="center"/>
    </xf>
    <xf numFmtId="43" fontId="2" fillId="0" borderId="0" xfId="1" applyFont="1" applyFill="1" applyAlignment="1">
      <alignment horizontal="center"/>
    </xf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2" fontId="2" fillId="0" borderId="0" xfId="0" applyNumberFormat="1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4" borderId="3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>
      <alignment horizontal="center" vertical="center"/>
    </xf>
    <xf numFmtId="166" fontId="6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2" fontId="9" fillId="8" borderId="3" xfId="0" applyNumberFormat="1" applyFont="1" applyFill="1" applyBorder="1" applyAlignment="1">
      <alignment horizontal="center"/>
    </xf>
    <xf numFmtId="2" fontId="8" fillId="8" borderId="3" xfId="0" applyNumberFormat="1" applyFont="1" applyFill="1" applyBorder="1" applyAlignment="1">
      <alignment horizontal="center"/>
    </xf>
    <xf numFmtId="167" fontId="2" fillId="0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167" fontId="3" fillId="9" borderId="3" xfId="0" applyNumberFormat="1" applyFont="1" applyFill="1" applyBorder="1" applyAlignment="1">
      <alignment horizontal="center" vertical="center"/>
    </xf>
    <xf numFmtId="167" fontId="2" fillId="4" borderId="3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67" fontId="10" fillId="4" borderId="0" xfId="0" applyNumberFormat="1" applyFont="1" applyFill="1" applyAlignment="1">
      <alignment horizontal="center"/>
    </xf>
    <xf numFmtId="167" fontId="2" fillId="0" borderId="0" xfId="0" applyNumberFormat="1" applyFont="1"/>
    <xf numFmtId="0" fontId="3" fillId="0" borderId="4" xfId="0" applyFont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67" fontId="2" fillId="5" borderId="9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7" fontId="2" fillId="5" borderId="1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1" fontId="2" fillId="4" borderId="3" xfId="0" applyNumberFormat="1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Máquina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'Datos M2'!$A$3:$A$90</c:f>
              <c:strCache>
                <c:ptCount val="88"/>
                <c:pt idx="0">
                  <c:v>SOBRETAPA SAVILOE 33M                               </c:v>
                </c:pt>
                <c:pt idx="1">
                  <c:v>MAQUILA ENV 1700 TRANSP CAPRI  GEN.NUEVO 41 GR SM           </c:v>
                </c:pt>
                <c:pt idx="2">
                  <c:v>MAQUILA ENV 400 CRISTAL 19 GR S.M. PET CAPRI                </c:v>
                </c:pt>
                <c:pt idx="3">
                  <c:v>SOBRETAPA VV VERDE SF QUALA                         </c:v>
                </c:pt>
                <c:pt idx="4">
                  <c:v>MAQUILA ENV 400 CRISTAL 17 GR S.M. PET CAPRI                </c:v>
                </c:pt>
                <c:pt idx="5">
                  <c:v>MAQUILA ENV 1000 PET CAPRI NUEVO 31 GR TRANSP SM            </c:v>
                </c:pt>
                <c:pt idx="6">
                  <c:v>MAQULA ENVE 335 CM3 PET PETALOIDE TRANS 18 GR               </c:v>
                </c:pt>
                <c:pt idx="7">
                  <c:v>TAPA 28 MM  CONICA AMARILLA                                 </c:v>
                </c:pt>
                <c:pt idx="8">
                  <c:v>MAQUILA BOTELLA W240 QUALA                                  </c:v>
                </c:pt>
                <c:pt idx="9">
                  <c:v>PREFORMA SN 20 GRS CRISTAL                                  </c:v>
                </c:pt>
                <c:pt idx="10">
                  <c:v>TAPA PP  ARO DEEP BLUE 90 ML                        </c:v>
                </c:pt>
                <c:pt idx="11">
                  <c:v>ENVASE 600 BALA ML PET 20 GR                                </c:v>
                </c:pt>
                <c:pt idx="12">
                  <c:v>ENVASE 810 PET BISONTE                                      </c:v>
                </c:pt>
                <c:pt idx="13">
                  <c:v>MAQUILA ENV 500 ANATOMICO LPS PET                           </c:v>
                </c:pt>
                <c:pt idx="14">
                  <c:v>TAPA SUAVIZANTE FUCSIA                                      </c:v>
                </c:pt>
                <c:pt idx="15">
                  <c:v>TAPA SAV ACO COLAGENO 530 ML PE                    </c:v>
                </c:pt>
                <c:pt idx="16">
                  <c:v>MAQUILA ENV PET 400 MAXI CAPRI 18 GR SM                     </c:v>
                </c:pt>
                <c:pt idx="17">
                  <c:v>TAPA GRIS ROS EGO CERA 160 ML                      </c:v>
                </c:pt>
                <c:pt idx="18">
                  <c:v>ENVASE BRILLA KING 500 BLANCO                               </c:v>
                </c:pt>
                <c:pt idx="19">
                  <c:v>ENVASE 4 LTS SUAVIZANTE AMARILLO PEADS                      </c:v>
                </c:pt>
                <c:pt idx="20">
                  <c:v>TAPA FLIT TOP JABON INTIMO KOBA                             </c:v>
                </c:pt>
                <c:pt idx="21">
                  <c:v>32160012SOBRETAPA VV AZUL SF                                </c:v>
                </c:pt>
                <c:pt idx="22">
                  <c:v>67525342 TAPA CUADRADA EGO GEL NEGRA 240                    </c:v>
                </c:pt>
                <c:pt idx="23">
                  <c:v>ENVASE 4 LTS SUAVIZANTE AZUL PEADS BERHLAN                  </c:v>
                </c:pt>
                <c:pt idx="24">
                  <c:v>MAQUILA ENV 1000 ML PET TRANSP CARBONATADA 35GRS            </c:v>
                </c:pt>
                <c:pt idx="25">
                  <c:v>63711265TAPA LZC CREMA 450G LIMON IMAG 2017                 </c:v>
                </c:pt>
                <c:pt idx="26">
                  <c:v>PREFORMA 16.5 GR SN CRISTAL                                 </c:v>
                </c:pt>
                <c:pt idx="27">
                  <c:v>ENV 1700 TRANSP CAPRI  NUEVO 41 GR RPM                      </c:v>
                </c:pt>
                <c:pt idx="28">
                  <c:v>64298656BOT AROMATEL DEEP BLUE 2500 ML                      </c:v>
                </c:pt>
                <c:pt idx="29">
                  <c:v>MAQUILA ENVASE BALA 600 ML 17 GR                            </c:v>
                </c:pt>
                <c:pt idx="30">
                  <c:v>ENVASE JABON INTIMO 300 KOBA                                </c:v>
                </c:pt>
                <c:pt idx="31">
                  <c:v>ENVASE 2000 CM3 PET CARBONATADA                             </c:v>
                </c:pt>
                <c:pt idx="32">
                  <c:v>TAPA SUAVIZANTE NATURAL                                     </c:v>
                </c:pt>
                <c:pt idx="33">
                  <c:v>63716499CONJUNTO BASE ET LZC LVC LIMON 450G RPM IM          </c:v>
                </c:pt>
                <c:pt idx="34">
                  <c:v>TAPA 28 MM PCO WL AZUL 2935 PET                             </c:v>
                </c:pt>
                <c:pt idx="35">
                  <c:v>ENVASE JABON INTIMO JM 300 ML                               </c:v>
                </c:pt>
                <c:pt idx="36">
                  <c:v>67563448 TAPA SAV ACO KERATINA 530 ML                       </c:v>
                </c:pt>
                <c:pt idx="37">
                  <c:v>67563450 TAPA SAV ACO ARGAN 530 ML                          </c:v>
                </c:pt>
                <c:pt idx="38">
                  <c:v>67556899 TAPA SAVITAL AC MULTIVITAMINAS                     </c:v>
                </c:pt>
                <c:pt idx="39">
                  <c:v>67563458 TAPA SAV AC COLAGENO 530                           </c:v>
                </c:pt>
                <c:pt idx="40">
                  <c:v>TAPA 46 MM BLANCA PET                                       </c:v>
                </c:pt>
                <c:pt idx="41">
                  <c:v>ENVASE GALON COHETE BLANCO PE                               </c:v>
                </c:pt>
                <c:pt idx="42">
                  <c:v>TAPA 28 MM SIN BANDA FUCSIA                                 </c:v>
                </c:pt>
                <c:pt idx="43">
                  <c:v>ENVASE 500 ACEITE SHORT NECK #1                             </c:v>
                </c:pt>
                <c:pt idx="44">
                  <c:v>MAQUILA ENVASE 3785 TRANSPARENTE FULLER                     </c:v>
                </c:pt>
                <c:pt idx="45">
                  <c:v>63711264TAPA LZC CREMA 450G ALOE                            </c:v>
                </c:pt>
                <c:pt idx="46">
                  <c:v>64320999CAP SAV CO LIGHT GOLD 510/490ML TIQUE               </c:v>
                </c:pt>
                <c:pt idx="47">
                  <c:v>ENVASE 4 LTS SUAVIZANTE AZUL PE                             </c:v>
                </c:pt>
                <c:pt idx="48">
                  <c:v>ENVASE LIMPIADOR BLANCO X 500 ETERNA                        </c:v>
                </c:pt>
                <c:pt idx="49">
                  <c:v>ENVASE 300 CM3 TRANSPARENTE PET                             </c:v>
                </c:pt>
                <c:pt idx="50">
                  <c:v>63716500CONJUNTO BASE ET LZC LVC ALOE 450G RPM 2023         </c:v>
                </c:pt>
                <c:pt idx="51">
                  <c:v>ENVASE BRILLA KING 810 ML PET AMSA                          </c:v>
                </c:pt>
                <c:pt idx="52">
                  <c:v>TAPA 38 MM AMARILLA LINER INCORPORADO                       </c:v>
                </c:pt>
                <c:pt idx="53">
                  <c:v>67421609 TAPA  NEGRA EGO GEL 500 ML                         </c:v>
                </c:pt>
                <c:pt idx="54">
                  <c:v>TAPA 46 MM VERDE CLARO                                      </c:v>
                </c:pt>
                <c:pt idx="55">
                  <c:v>ENV GALON PET TRANS. REDONDO T38 CON MANIJA                 </c:v>
                </c:pt>
                <c:pt idx="56">
                  <c:v>31100907 ENSALADERA GALLINA 4X200 COL QUALA T AZUL          </c:v>
                </c:pt>
                <c:pt idx="57">
                  <c:v>ENVASE 900 ACEITE SHORT NECK PET                            </c:v>
                </c:pt>
                <c:pt idx="58">
                  <c:v>ENVASE 2000 COHETE BLANCO AGENTEX PE                        </c:v>
                </c:pt>
                <c:pt idx="59">
                  <c:v>ENVASE BETUN CREMA PET 40 GR BISONTE                        </c:v>
                </c:pt>
                <c:pt idx="60">
                  <c:v>MAQUILA ENVASE 2000 TRANSPARENTE FULLER                     </c:v>
                </c:pt>
                <c:pt idx="61">
                  <c:v>MAQUILA ENVASE 3785 PET BLANCO FULLER                       </c:v>
                </c:pt>
                <c:pt idx="62">
                  <c:v>63716305ENV LZC LIMON 850 G                                 </c:v>
                </c:pt>
                <c:pt idx="63">
                  <c:v>63710480 TAPA ENV LZC 800 GR Y 1.1 KG LIMON                 </c:v>
                </c:pt>
                <c:pt idx="64">
                  <c:v>63710479 TAPA ENV LZC 800 GR Y 1.1 KG ALOE                  </c:v>
                </c:pt>
                <c:pt idx="65">
                  <c:v>MANIJA ENVASE PET AMARILLA                                  </c:v>
                </c:pt>
                <c:pt idx="66">
                  <c:v>MAQUILA ENVASE 1000 PET TRANSPARENTE FULLER                 </c:v>
                </c:pt>
                <c:pt idx="67">
                  <c:v>PREFORMA 16.5 GRS PET CRISTAL                               </c:v>
                </c:pt>
                <c:pt idx="68">
                  <c:v>67589799TAPA EGO GEL ATRACTION 240 ML                       </c:v>
                </c:pt>
                <c:pt idx="69">
                  <c:v>ETIQUETADO ENVASE ROPA INTIMA                               </c:v>
                </c:pt>
                <c:pt idx="70">
                  <c:v>63716304ENV LZC ALOE 850 G                                  </c:v>
                </c:pt>
                <c:pt idx="71">
                  <c:v>ENVASE JABON DE MANOS CILINDRICO 1000 PET                   </c:v>
                </c:pt>
                <c:pt idx="72">
                  <c:v>ENVASE 1000 LIMPIAPISOS LPS PET                             </c:v>
                </c:pt>
                <c:pt idx="73">
                  <c:v>MAQUILA ENVASE 1000 PET BLANCO FULLER                       </c:v>
                </c:pt>
                <c:pt idx="74">
                  <c:v>ENVASE ROSADO 1000 ET  QUITAMANCHAS                         </c:v>
                </c:pt>
                <c:pt idx="75">
                  <c:v>ENVASE 3000 ACEITE T28 SF PET                               </c:v>
                </c:pt>
                <c:pt idx="76">
                  <c:v>ETIQUETADO ENV JABON JM ALOE                                </c:v>
                </c:pt>
                <c:pt idx="77">
                  <c:v>63711267	TAPA LZC CREMA 450G AVENA IMAG 2017                </c:v>
                </c:pt>
                <c:pt idx="78">
                  <c:v>TAPA 38 MM ROJA LINER INCORPORADO                           </c:v>
                </c:pt>
                <c:pt idx="79">
                  <c:v>MAQUILA ENVASE 500 PET TRANSPARENTE FULLER                  </c:v>
                </c:pt>
                <c:pt idx="80">
                  <c:v>67428134 TAPA SAVITAL AC SABILA Y PALTA                     </c:v>
                </c:pt>
                <c:pt idx="81">
                  <c:v>ENVASE 4 LITROS DETERGENTE AZUL LPS                         </c:v>
                </c:pt>
                <c:pt idx="82">
                  <c:v>ENVASE BLANCO 1000 ET QUITAMANCHAS                          </c:v>
                </c:pt>
                <c:pt idx="83">
                  <c:v>ETIQUETADO ENV JABON JM MANZANILLA                          </c:v>
                </c:pt>
                <c:pt idx="84">
                  <c:v>ENVASE 300 CM3 TRANSPARENTE PET NUTRI                       </c:v>
                </c:pt>
                <c:pt idx="85">
                  <c:v>MAQUILA ENVASE 500 PET BLANCO FULLER                        </c:v>
                </c:pt>
                <c:pt idx="86">
                  <c:v>20610043 FRASCO INSTACREAM 450 GR PP QUALA                  </c:v>
                </c:pt>
                <c:pt idx="87">
                  <c:v>63716501CONJUNTO BASE ET LZC LVC AVENA 450G RPM IMG 2023    </c:v>
                </c:pt>
              </c:strCache>
            </c:strRef>
          </c:cat>
          <c:val>
            <c:numRef>
              <c:f>'Datos M2'!$AF$3:$AF$90</c:f>
              <c:numCache>
                <c:formatCode>General</c:formatCode>
                <c:ptCount val="88"/>
                <c:pt idx="0">
                  <c:v>39.233333333333334</c:v>
                </c:pt>
                <c:pt idx="1">
                  <c:v>0</c:v>
                </c:pt>
                <c:pt idx="2">
                  <c:v>51.6</c:v>
                </c:pt>
                <c:pt idx="3">
                  <c:v>51.6</c:v>
                </c:pt>
                <c:pt idx="4">
                  <c:v>55.766666666666666</c:v>
                </c:pt>
                <c:pt idx="5">
                  <c:v>0</c:v>
                </c:pt>
                <c:pt idx="6">
                  <c:v>35.466666666666669</c:v>
                </c:pt>
                <c:pt idx="7">
                  <c:v>71.233333333333334</c:v>
                </c:pt>
                <c:pt idx="8">
                  <c:v>52.766666666666666</c:v>
                </c:pt>
                <c:pt idx="9">
                  <c:v>42.533333333333331</c:v>
                </c:pt>
                <c:pt idx="10">
                  <c:v>0</c:v>
                </c:pt>
                <c:pt idx="11">
                  <c:v>58.466666666666669</c:v>
                </c:pt>
                <c:pt idx="12">
                  <c:v>79.733333333333334</c:v>
                </c:pt>
                <c:pt idx="13">
                  <c:v>53.633333333333333</c:v>
                </c:pt>
                <c:pt idx="14">
                  <c:v>80.466666666666669</c:v>
                </c:pt>
                <c:pt idx="15">
                  <c:v>57.466666666666669</c:v>
                </c:pt>
                <c:pt idx="16">
                  <c:v>0</c:v>
                </c:pt>
                <c:pt idx="17">
                  <c:v>91.166666666666671</c:v>
                </c:pt>
                <c:pt idx="18">
                  <c:v>54.733333333333334</c:v>
                </c:pt>
                <c:pt idx="19">
                  <c:v>29.9</c:v>
                </c:pt>
                <c:pt idx="20">
                  <c:v>0</c:v>
                </c:pt>
                <c:pt idx="21">
                  <c:v>58.266666666666666</c:v>
                </c:pt>
                <c:pt idx="22">
                  <c:v>70.5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38.166666666666664</c:v>
                </c:pt>
                <c:pt idx="29">
                  <c:v>0</c:v>
                </c:pt>
                <c:pt idx="30">
                  <c:v>0</c:v>
                </c:pt>
                <c:pt idx="31">
                  <c:v>74.900000000000006</c:v>
                </c:pt>
                <c:pt idx="32">
                  <c:v>54.133333333333333</c:v>
                </c:pt>
                <c:pt idx="33">
                  <c:v>44.93333333333333</c:v>
                </c:pt>
                <c:pt idx="34">
                  <c:v>49.033333333333331</c:v>
                </c:pt>
                <c:pt idx="35">
                  <c:v>38.233333333333334</c:v>
                </c:pt>
                <c:pt idx="36">
                  <c:v>44.733333333333334</c:v>
                </c:pt>
                <c:pt idx="37">
                  <c:v>62.56666666666667</c:v>
                </c:pt>
                <c:pt idx="38">
                  <c:v>64.966666666666669</c:v>
                </c:pt>
                <c:pt idx="39">
                  <c:v>65.533333333333331</c:v>
                </c:pt>
                <c:pt idx="40">
                  <c:v>0</c:v>
                </c:pt>
                <c:pt idx="41">
                  <c:v>37.666666666666664</c:v>
                </c:pt>
                <c:pt idx="42">
                  <c:v>44.833333333333336</c:v>
                </c:pt>
                <c:pt idx="43">
                  <c:v>74</c:v>
                </c:pt>
                <c:pt idx="44">
                  <c:v>41.2</c:v>
                </c:pt>
                <c:pt idx="45">
                  <c:v>43</c:v>
                </c:pt>
                <c:pt idx="46">
                  <c:v>42.4</c:v>
                </c:pt>
                <c:pt idx="47">
                  <c:v>83.5</c:v>
                </c:pt>
                <c:pt idx="48">
                  <c:v>0</c:v>
                </c:pt>
                <c:pt idx="49">
                  <c:v>68.433333333333337</c:v>
                </c:pt>
                <c:pt idx="50">
                  <c:v>75.433333333333337</c:v>
                </c:pt>
                <c:pt idx="51">
                  <c:v>30.366666666666667</c:v>
                </c:pt>
                <c:pt idx="52">
                  <c:v>0</c:v>
                </c:pt>
                <c:pt idx="53">
                  <c:v>74.566666666666663</c:v>
                </c:pt>
                <c:pt idx="54">
                  <c:v>67.599999999999994</c:v>
                </c:pt>
                <c:pt idx="55">
                  <c:v>32.966666666666669</c:v>
                </c:pt>
                <c:pt idx="56">
                  <c:v>41.3</c:v>
                </c:pt>
                <c:pt idx="57">
                  <c:v>63.1</c:v>
                </c:pt>
                <c:pt idx="58">
                  <c:v>77.966666666666669</c:v>
                </c:pt>
                <c:pt idx="59">
                  <c:v>42.6</c:v>
                </c:pt>
                <c:pt idx="60">
                  <c:v>43.233333333333334</c:v>
                </c:pt>
                <c:pt idx="61">
                  <c:v>0</c:v>
                </c:pt>
                <c:pt idx="62">
                  <c:v>36.43333333333333</c:v>
                </c:pt>
                <c:pt idx="63">
                  <c:v>54.3</c:v>
                </c:pt>
                <c:pt idx="64">
                  <c:v>34.56666666666667</c:v>
                </c:pt>
                <c:pt idx="65">
                  <c:v>0</c:v>
                </c:pt>
                <c:pt idx="66">
                  <c:v>44.06666666666667</c:v>
                </c:pt>
                <c:pt idx="67">
                  <c:v>66.533333333333331</c:v>
                </c:pt>
                <c:pt idx="68">
                  <c:v>62.766666666666666</c:v>
                </c:pt>
                <c:pt idx="69">
                  <c:v>46.5</c:v>
                </c:pt>
                <c:pt idx="70">
                  <c:v>0</c:v>
                </c:pt>
                <c:pt idx="71">
                  <c:v>72.533333333333331</c:v>
                </c:pt>
                <c:pt idx="72">
                  <c:v>48.366666666666667</c:v>
                </c:pt>
                <c:pt idx="73">
                  <c:v>46.366666666666667</c:v>
                </c:pt>
                <c:pt idx="74">
                  <c:v>65.7</c:v>
                </c:pt>
                <c:pt idx="75">
                  <c:v>37.133333333333333</c:v>
                </c:pt>
                <c:pt idx="76">
                  <c:v>69.166666666666671</c:v>
                </c:pt>
                <c:pt idx="77">
                  <c:v>45.733333333333334</c:v>
                </c:pt>
                <c:pt idx="78">
                  <c:v>62.133333333333333</c:v>
                </c:pt>
                <c:pt idx="79">
                  <c:v>35.200000000000003</c:v>
                </c:pt>
                <c:pt idx="80">
                  <c:v>0</c:v>
                </c:pt>
                <c:pt idx="81">
                  <c:v>69.8</c:v>
                </c:pt>
                <c:pt idx="82">
                  <c:v>72.966666666666669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1-4E34-BF55-5A0006AD7A14}"/>
            </c:ext>
          </c:extLst>
        </c:ser>
        <c:ser>
          <c:idx val="1"/>
          <c:order val="1"/>
          <c:tx>
            <c:v>Máquina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'Datos M2'!$A$3:$A$90</c:f>
              <c:strCache>
                <c:ptCount val="88"/>
                <c:pt idx="0">
                  <c:v>SOBRETAPA SAVILOE 33M                               </c:v>
                </c:pt>
                <c:pt idx="1">
                  <c:v>MAQUILA ENV 1700 TRANSP CAPRI  GEN.NUEVO 41 GR SM           </c:v>
                </c:pt>
                <c:pt idx="2">
                  <c:v>MAQUILA ENV 400 CRISTAL 19 GR S.M. PET CAPRI                </c:v>
                </c:pt>
                <c:pt idx="3">
                  <c:v>SOBRETAPA VV VERDE SF QUALA                         </c:v>
                </c:pt>
                <c:pt idx="4">
                  <c:v>MAQUILA ENV 400 CRISTAL 17 GR S.M. PET CAPRI                </c:v>
                </c:pt>
                <c:pt idx="5">
                  <c:v>MAQUILA ENV 1000 PET CAPRI NUEVO 31 GR TRANSP SM            </c:v>
                </c:pt>
                <c:pt idx="6">
                  <c:v>MAQULA ENVE 335 CM3 PET PETALOIDE TRANS 18 GR               </c:v>
                </c:pt>
                <c:pt idx="7">
                  <c:v>TAPA 28 MM  CONICA AMARILLA                                 </c:v>
                </c:pt>
                <c:pt idx="8">
                  <c:v>MAQUILA BOTELLA W240 QUALA                                  </c:v>
                </c:pt>
                <c:pt idx="9">
                  <c:v>PREFORMA SN 20 GRS CRISTAL                                  </c:v>
                </c:pt>
                <c:pt idx="10">
                  <c:v>TAPA PP  ARO DEEP BLUE 90 ML                        </c:v>
                </c:pt>
                <c:pt idx="11">
                  <c:v>ENVASE 600 BALA ML PET 20 GR                                </c:v>
                </c:pt>
                <c:pt idx="12">
                  <c:v>ENVASE 810 PET BISONTE                                      </c:v>
                </c:pt>
                <c:pt idx="13">
                  <c:v>MAQUILA ENV 500 ANATOMICO LPS PET                           </c:v>
                </c:pt>
                <c:pt idx="14">
                  <c:v>TAPA SUAVIZANTE FUCSIA                                      </c:v>
                </c:pt>
                <c:pt idx="15">
                  <c:v>TAPA SAV ACO COLAGENO 530 ML PE                    </c:v>
                </c:pt>
                <c:pt idx="16">
                  <c:v>MAQUILA ENV PET 400 MAXI CAPRI 18 GR SM                     </c:v>
                </c:pt>
                <c:pt idx="17">
                  <c:v>TAPA GRIS ROS EGO CERA 160 ML                      </c:v>
                </c:pt>
                <c:pt idx="18">
                  <c:v>ENVASE BRILLA KING 500 BLANCO                               </c:v>
                </c:pt>
                <c:pt idx="19">
                  <c:v>ENVASE 4 LTS SUAVIZANTE AMARILLO PEADS                      </c:v>
                </c:pt>
                <c:pt idx="20">
                  <c:v>TAPA FLIT TOP JABON INTIMO KOBA                             </c:v>
                </c:pt>
                <c:pt idx="21">
                  <c:v>32160012SOBRETAPA VV AZUL SF                                </c:v>
                </c:pt>
                <c:pt idx="22">
                  <c:v>67525342 TAPA CUADRADA EGO GEL NEGRA 240                    </c:v>
                </c:pt>
                <c:pt idx="23">
                  <c:v>ENVASE 4 LTS SUAVIZANTE AZUL PEADS BERHLAN                  </c:v>
                </c:pt>
                <c:pt idx="24">
                  <c:v>MAQUILA ENV 1000 ML PET TRANSP CARBONATADA 35GRS            </c:v>
                </c:pt>
                <c:pt idx="25">
                  <c:v>63711265TAPA LZC CREMA 450G LIMON IMAG 2017                 </c:v>
                </c:pt>
                <c:pt idx="26">
                  <c:v>PREFORMA 16.5 GR SN CRISTAL                                 </c:v>
                </c:pt>
                <c:pt idx="27">
                  <c:v>ENV 1700 TRANSP CAPRI  NUEVO 41 GR RPM                      </c:v>
                </c:pt>
                <c:pt idx="28">
                  <c:v>64298656BOT AROMATEL DEEP BLUE 2500 ML                      </c:v>
                </c:pt>
                <c:pt idx="29">
                  <c:v>MAQUILA ENVASE BALA 600 ML 17 GR                            </c:v>
                </c:pt>
                <c:pt idx="30">
                  <c:v>ENVASE JABON INTIMO 300 KOBA                                </c:v>
                </c:pt>
                <c:pt idx="31">
                  <c:v>ENVASE 2000 CM3 PET CARBONATADA                             </c:v>
                </c:pt>
                <c:pt idx="32">
                  <c:v>TAPA SUAVIZANTE NATURAL                                     </c:v>
                </c:pt>
                <c:pt idx="33">
                  <c:v>63716499CONJUNTO BASE ET LZC LVC LIMON 450G RPM IM          </c:v>
                </c:pt>
                <c:pt idx="34">
                  <c:v>TAPA 28 MM PCO WL AZUL 2935 PET                             </c:v>
                </c:pt>
                <c:pt idx="35">
                  <c:v>ENVASE JABON INTIMO JM 300 ML                               </c:v>
                </c:pt>
                <c:pt idx="36">
                  <c:v>67563448 TAPA SAV ACO KERATINA 530 ML                       </c:v>
                </c:pt>
                <c:pt idx="37">
                  <c:v>67563450 TAPA SAV ACO ARGAN 530 ML                          </c:v>
                </c:pt>
                <c:pt idx="38">
                  <c:v>67556899 TAPA SAVITAL AC MULTIVITAMINAS                     </c:v>
                </c:pt>
                <c:pt idx="39">
                  <c:v>67563458 TAPA SAV AC COLAGENO 530                           </c:v>
                </c:pt>
                <c:pt idx="40">
                  <c:v>TAPA 46 MM BLANCA PET                                       </c:v>
                </c:pt>
                <c:pt idx="41">
                  <c:v>ENVASE GALON COHETE BLANCO PE                               </c:v>
                </c:pt>
                <c:pt idx="42">
                  <c:v>TAPA 28 MM SIN BANDA FUCSIA                                 </c:v>
                </c:pt>
                <c:pt idx="43">
                  <c:v>ENVASE 500 ACEITE SHORT NECK #1                             </c:v>
                </c:pt>
                <c:pt idx="44">
                  <c:v>MAQUILA ENVASE 3785 TRANSPARENTE FULLER                     </c:v>
                </c:pt>
                <c:pt idx="45">
                  <c:v>63711264TAPA LZC CREMA 450G ALOE                            </c:v>
                </c:pt>
                <c:pt idx="46">
                  <c:v>64320999CAP SAV CO LIGHT GOLD 510/490ML TIQUE               </c:v>
                </c:pt>
                <c:pt idx="47">
                  <c:v>ENVASE 4 LTS SUAVIZANTE AZUL PE                             </c:v>
                </c:pt>
                <c:pt idx="48">
                  <c:v>ENVASE LIMPIADOR BLANCO X 500 ETERNA                        </c:v>
                </c:pt>
                <c:pt idx="49">
                  <c:v>ENVASE 300 CM3 TRANSPARENTE PET                             </c:v>
                </c:pt>
                <c:pt idx="50">
                  <c:v>63716500CONJUNTO BASE ET LZC LVC ALOE 450G RPM 2023         </c:v>
                </c:pt>
                <c:pt idx="51">
                  <c:v>ENVASE BRILLA KING 810 ML PET AMSA                          </c:v>
                </c:pt>
                <c:pt idx="52">
                  <c:v>TAPA 38 MM AMARILLA LINER INCORPORADO                       </c:v>
                </c:pt>
                <c:pt idx="53">
                  <c:v>67421609 TAPA  NEGRA EGO GEL 500 ML                         </c:v>
                </c:pt>
                <c:pt idx="54">
                  <c:v>TAPA 46 MM VERDE CLARO                                      </c:v>
                </c:pt>
                <c:pt idx="55">
                  <c:v>ENV GALON PET TRANS. REDONDO T38 CON MANIJA                 </c:v>
                </c:pt>
                <c:pt idx="56">
                  <c:v>31100907 ENSALADERA GALLINA 4X200 COL QUALA T AZUL          </c:v>
                </c:pt>
                <c:pt idx="57">
                  <c:v>ENVASE 900 ACEITE SHORT NECK PET                            </c:v>
                </c:pt>
                <c:pt idx="58">
                  <c:v>ENVASE 2000 COHETE BLANCO AGENTEX PE                        </c:v>
                </c:pt>
                <c:pt idx="59">
                  <c:v>ENVASE BETUN CREMA PET 40 GR BISONTE                        </c:v>
                </c:pt>
                <c:pt idx="60">
                  <c:v>MAQUILA ENVASE 2000 TRANSPARENTE FULLER                     </c:v>
                </c:pt>
                <c:pt idx="61">
                  <c:v>MAQUILA ENVASE 3785 PET BLANCO FULLER                       </c:v>
                </c:pt>
                <c:pt idx="62">
                  <c:v>63716305ENV LZC LIMON 850 G                                 </c:v>
                </c:pt>
                <c:pt idx="63">
                  <c:v>63710480 TAPA ENV LZC 800 GR Y 1.1 KG LIMON                 </c:v>
                </c:pt>
                <c:pt idx="64">
                  <c:v>63710479 TAPA ENV LZC 800 GR Y 1.1 KG ALOE                  </c:v>
                </c:pt>
                <c:pt idx="65">
                  <c:v>MANIJA ENVASE PET AMARILLA                                  </c:v>
                </c:pt>
                <c:pt idx="66">
                  <c:v>MAQUILA ENVASE 1000 PET TRANSPARENTE FULLER                 </c:v>
                </c:pt>
                <c:pt idx="67">
                  <c:v>PREFORMA 16.5 GRS PET CRISTAL                               </c:v>
                </c:pt>
                <c:pt idx="68">
                  <c:v>67589799TAPA EGO GEL ATRACTION 240 ML                       </c:v>
                </c:pt>
                <c:pt idx="69">
                  <c:v>ETIQUETADO ENVASE ROPA INTIMA                               </c:v>
                </c:pt>
                <c:pt idx="70">
                  <c:v>63716304ENV LZC ALOE 850 G                                  </c:v>
                </c:pt>
                <c:pt idx="71">
                  <c:v>ENVASE JABON DE MANOS CILINDRICO 1000 PET                   </c:v>
                </c:pt>
                <c:pt idx="72">
                  <c:v>ENVASE 1000 LIMPIAPISOS LPS PET                             </c:v>
                </c:pt>
                <c:pt idx="73">
                  <c:v>MAQUILA ENVASE 1000 PET BLANCO FULLER                       </c:v>
                </c:pt>
                <c:pt idx="74">
                  <c:v>ENVASE ROSADO 1000 ET  QUITAMANCHAS                         </c:v>
                </c:pt>
                <c:pt idx="75">
                  <c:v>ENVASE 3000 ACEITE T28 SF PET                               </c:v>
                </c:pt>
                <c:pt idx="76">
                  <c:v>ETIQUETADO ENV JABON JM ALOE                                </c:v>
                </c:pt>
                <c:pt idx="77">
                  <c:v>63711267	TAPA LZC CREMA 450G AVENA IMAG 2017                </c:v>
                </c:pt>
                <c:pt idx="78">
                  <c:v>TAPA 38 MM ROJA LINER INCORPORADO                           </c:v>
                </c:pt>
                <c:pt idx="79">
                  <c:v>MAQUILA ENVASE 500 PET TRANSPARENTE FULLER                  </c:v>
                </c:pt>
                <c:pt idx="80">
                  <c:v>67428134 TAPA SAVITAL AC SABILA Y PALTA                     </c:v>
                </c:pt>
                <c:pt idx="81">
                  <c:v>ENVASE 4 LITROS DETERGENTE AZUL LPS                         </c:v>
                </c:pt>
                <c:pt idx="82">
                  <c:v>ENVASE BLANCO 1000 ET QUITAMANCHAS                          </c:v>
                </c:pt>
                <c:pt idx="83">
                  <c:v>ETIQUETADO ENV JABON JM MANZANILLA                          </c:v>
                </c:pt>
                <c:pt idx="84">
                  <c:v>ENVASE 300 CM3 TRANSPARENTE PET NUTRI                       </c:v>
                </c:pt>
                <c:pt idx="85">
                  <c:v>MAQUILA ENVASE 500 PET BLANCO FULLER                        </c:v>
                </c:pt>
                <c:pt idx="86">
                  <c:v>20610043 FRASCO INSTACREAM 450 GR PP QUALA                  </c:v>
                </c:pt>
                <c:pt idx="87">
                  <c:v>63716501CONJUNTO BASE ET LZC LVC AVENA 450G RPM IMG 2023    </c:v>
                </c:pt>
              </c:strCache>
            </c:strRef>
          </c:cat>
          <c:val>
            <c:numRef>
              <c:f>'Datos M2'!#REF!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1-4E34-BF55-5A0006AD7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035424"/>
        <c:axId val="674036256"/>
      </c:lineChart>
      <c:catAx>
        <c:axId val="67403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Referencia de Producto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4036256"/>
        <c:crosses val="autoZero"/>
        <c:auto val="1"/>
        <c:lblAlgn val="ctr"/>
        <c:lblOffset val="100"/>
        <c:noMultiLvlLbl val="0"/>
      </c:catAx>
      <c:valAx>
        <c:axId val="674036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Promedio de tiempo en 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403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440765</xdr:colOff>
      <xdr:row>96</xdr:row>
      <xdr:rowOff>158482</xdr:rowOff>
    </xdr:from>
    <xdr:to>
      <xdr:col>25</xdr:col>
      <xdr:colOff>7471</xdr:colOff>
      <xdr:row>130</xdr:row>
      <xdr:rowOff>158482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C6DBF0-22BE-4880-A023-24C7D0244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46484375" defaultRowHeight="14.25" x14ac:dyDescent="0.45"/>
  <cols>
    <col min="1" max="1" width="60.53125" style="2" bestFit="1" customWidth="1"/>
    <col min="2" max="2" width="21.73046875" style="3" bestFit="1" customWidth="1"/>
    <col min="3" max="3" width="26.796875" style="2" bestFit="1" customWidth="1"/>
    <col min="4" max="4" width="15.53125" style="2" bestFit="1" customWidth="1"/>
    <col min="5" max="5" width="11.73046875" style="2" bestFit="1" customWidth="1"/>
    <col min="6" max="6" width="13.19921875" style="2" bestFit="1" customWidth="1"/>
    <col min="7" max="7" width="14.73046875" style="2" bestFit="1" customWidth="1"/>
    <col min="8" max="8" width="14.19921875" style="2" bestFit="1" customWidth="1"/>
    <col min="9" max="16384" width="11.46484375" style="2"/>
  </cols>
  <sheetData>
    <row r="1" spans="1:8" x14ac:dyDescent="0.45">
      <c r="A1" s="5" t="s">
        <v>0</v>
      </c>
      <c r="B1" s="6" t="s">
        <v>215</v>
      </c>
      <c r="C1" s="7" t="s">
        <v>209</v>
      </c>
      <c r="D1" s="7" t="s">
        <v>1</v>
      </c>
      <c r="E1" s="7" t="s">
        <v>2</v>
      </c>
      <c r="F1" s="7" t="s">
        <v>3</v>
      </c>
      <c r="G1" s="4"/>
      <c r="H1" s="4"/>
    </row>
    <row r="2" spans="1:8" x14ac:dyDescent="0.45">
      <c r="A2" s="1" t="s">
        <v>210</v>
      </c>
      <c r="B2" s="8">
        <v>752372</v>
      </c>
      <c r="C2" s="9">
        <v>5.7</v>
      </c>
      <c r="D2" s="9">
        <f t="shared" ref="D2:D33" si="0">+B2*C2</f>
        <v>4288520.4000000004</v>
      </c>
      <c r="E2" s="9">
        <f t="shared" ref="E2:F21" si="1">+D2/1000</f>
        <v>4288.5204000000003</v>
      </c>
      <c r="F2" s="9">
        <f t="shared" si="1"/>
        <v>4.2885204000000003</v>
      </c>
      <c r="G2" s="58">
        <f>+INT((B2/(6)/(31)))</f>
        <v>4045</v>
      </c>
      <c r="H2" s="4"/>
    </row>
    <row r="3" spans="1:8" x14ac:dyDescent="0.45">
      <c r="A3" s="1" t="s">
        <v>166</v>
      </c>
      <c r="B3" s="8">
        <v>622168</v>
      </c>
      <c r="C3" s="9">
        <v>43</v>
      </c>
      <c r="D3" s="9">
        <f t="shared" si="0"/>
        <v>26753224</v>
      </c>
      <c r="E3" s="9">
        <f t="shared" si="1"/>
        <v>26753.223999999998</v>
      </c>
      <c r="F3" s="9">
        <f t="shared" si="1"/>
        <v>26.753223999999999</v>
      </c>
      <c r="G3" s="58">
        <f t="shared" ref="G3:G66" si="2">+INT((B3/(6)/(31)))</f>
        <v>3344</v>
      </c>
      <c r="H3" s="4"/>
    </row>
    <row r="4" spans="1:8" x14ac:dyDescent="0.45">
      <c r="A4" s="1" t="s">
        <v>167</v>
      </c>
      <c r="B4" s="8">
        <v>430329</v>
      </c>
      <c r="C4" s="9">
        <v>19</v>
      </c>
      <c r="D4" s="9">
        <f t="shared" si="0"/>
        <v>8176251</v>
      </c>
      <c r="E4" s="9">
        <f t="shared" si="1"/>
        <v>8176.2510000000002</v>
      </c>
      <c r="F4" s="9">
        <f t="shared" si="1"/>
        <v>8.1762510000000006</v>
      </c>
      <c r="G4" s="58">
        <f t="shared" si="2"/>
        <v>2313</v>
      </c>
      <c r="H4" s="4"/>
    </row>
    <row r="5" spans="1:8" x14ac:dyDescent="0.45">
      <c r="A5" s="1" t="s">
        <v>211</v>
      </c>
      <c r="B5" s="8">
        <v>379322</v>
      </c>
      <c r="C5" s="9">
        <v>6.2</v>
      </c>
      <c r="D5" s="9">
        <f t="shared" si="0"/>
        <v>2351796.4</v>
      </c>
      <c r="E5" s="9">
        <f t="shared" si="1"/>
        <v>2351.7963999999997</v>
      </c>
      <c r="F5" s="9">
        <f t="shared" si="1"/>
        <v>2.3517963999999996</v>
      </c>
      <c r="G5" s="58">
        <f t="shared" si="2"/>
        <v>2039</v>
      </c>
      <c r="H5" s="4"/>
    </row>
    <row r="6" spans="1:8" x14ac:dyDescent="0.45">
      <c r="A6" s="1" t="s">
        <v>168</v>
      </c>
      <c r="B6" s="8">
        <v>333531</v>
      </c>
      <c r="C6" s="9">
        <v>19</v>
      </c>
      <c r="D6" s="9">
        <f t="shared" si="0"/>
        <v>6337089</v>
      </c>
      <c r="E6" s="9">
        <f t="shared" si="1"/>
        <v>6337.0889999999999</v>
      </c>
      <c r="F6" s="9">
        <f t="shared" si="1"/>
        <v>6.3370889999999997</v>
      </c>
      <c r="G6" s="58">
        <f t="shared" si="2"/>
        <v>1793</v>
      </c>
      <c r="H6" s="4"/>
    </row>
    <row r="7" spans="1:8" x14ac:dyDescent="0.45">
      <c r="A7" s="1" t="s">
        <v>169</v>
      </c>
      <c r="B7" s="8">
        <v>200801</v>
      </c>
      <c r="C7" s="9">
        <v>34</v>
      </c>
      <c r="D7" s="9">
        <f t="shared" si="0"/>
        <v>6827234</v>
      </c>
      <c r="E7" s="9">
        <f t="shared" si="1"/>
        <v>6827.2340000000004</v>
      </c>
      <c r="F7" s="9">
        <f t="shared" si="1"/>
        <v>6.8272340000000007</v>
      </c>
      <c r="G7" s="58">
        <f t="shared" si="2"/>
        <v>1079</v>
      </c>
      <c r="H7" s="4"/>
    </row>
    <row r="8" spans="1:8" x14ac:dyDescent="0.45">
      <c r="A8" s="1" t="s">
        <v>170</v>
      </c>
      <c r="B8" s="8">
        <v>197880</v>
      </c>
      <c r="C8" s="9">
        <v>19</v>
      </c>
      <c r="D8" s="9">
        <f t="shared" si="0"/>
        <v>3759720</v>
      </c>
      <c r="E8" s="9">
        <f t="shared" si="1"/>
        <v>3759.72</v>
      </c>
      <c r="F8" s="9">
        <f t="shared" si="1"/>
        <v>3.7597199999999997</v>
      </c>
      <c r="G8" s="58">
        <f t="shared" si="2"/>
        <v>1063</v>
      </c>
      <c r="H8" s="4"/>
    </row>
    <row r="9" spans="1:8" x14ac:dyDescent="0.45">
      <c r="A9" s="1" t="s">
        <v>4</v>
      </c>
      <c r="B9" s="8">
        <v>190465</v>
      </c>
      <c r="C9" s="9">
        <v>5.7</v>
      </c>
      <c r="D9" s="9">
        <f t="shared" si="0"/>
        <v>1085650.5</v>
      </c>
      <c r="E9" s="9">
        <f t="shared" si="1"/>
        <v>1085.6505</v>
      </c>
      <c r="F9" s="9">
        <f t="shared" si="1"/>
        <v>1.0856505000000001</v>
      </c>
      <c r="G9" s="58">
        <f t="shared" si="2"/>
        <v>1024</v>
      </c>
      <c r="H9" s="4"/>
    </row>
    <row r="10" spans="1:8" x14ac:dyDescent="0.45">
      <c r="A10" s="1" t="s">
        <v>5</v>
      </c>
      <c r="B10" s="8">
        <v>173712</v>
      </c>
      <c r="C10" s="9">
        <v>12.67</v>
      </c>
      <c r="D10" s="9">
        <f t="shared" si="0"/>
        <v>2200931.04</v>
      </c>
      <c r="E10" s="9">
        <f t="shared" si="1"/>
        <v>2200.9310399999999</v>
      </c>
      <c r="F10" s="9">
        <f t="shared" si="1"/>
        <v>2.2009310399999999</v>
      </c>
      <c r="G10" s="58">
        <f t="shared" si="2"/>
        <v>933</v>
      </c>
      <c r="H10" s="4"/>
    </row>
    <row r="11" spans="1:8" x14ac:dyDescent="0.45">
      <c r="A11" s="1" t="s">
        <v>161</v>
      </c>
      <c r="B11" s="8">
        <v>162286</v>
      </c>
      <c r="C11" s="9">
        <v>21</v>
      </c>
      <c r="D11" s="9">
        <f t="shared" si="0"/>
        <v>3408006</v>
      </c>
      <c r="E11" s="9">
        <f t="shared" si="1"/>
        <v>3408.0059999999999</v>
      </c>
      <c r="F11" s="9">
        <f t="shared" si="1"/>
        <v>3.4080059999999999</v>
      </c>
      <c r="G11" s="58">
        <f t="shared" si="2"/>
        <v>872</v>
      </c>
      <c r="H11" s="4"/>
    </row>
    <row r="12" spans="1:8" x14ac:dyDescent="0.45">
      <c r="A12" s="1" t="s">
        <v>212</v>
      </c>
      <c r="B12" s="8">
        <v>129815</v>
      </c>
      <c r="C12" s="9">
        <v>13.5</v>
      </c>
      <c r="D12" s="9">
        <f t="shared" si="0"/>
        <v>1752502.5</v>
      </c>
      <c r="E12" s="9">
        <f t="shared" si="1"/>
        <v>1752.5025000000001</v>
      </c>
      <c r="F12" s="9">
        <f t="shared" si="1"/>
        <v>1.7525025000000001</v>
      </c>
      <c r="G12" s="58">
        <f t="shared" si="2"/>
        <v>697</v>
      </c>
      <c r="H12" s="4"/>
    </row>
    <row r="13" spans="1:8" x14ac:dyDescent="0.45">
      <c r="A13" s="1" t="s">
        <v>6</v>
      </c>
      <c r="B13" s="8">
        <v>128582</v>
      </c>
      <c r="C13" s="9">
        <v>21</v>
      </c>
      <c r="D13" s="9">
        <f t="shared" si="0"/>
        <v>2700222</v>
      </c>
      <c r="E13" s="9">
        <f t="shared" si="1"/>
        <v>2700.2220000000002</v>
      </c>
      <c r="F13" s="9">
        <f t="shared" si="1"/>
        <v>2.7002220000000001</v>
      </c>
      <c r="G13" s="58">
        <f t="shared" si="2"/>
        <v>691</v>
      </c>
      <c r="H13" s="4"/>
    </row>
    <row r="14" spans="1:8" x14ac:dyDescent="0.45">
      <c r="A14" s="1" t="s">
        <v>7</v>
      </c>
      <c r="B14" s="8">
        <v>128218</v>
      </c>
      <c r="C14" s="9">
        <v>29</v>
      </c>
      <c r="D14" s="9">
        <f t="shared" si="0"/>
        <v>3718322</v>
      </c>
      <c r="E14" s="9">
        <f t="shared" si="1"/>
        <v>3718.3220000000001</v>
      </c>
      <c r="F14" s="9">
        <f t="shared" si="1"/>
        <v>3.7183220000000001</v>
      </c>
      <c r="G14" s="58">
        <f t="shared" si="2"/>
        <v>689</v>
      </c>
      <c r="H14" s="4"/>
    </row>
    <row r="15" spans="1:8" x14ac:dyDescent="0.45">
      <c r="A15" s="1" t="s">
        <v>8</v>
      </c>
      <c r="B15" s="8">
        <v>123367</v>
      </c>
      <c r="C15" s="9">
        <v>23</v>
      </c>
      <c r="D15" s="9">
        <f t="shared" si="0"/>
        <v>2837441</v>
      </c>
      <c r="E15" s="9">
        <f t="shared" si="1"/>
        <v>2837.4409999999998</v>
      </c>
      <c r="F15" s="9">
        <f t="shared" si="1"/>
        <v>2.8374409999999997</v>
      </c>
      <c r="G15" s="58">
        <f t="shared" si="2"/>
        <v>663</v>
      </c>
      <c r="H15" s="4"/>
    </row>
    <row r="16" spans="1:8" x14ac:dyDescent="0.45">
      <c r="A16" s="1" t="s">
        <v>9</v>
      </c>
      <c r="B16" s="8">
        <v>121394</v>
      </c>
      <c r="C16" s="9">
        <v>15.5</v>
      </c>
      <c r="D16" s="9">
        <f t="shared" si="0"/>
        <v>1881607</v>
      </c>
      <c r="E16" s="9">
        <f t="shared" si="1"/>
        <v>1881.607</v>
      </c>
      <c r="F16" s="9">
        <f t="shared" si="1"/>
        <v>1.881607</v>
      </c>
      <c r="G16" s="58">
        <f t="shared" si="2"/>
        <v>652</v>
      </c>
      <c r="H16" s="4"/>
    </row>
    <row r="17" spans="1:8" x14ac:dyDescent="0.45">
      <c r="A17" s="1" t="s">
        <v>213</v>
      </c>
      <c r="B17" s="8">
        <v>81532</v>
      </c>
      <c r="C17" s="9">
        <v>11.5</v>
      </c>
      <c r="D17" s="9">
        <f t="shared" si="0"/>
        <v>937618</v>
      </c>
      <c r="E17" s="9">
        <f t="shared" si="1"/>
        <v>937.61800000000005</v>
      </c>
      <c r="F17" s="9">
        <f t="shared" si="1"/>
        <v>0.93761800000000006</v>
      </c>
      <c r="G17" s="58">
        <f t="shared" si="2"/>
        <v>438</v>
      </c>
      <c r="H17" s="4"/>
    </row>
    <row r="18" spans="1:8" x14ac:dyDescent="0.45">
      <c r="A18" s="1" t="s">
        <v>171</v>
      </c>
      <c r="B18" s="8">
        <v>75520</v>
      </c>
      <c r="C18" s="9">
        <v>19</v>
      </c>
      <c r="D18" s="9">
        <f t="shared" si="0"/>
        <v>1434880</v>
      </c>
      <c r="E18" s="9">
        <f t="shared" si="1"/>
        <v>1434.88</v>
      </c>
      <c r="F18" s="9">
        <f t="shared" si="1"/>
        <v>1.4348800000000002</v>
      </c>
      <c r="G18" s="58">
        <f t="shared" si="2"/>
        <v>406</v>
      </c>
      <c r="H18" s="4"/>
    </row>
    <row r="19" spans="1:8" x14ac:dyDescent="0.45">
      <c r="A19" s="1" t="s">
        <v>214</v>
      </c>
      <c r="B19" s="8">
        <v>70140</v>
      </c>
      <c r="C19" s="9">
        <v>15</v>
      </c>
      <c r="D19" s="9">
        <f t="shared" si="0"/>
        <v>1052100</v>
      </c>
      <c r="E19" s="9">
        <f t="shared" si="1"/>
        <v>1052.0999999999999</v>
      </c>
      <c r="F19" s="9">
        <f t="shared" si="1"/>
        <v>1.0520999999999998</v>
      </c>
      <c r="G19" s="58">
        <f t="shared" si="2"/>
        <v>377</v>
      </c>
      <c r="H19" s="4"/>
    </row>
    <row r="20" spans="1:8" x14ac:dyDescent="0.45">
      <c r="A20" s="1" t="s">
        <v>10</v>
      </c>
      <c r="B20" s="8">
        <v>64365</v>
      </c>
      <c r="C20" s="9">
        <v>21</v>
      </c>
      <c r="D20" s="9">
        <f t="shared" si="0"/>
        <v>1351665</v>
      </c>
      <c r="E20" s="9">
        <f t="shared" si="1"/>
        <v>1351.665</v>
      </c>
      <c r="F20" s="9">
        <f t="shared" si="1"/>
        <v>1.3516649999999999</v>
      </c>
      <c r="G20" s="58">
        <f t="shared" si="2"/>
        <v>346</v>
      </c>
      <c r="H20" s="4"/>
    </row>
    <row r="21" spans="1:8" x14ac:dyDescent="0.45">
      <c r="A21" s="1" t="s">
        <v>11</v>
      </c>
      <c r="B21" s="8">
        <v>59915</v>
      </c>
      <c r="C21" s="9">
        <v>150</v>
      </c>
      <c r="D21" s="9">
        <f t="shared" si="0"/>
        <v>8987250</v>
      </c>
      <c r="E21" s="9">
        <f t="shared" si="1"/>
        <v>8987.25</v>
      </c>
      <c r="F21" s="9">
        <f t="shared" si="1"/>
        <v>8.9872499999999995</v>
      </c>
      <c r="G21" s="58">
        <f t="shared" si="2"/>
        <v>322</v>
      </c>
      <c r="H21" s="4"/>
    </row>
    <row r="22" spans="1:8" x14ac:dyDescent="0.45">
      <c r="A22" s="1" t="s">
        <v>12</v>
      </c>
      <c r="B22" s="8">
        <v>47279</v>
      </c>
      <c r="C22" s="9">
        <v>9</v>
      </c>
      <c r="D22" s="9">
        <f t="shared" si="0"/>
        <v>425511</v>
      </c>
      <c r="E22" s="9">
        <f t="shared" ref="E22:F41" si="3">+D22/1000</f>
        <v>425.51100000000002</v>
      </c>
      <c r="F22" s="9">
        <f t="shared" si="3"/>
        <v>0.42551100000000003</v>
      </c>
      <c r="G22" s="58">
        <f t="shared" si="2"/>
        <v>254</v>
      </c>
      <c r="H22" s="4"/>
    </row>
    <row r="23" spans="1:8" x14ac:dyDescent="0.45">
      <c r="A23" s="1" t="s">
        <v>13</v>
      </c>
      <c r="B23" s="8">
        <v>45408</v>
      </c>
      <c r="C23" s="9">
        <v>6.2</v>
      </c>
      <c r="D23" s="9">
        <f t="shared" si="0"/>
        <v>281529.60000000003</v>
      </c>
      <c r="E23" s="9">
        <f t="shared" si="3"/>
        <v>281.52960000000002</v>
      </c>
      <c r="F23" s="9">
        <f t="shared" si="3"/>
        <v>0.28152959999999999</v>
      </c>
      <c r="G23" s="58">
        <f t="shared" si="2"/>
        <v>244</v>
      </c>
      <c r="H23" s="4"/>
    </row>
    <row r="24" spans="1:8" x14ac:dyDescent="0.45">
      <c r="A24" s="1" t="s">
        <v>14</v>
      </c>
      <c r="B24" s="8">
        <v>40380</v>
      </c>
      <c r="C24" s="9">
        <v>15</v>
      </c>
      <c r="D24" s="9">
        <f t="shared" si="0"/>
        <v>605700</v>
      </c>
      <c r="E24" s="9">
        <f t="shared" si="3"/>
        <v>605.70000000000005</v>
      </c>
      <c r="F24" s="9">
        <f t="shared" si="3"/>
        <v>0.60570000000000002</v>
      </c>
      <c r="G24" s="58">
        <f t="shared" si="2"/>
        <v>217</v>
      </c>
      <c r="H24" s="4"/>
    </row>
    <row r="25" spans="1:8" x14ac:dyDescent="0.45">
      <c r="A25" s="1" t="s">
        <v>15</v>
      </c>
      <c r="B25" s="8">
        <v>40160</v>
      </c>
      <c r="C25" s="9">
        <v>150</v>
      </c>
      <c r="D25" s="9">
        <f t="shared" si="0"/>
        <v>6024000</v>
      </c>
      <c r="E25" s="9">
        <f t="shared" si="3"/>
        <v>6024</v>
      </c>
      <c r="F25" s="9">
        <f t="shared" si="3"/>
        <v>6.024</v>
      </c>
      <c r="G25" s="58">
        <f t="shared" si="2"/>
        <v>215</v>
      </c>
      <c r="H25" s="4"/>
    </row>
    <row r="26" spans="1:8" x14ac:dyDescent="0.45">
      <c r="A26" s="1" t="s">
        <v>172</v>
      </c>
      <c r="B26" s="8">
        <v>38582</v>
      </c>
      <c r="C26" s="9">
        <v>36</v>
      </c>
      <c r="D26" s="9">
        <f t="shared" si="0"/>
        <v>1388952</v>
      </c>
      <c r="E26" s="9">
        <f t="shared" si="3"/>
        <v>1388.952</v>
      </c>
      <c r="F26" s="9">
        <f t="shared" si="3"/>
        <v>1.388952</v>
      </c>
      <c r="G26" s="58">
        <f t="shared" si="2"/>
        <v>207</v>
      </c>
      <c r="H26" s="4"/>
    </row>
    <row r="27" spans="1:8" x14ac:dyDescent="0.45">
      <c r="A27" s="1" t="s">
        <v>16</v>
      </c>
      <c r="B27" s="8">
        <v>37765</v>
      </c>
      <c r="C27" s="9">
        <v>15</v>
      </c>
      <c r="D27" s="9">
        <f t="shared" si="0"/>
        <v>566475</v>
      </c>
      <c r="E27" s="9">
        <f t="shared" si="3"/>
        <v>566.47500000000002</v>
      </c>
      <c r="F27" s="9">
        <f t="shared" si="3"/>
        <v>0.56647500000000006</v>
      </c>
      <c r="G27" s="58">
        <f t="shared" si="2"/>
        <v>203</v>
      </c>
      <c r="H27" s="4"/>
    </row>
    <row r="28" spans="1:8" x14ac:dyDescent="0.45">
      <c r="A28" s="1" t="s">
        <v>195</v>
      </c>
      <c r="B28" s="8">
        <v>37715</v>
      </c>
      <c r="C28" s="9">
        <v>17.5</v>
      </c>
      <c r="D28" s="9">
        <f t="shared" si="0"/>
        <v>660012.5</v>
      </c>
      <c r="E28" s="9">
        <f t="shared" si="3"/>
        <v>660.01250000000005</v>
      </c>
      <c r="F28" s="9">
        <f t="shared" si="3"/>
        <v>0.6600125</v>
      </c>
      <c r="G28" s="58">
        <f t="shared" si="2"/>
        <v>202</v>
      </c>
      <c r="H28" s="4"/>
    </row>
    <row r="29" spans="1:8" x14ac:dyDescent="0.45">
      <c r="A29" s="1" t="s">
        <v>173</v>
      </c>
      <c r="B29" s="8">
        <v>36017</v>
      </c>
      <c r="C29" s="9">
        <v>43</v>
      </c>
      <c r="D29" s="9">
        <f t="shared" si="0"/>
        <v>1548731</v>
      </c>
      <c r="E29" s="9">
        <f t="shared" si="3"/>
        <v>1548.731</v>
      </c>
      <c r="F29" s="9">
        <f t="shared" si="3"/>
        <v>1.5487310000000001</v>
      </c>
      <c r="G29" s="58">
        <f t="shared" si="2"/>
        <v>193</v>
      </c>
      <c r="H29" s="4"/>
    </row>
    <row r="30" spans="1:8" x14ac:dyDescent="0.45">
      <c r="A30" s="1" t="s">
        <v>17</v>
      </c>
      <c r="B30" s="8">
        <v>35153</v>
      </c>
      <c r="C30" s="9">
        <v>123</v>
      </c>
      <c r="D30" s="9">
        <f t="shared" si="0"/>
        <v>4323819</v>
      </c>
      <c r="E30" s="9">
        <f t="shared" si="3"/>
        <v>4323.8190000000004</v>
      </c>
      <c r="F30" s="9">
        <f t="shared" si="3"/>
        <v>4.3238190000000003</v>
      </c>
      <c r="G30" s="58">
        <f t="shared" si="2"/>
        <v>188</v>
      </c>
      <c r="H30" s="4"/>
    </row>
    <row r="31" spans="1:8" x14ac:dyDescent="0.45">
      <c r="A31" s="1" t="s">
        <v>18</v>
      </c>
      <c r="B31" s="8">
        <v>34067</v>
      </c>
      <c r="C31" s="9">
        <v>18</v>
      </c>
      <c r="D31" s="9">
        <f t="shared" si="0"/>
        <v>613206</v>
      </c>
      <c r="E31" s="9">
        <f t="shared" si="3"/>
        <v>613.20600000000002</v>
      </c>
      <c r="F31" s="9">
        <f t="shared" si="3"/>
        <v>0.61320600000000003</v>
      </c>
      <c r="G31" s="58">
        <f t="shared" si="2"/>
        <v>183</v>
      </c>
      <c r="H31" s="4"/>
    </row>
    <row r="32" spans="1:8" x14ac:dyDescent="0.45">
      <c r="A32" s="1" t="s">
        <v>19</v>
      </c>
      <c r="B32" s="8">
        <v>33025</v>
      </c>
      <c r="C32" s="9">
        <v>32</v>
      </c>
      <c r="D32" s="9">
        <f t="shared" si="0"/>
        <v>1056800</v>
      </c>
      <c r="E32" s="9">
        <f t="shared" si="3"/>
        <v>1056.8</v>
      </c>
      <c r="F32" s="9">
        <f t="shared" si="3"/>
        <v>1.0568</v>
      </c>
      <c r="G32" s="58">
        <f t="shared" si="2"/>
        <v>177</v>
      </c>
      <c r="H32" s="4"/>
    </row>
    <row r="33" spans="1:8" x14ac:dyDescent="0.45">
      <c r="A33" s="1" t="s">
        <v>174</v>
      </c>
      <c r="B33" s="8">
        <v>32751</v>
      </c>
      <c r="C33" s="9">
        <v>45</v>
      </c>
      <c r="D33" s="9">
        <f t="shared" si="0"/>
        <v>1473795</v>
      </c>
      <c r="E33" s="9">
        <f t="shared" si="3"/>
        <v>1473.7950000000001</v>
      </c>
      <c r="F33" s="9">
        <f t="shared" si="3"/>
        <v>1.473795</v>
      </c>
      <c r="G33" s="58">
        <f t="shared" si="2"/>
        <v>176</v>
      </c>
      <c r="H33" s="4"/>
    </row>
    <row r="34" spans="1:8" x14ac:dyDescent="0.45">
      <c r="A34" s="1" t="s">
        <v>20</v>
      </c>
      <c r="B34" s="8">
        <v>32358</v>
      </c>
      <c r="C34" s="9">
        <v>15.5</v>
      </c>
      <c r="D34" s="9">
        <f t="shared" ref="D34:D65" si="4">+B34*C34</f>
        <v>501549</v>
      </c>
      <c r="E34" s="9">
        <f t="shared" si="3"/>
        <v>501.54899999999998</v>
      </c>
      <c r="F34" s="9">
        <f t="shared" si="3"/>
        <v>0.50154900000000002</v>
      </c>
      <c r="G34" s="58">
        <f t="shared" si="2"/>
        <v>173</v>
      </c>
      <c r="H34" s="4"/>
    </row>
    <row r="35" spans="1:8" x14ac:dyDescent="0.45">
      <c r="A35" s="1" t="s">
        <v>21</v>
      </c>
      <c r="B35" s="8">
        <v>32133</v>
      </c>
      <c r="C35" s="9">
        <v>34</v>
      </c>
      <c r="D35" s="9">
        <f t="shared" si="4"/>
        <v>1092522</v>
      </c>
      <c r="E35" s="9">
        <f t="shared" si="3"/>
        <v>1092.5219999999999</v>
      </c>
      <c r="F35" s="9">
        <f t="shared" si="3"/>
        <v>1.092522</v>
      </c>
      <c r="G35" s="58">
        <f t="shared" si="2"/>
        <v>172</v>
      </c>
      <c r="H35" s="4"/>
    </row>
    <row r="36" spans="1:8" x14ac:dyDescent="0.45">
      <c r="A36" s="1" t="s">
        <v>22</v>
      </c>
      <c r="B36" s="8">
        <v>32004</v>
      </c>
      <c r="C36" s="9">
        <v>3.66</v>
      </c>
      <c r="D36" s="9">
        <f t="shared" si="4"/>
        <v>117134.64</v>
      </c>
      <c r="E36" s="9">
        <f t="shared" si="3"/>
        <v>117.13464</v>
      </c>
      <c r="F36" s="9">
        <f t="shared" si="3"/>
        <v>0.11713464</v>
      </c>
      <c r="G36" s="58">
        <f t="shared" si="2"/>
        <v>172</v>
      </c>
      <c r="H36" s="4"/>
    </row>
    <row r="37" spans="1:8" x14ac:dyDescent="0.45">
      <c r="A37" s="1" t="s">
        <v>23</v>
      </c>
      <c r="B37" s="8">
        <v>30830</v>
      </c>
      <c r="C37" s="9">
        <v>32</v>
      </c>
      <c r="D37" s="9">
        <f t="shared" si="4"/>
        <v>986560</v>
      </c>
      <c r="E37" s="9">
        <f t="shared" si="3"/>
        <v>986.56</v>
      </c>
      <c r="F37" s="9">
        <f t="shared" si="3"/>
        <v>0.98655999999999999</v>
      </c>
      <c r="G37" s="58">
        <f t="shared" si="2"/>
        <v>165</v>
      </c>
      <c r="H37" s="4"/>
    </row>
    <row r="38" spans="1:8" x14ac:dyDescent="0.45">
      <c r="A38" s="1" t="s">
        <v>24</v>
      </c>
      <c r="B38" s="8">
        <v>29349</v>
      </c>
      <c r="C38" s="9">
        <v>11.5</v>
      </c>
      <c r="D38" s="9">
        <f t="shared" si="4"/>
        <v>337513.5</v>
      </c>
      <c r="E38" s="9">
        <f t="shared" si="3"/>
        <v>337.51350000000002</v>
      </c>
      <c r="F38" s="9">
        <f t="shared" si="3"/>
        <v>0.33751350000000002</v>
      </c>
      <c r="G38" s="58">
        <f t="shared" si="2"/>
        <v>157</v>
      </c>
      <c r="H38" s="4"/>
    </row>
    <row r="39" spans="1:8" x14ac:dyDescent="0.45">
      <c r="A39" s="1" t="s">
        <v>25</v>
      </c>
      <c r="B39" s="8">
        <v>28389</v>
      </c>
      <c r="C39" s="9">
        <v>11.5</v>
      </c>
      <c r="D39" s="9">
        <f t="shared" si="4"/>
        <v>326473.5</v>
      </c>
      <c r="E39" s="9">
        <f t="shared" si="3"/>
        <v>326.4735</v>
      </c>
      <c r="F39" s="9">
        <f t="shared" si="3"/>
        <v>0.32647350000000003</v>
      </c>
      <c r="G39" s="58">
        <f t="shared" si="2"/>
        <v>152</v>
      </c>
      <c r="H39" s="4"/>
    </row>
    <row r="40" spans="1:8" x14ac:dyDescent="0.45">
      <c r="A40" s="1" t="s">
        <v>26</v>
      </c>
      <c r="B40" s="8">
        <v>27840</v>
      </c>
      <c r="C40" s="9">
        <v>11.5</v>
      </c>
      <c r="D40" s="9">
        <f t="shared" si="4"/>
        <v>320160</v>
      </c>
      <c r="E40" s="9">
        <f t="shared" si="3"/>
        <v>320.16000000000003</v>
      </c>
      <c r="F40" s="9">
        <f t="shared" si="3"/>
        <v>0.32016</v>
      </c>
      <c r="G40" s="58">
        <f t="shared" si="2"/>
        <v>149</v>
      </c>
      <c r="H40" s="4"/>
    </row>
    <row r="41" spans="1:8" x14ac:dyDescent="0.45">
      <c r="A41" s="1" t="s">
        <v>27</v>
      </c>
      <c r="B41" s="8">
        <v>27635</v>
      </c>
      <c r="C41" s="9">
        <v>11.5</v>
      </c>
      <c r="D41" s="9">
        <f t="shared" si="4"/>
        <v>317802.5</v>
      </c>
      <c r="E41" s="9">
        <f t="shared" si="3"/>
        <v>317.80250000000001</v>
      </c>
      <c r="F41" s="9">
        <f t="shared" si="3"/>
        <v>0.31780249999999999</v>
      </c>
      <c r="G41" s="58">
        <f t="shared" si="2"/>
        <v>148</v>
      </c>
      <c r="H41" s="4"/>
    </row>
    <row r="42" spans="1:8" x14ac:dyDescent="0.45">
      <c r="A42" s="1" t="s">
        <v>164</v>
      </c>
      <c r="B42" s="8">
        <v>26786</v>
      </c>
      <c r="C42" s="9">
        <v>7</v>
      </c>
      <c r="D42" s="9">
        <f t="shared" si="4"/>
        <v>187502</v>
      </c>
      <c r="E42" s="9">
        <f t="shared" ref="E42:F61" si="5">+D42/1000</f>
        <v>187.50200000000001</v>
      </c>
      <c r="F42" s="9">
        <f t="shared" si="5"/>
        <v>0.187502</v>
      </c>
      <c r="G42" s="58">
        <f t="shared" si="2"/>
        <v>144</v>
      </c>
      <c r="H42" s="4"/>
    </row>
    <row r="43" spans="1:8" x14ac:dyDescent="0.45">
      <c r="A43" s="1" t="s">
        <v>28</v>
      </c>
      <c r="B43" s="8">
        <v>26102</v>
      </c>
      <c r="C43" s="9">
        <v>140</v>
      </c>
      <c r="D43" s="9">
        <f t="shared" si="4"/>
        <v>3654280</v>
      </c>
      <c r="E43" s="9">
        <f t="shared" si="5"/>
        <v>3654.28</v>
      </c>
      <c r="F43" s="9">
        <f t="shared" si="5"/>
        <v>3.6542800000000004</v>
      </c>
      <c r="G43" s="58">
        <f t="shared" si="2"/>
        <v>140</v>
      </c>
      <c r="H43" s="4"/>
    </row>
    <row r="44" spans="1:8" x14ac:dyDescent="0.45">
      <c r="A44" s="1" t="s">
        <v>29</v>
      </c>
      <c r="B44" s="8">
        <v>25683</v>
      </c>
      <c r="C44" s="9">
        <v>3.25</v>
      </c>
      <c r="D44" s="9">
        <f t="shared" si="4"/>
        <v>83469.75</v>
      </c>
      <c r="E44" s="9">
        <f t="shared" si="5"/>
        <v>83.469750000000005</v>
      </c>
      <c r="F44" s="9">
        <f t="shared" si="5"/>
        <v>8.3469750000000009E-2</v>
      </c>
      <c r="G44" s="58">
        <f t="shared" si="2"/>
        <v>138</v>
      </c>
      <c r="H44" s="4"/>
    </row>
    <row r="45" spans="1:8" x14ac:dyDescent="0.45">
      <c r="A45" s="1" t="s">
        <v>30</v>
      </c>
      <c r="B45" s="8">
        <v>25650</v>
      </c>
      <c r="C45" s="9">
        <v>21</v>
      </c>
      <c r="D45" s="9">
        <f t="shared" si="4"/>
        <v>538650</v>
      </c>
      <c r="E45" s="9">
        <f t="shared" si="5"/>
        <v>538.65</v>
      </c>
      <c r="F45" s="9">
        <f t="shared" si="5"/>
        <v>0.53864999999999996</v>
      </c>
      <c r="G45" s="58">
        <f t="shared" si="2"/>
        <v>137</v>
      </c>
      <c r="H45" s="4"/>
    </row>
    <row r="46" spans="1:8" x14ac:dyDescent="0.45">
      <c r="A46" s="1" t="s">
        <v>175</v>
      </c>
      <c r="B46" s="8">
        <v>25306</v>
      </c>
      <c r="C46" s="9">
        <v>107</v>
      </c>
      <c r="D46" s="9">
        <f t="shared" si="4"/>
        <v>2707742</v>
      </c>
      <c r="E46" s="9">
        <f t="shared" si="5"/>
        <v>2707.7420000000002</v>
      </c>
      <c r="F46" s="9">
        <f t="shared" si="5"/>
        <v>2.7077420000000001</v>
      </c>
      <c r="G46" s="58">
        <f t="shared" si="2"/>
        <v>136</v>
      </c>
      <c r="H46" s="4"/>
    </row>
    <row r="47" spans="1:8" x14ac:dyDescent="0.45">
      <c r="A47" s="1" t="s">
        <v>31</v>
      </c>
      <c r="B47" s="8">
        <v>24782</v>
      </c>
      <c r="C47" s="9">
        <v>15</v>
      </c>
      <c r="D47" s="9">
        <f t="shared" si="4"/>
        <v>371730</v>
      </c>
      <c r="E47" s="9">
        <f t="shared" si="5"/>
        <v>371.73</v>
      </c>
      <c r="F47" s="9">
        <f t="shared" si="5"/>
        <v>0.37173</v>
      </c>
      <c r="G47" s="58">
        <f t="shared" si="2"/>
        <v>133</v>
      </c>
      <c r="H47" s="4"/>
    </row>
    <row r="48" spans="1:8" x14ac:dyDescent="0.45">
      <c r="A48" s="1" t="s">
        <v>32</v>
      </c>
      <c r="B48" s="8">
        <v>24275</v>
      </c>
      <c r="C48" s="9">
        <v>11.5</v>
      </c>
      <c r="D48" s="9">
        <f t="shared" si="4"/>
        <v>279162.5</v>
      </c>
      <c r="E48" s="9">
        <f t="shared" si="5"/>
        <v>279.16250000000002</v>
      </c>
      <c r="F48" s="9">
        <f t="shared" si="5"/>
        <v>0.27916250000000004</v>
      </c>
      <c r="G48" s="58">
        <f t="shared" si="2"/>
        <v>130</v>
      </c>
      <c r="H48" s="4"/>
    </row>
    <row r="49" spans="1:8" x14ac:dyDescent="0.45">
      <c r="A49" s="1" t="s">
        <v>33</v>
      </c>
      <c r="B49" s="8">
        <v>23798</v>
      </c>
      <c r="C49" s="9">
        <v>150</v>
      </c>
      <c r="D49" s="9">
        <f t="shared" si="4"/>
        <v>3569700</v>
      </c>
      <c r="E49" s="9">
        <f t="shared" si="5"/>
        <v>3569.7</v>
      </c>
      <c r="F49" s="9">
        <f t="shared" si="5"/>
        <v>3.5696999999999997</v>
      </c>
      <c r="G49" s="58">
        <f t="shared" si="2"/>
        <v>127</v>
      </c>
      <c r="H49" s="4"/>
    </row>
    <row r="50" spans="1:8" x14ac:dyDescent="0.45">
      <c r="A50" s="1" t="s">
        <v>34</v>
      </c>
      <c r="B50" s="8">
        <v>23126</v>
      </c>
      <c r="C50" s="9">
        <v>42</v>
      </c>
      <c r="D50" s="9">
        <f t="shared" si="4"/>
        <v>971292</v>
      </c>
      <c r="E50" s="9">
        <f t="shared" si="5"/>
        <v>971.29200000000003</v>
      </c>
      <c r="F50" s="9">
        <f t="shared" si="5"/>
        <v>0.97129200000000004</v>
      </c>
      <c r="G50" s="58">
        <f t="shared" si="2"/>
        <v>124</v>
      </c>
      <c r="H50" s="4"/>
    </row>
    <row r="51" spans="1:8" x14ac:dyDescent="0.45">
      <c r="A51" s="1" t="s">
        <v>35</v>
      </c>
      <c r="B51" s="8">
        <v>22964</v>
      </c>
      <c r="C51" s="9">
        <v>17</v>
      </c>
      <c r="D51" s="9">
        <f t="shared" si="4"/>
        <v>390388</v>
      </c>
      <c r="E51" s="9">
        <f t="shared" si="5"/>
        <v>390.38799999999998</v>
      </c>
      <c r="F51" s="9">
        <f t="shared" si="5"/>
        <v>0.39038799999999996</v>
      </c>
      <c r="G51" s="58">
        <f t="shared" si="2"/>
        <v>123</v>
      </c>
      <c r="H51" s="4"/>
    </row>
    <row r="52" spans="1:8" x14ac:dyDescent="0.45">
      <c r="A52" s="1" t="s">
        <v>36</v>
      </c>
      <c r="B52" s="8">
        <v>22173</v>
      </c>
      <c r="C52" s="9">
        <v>12</v>
      </c>
      <c r="D52" s="9">
        <f t="shared" si="4"/>
        <v>266076</v>
      </c>
      <c r="E52" s="9">
        <f t="shared" si="5"/>
        <v>266.07600000000002</v>
      </c>
      <c r="F52" s="9">
        <f t="shared" si="5"/>
        <v>0.26607600000000003</v>
      </c>
      <c r="G52" s="58">
        <f t="shared" si="2"/>
        <v>119</v>
      </c>
      <c r="H52" s="4"/>
    </row>
    <row r="53" spans="1:8" x14ac:dyDescent="0.45">
      <c r="A53" s="1" t="s">
        <v>37</v>
      </c>
      <c r="B53" s="8">
        <v>21820</v>
      </c>
      <c r="C53" s="9">
        <v>6</v>
      </c>
      <c r="D53" s="9">
        <f t="shared" si="4"/>
        <v>130920</v>
      </c>
      <c r="E53" s="9">
        <f t="shared" si="5"/>
        <v>130.91999999999999</v>
      </c>
      <c r="F53" s="9">
        <f t="shared" si="5"/>
        <v>0.13091999999999998</v>
      </c>
      <c r="G53" s="58">
        <f t="shared" si="2"/>
        <v>117</v>
      </c>
      <c r="H53" s="4"/>
    </row>
    <row r="54" spans="1:8" x14ac:dyDescent="0.45">
      <c r="A54" s="1" t="s">
        <v>38</v>
      </c>
      <c r="B54" s="8">
        <v>21333</v>
      </c>
      <c r="C54" s="9">
        <v>3.23</v>
      </c>
      <c r="D54" s="9">
        <f t="shared" si="4"/>
        <v>68905.59</v>
      </c>
      <c r="E54" s="9">
        <f t="shared" si="5"/>
        <v>68.905589999999989</v>
      </c>
      <c r="F54" s="9">
        <f t="shared" si="5"/>
        <v>6.8905589999999989E-2</v>
      </c>
      <c r="G54" s="58">
        <f t="shared" si="2"/>
        <v>114</v>
      </c>
      <c r="H54" s="4"/>
    </row>
    <row r="55" spans="1:8" x14ac:dyDescent="0.45">
      <c r="A55" s="1" t="s">
        <v>39</v>
      </c>
      <c r="B55" s="8">
        <v>20076</v>
      </c>
      <c r="C55" s="9">
        <v>24</v>
      </c>
      <c r="D55" s="9">
        <f t="shared" si="4"/>
        <v>481824</v>
      </c>
      <c r="E55" s="9">
        <f t="shared" si="5"/>
        <v>481.82400000000001</v>
      </c>
      <c r="F55" s="9">
        <f t="shared" si="5"/>
        <v>0.48182400000000003</v>
      </c>
      <c r="G55" s="58">
        <f t="shared" si="2"/>
        <v>107</v>
      </c>
      <c r="H55" s="4"/>
    </row>
    <row r="56" spans="1:8" x14ac:dyDescent="0.45">
      <c r="A56" s="1" t="s">
        <v>176</v>
      </c>
      <c r="B56" s="8">
        <v>19643</v>
      </c>
      <c r="C56" s="9">
        <v>7</v>
      </c>
      <c r="D56" s="9">
        <f t="shared" si="4"/>
        <v>137501</v>
      </c>
      <c r="E56" s="9">
        <f t="shared" si="5"/>
        <v>137.501</v>
      </c>
      <c r="F56" s="9">
        <f t="shared" si="5"/>
        <v>0.13750100000000001</v>
      </c>
      <c r="G56" s="58">
        <f t="shared" si="2"/>
        <v>105</v>
      </c>
      <c r="H56" s="4"/>
    </row>
    <row r="57" spans="1:8" x14ac:dyDescent="0.45">
      <c r="A57" s="1" t="s">
        <v>40</v>
      </c>
      <c r="B57" s="8">
        <v>18257</v>
      </c>
      <c r="C57" s="9">
        <v>76</v>
      </c>
      <c r="D57" s="9">
        <f t="shared" si="4"/>
        <v>1387532</v>
      </c>
      <c r="E57" s="9">
        <f t="shared" si="5"/>
        <v>1387.5319999999999</v>
      </c>
      <c r="F57" s="9">
        <f t="shared" si="5"/>
        <v>1.387532</v>
      </c>
      <c r="G57" s="58">
        <f t="shared" si="2"/>
        <v>98</v>
      </c>
      <c r="H57" s="4"/>
    </row>
    <row r="58" spans="1:8" x14ac:dyDescent="0.45">
      <c r="A58" s="1" t="s">
        <v>41</v>
      </c>
      <c r="B58" s="8">
        <v>18006</v>
      </c>
      <c r="C58" s="9">
        <v>104</v>
      </c>
      <c r="D58" s="9">
        <f t="shared" si="4"/>
        <v>1872624</v>
      </c>
      <c r="E58" s="9">
        <f t="shared" si="5"/>
        <v>1872.624</v>
      </c>
      <c r="F58" s="9">
        <f t="shared" si="5"/>
        <v>1.8726240000000001</v>
      </c>
      <c r="G58" s="58">
        <f t="shared" si="2"/>
        <v>96</v>
      </c>
      <c r="H58" s="4"/>
    </row>
    <row r="59" spans="1:8" x14ac:dyDescent="0.45">
      <c r="A59" s="1" t="s">
        <v>42</v>
      </c>
      <c r="B59" s="8">
        <v>17630</v>
      </c>
      <c r="C59" s="9">
        <v>11</v>
      </c>
      <c r="D59" s="9">
        <f t="shared" si="4"/>
        <v>193930</v>
      </c>
      <c r="E59" s="9">
        <f t="shared" si="5"/>
        <v>193.93</v>
      </c>
      <c r="F59" s="9">
        <f t="shared" si="5"/>
        <v>0.19393000000000002</v>
      </c>
      <c r="G59" s="58">
        <f t="shared" si="2"/>
        <v>94</v>
      </c>
      <c r="H59" s="4"/>
    </row>
    <row r="60" spans="1:8" x14ac:dyDescent="0.45">
      <c r="A60" s="1" t="s">
        <v>43</v>
      </c>
      <c r="B60" s="8">
        <v>17097</v>
      </c>
      <c r="C60" s="9">
        <v>10</v>
      </c>
      <c r="D60" s="9">
        <f t="shared" si="4"/>
        <v>170970</v>
      </c>
      <c r="E60" s="9">
        <f t="shared" si="5"/>
        <v>170.97</v>
      </c>
      <c r="F60" s="9">
        <f t="shared" si="5"/>
        <v>0.17097000000000001</v>
      </c>
      <c r="G60" s="58">
        <f t="shared" si="2"/>
        <v>91</v>
      </c>
      <c r="H60" s="4"/>
    </row>
    <row r="61" spans="1:8" x14ac:dyDescent="0.45">
      <c r="A61" s="1" t="s">
        <v>44</v>
      </c>
      <c r="B61" s="8">
        <v>16903</v>
      </c>
      <c r="C61" s="9">
        <v>8</v>
      </c>
      <c r="D61" s="9">
        <f t="shared" si="4"/>
        <v>135224</v>
      </c>
      <c r="E61" s="9">
        <f t="shared" si="5"/>
        <v>135.22399999999999</v>
      </c>
      <c r="F61" s="9">
        <f t="shared" si="5"/>
        <v>0.13522399999999998</v>
      </c>
      <c r="G61" s="58">
        <f t="shared" si="2"/>
        <v>90</v>
      </c>
      <c r="H61" s="4"/>
    </row>
    <row r="62" spans="1:8" x14ac:dyDescent="0.45">
      <c r="A62" s="1" t="s">
        <v>177</v>
      </c>
      <c r="B62" s="8">
        <v>16434</v>
      </c>
      <c r="C62" s="9">
        <v>16</v>
      </c>
      <c r="D62" s="9">
        <f t="shared" si="4"/>
        <v>262944</v>
      </c>
      <c r="E62" s="9">
        <f t="shared" ref="E62:F81" si="6">+D62/1000</f>
        <v>262.94400000000002</v>
      </c>
      <c r="F62" s="9">
        <f t="shared" si="6"/>
        <v>0.26294400000000001</v>
      </c>
      <c r="G62" s="58">
        <f t="shared" si="2"/>
        <v>88</v>
      </c>
      <c r="H62" s="4"/>
    </row>
    <row r="63" spans="1:8" x14ac:dyDescent="0.45">
      <c r="A63" s="1" t="s">
        <v>178</v>
      </c>
      <c r="B63" s="8">
        <v>15946</v>
      </c>
      <c r="C63" s="9">
        <v>22</v>
      </c>
      <c r="D63" s="9">
        <f t="shared" si="4"/>
        <v>350812</v>
      </c>
      <c r="E63" s="9">
        <f t="shared" si="6"/>
        <v>350.81200000000001</v>
      </c>
      <c r="F63" s="9">
        <f t="shared" si="6"/>
        <v>0.35081200000000001</v>
      </c>
      <c r="G63" s="58">
        <f t="shared" si="2"/>
        <v>85</v>
      </c>
      <c r="H63" s="4"/>
    </row>
    <row r="64" spans="1:8" x14ac:dyDescent="0.45">
      <c r="A64" s="1" t="s">
        <v>45</v>
      </c>
      <c r="B64" s="8">
        <v>15638</v>
      </c>
      <c r="C64" s="9">
        <v>22</v>
      </c>
      <c r="D64" s="9">
        <f t="shared" si="4"/>
        <v>344036</v>
      </c>
      <c r="E64" s="9">
        <f t="shared" si="6"/>
        <v>344.036</v>
      </c>
      <c r="F64" s="9">
        <f t="shared" si="6"/>
        <v>0.34403600000000001</v>
      </c>
      <c r="G64" s="58">
        <f t="shared" si="2"/>
        <v>84</v>
      </c>
      <c r="H64" s="4"/>
    </row>
    <row r="65" spans="1:8" x14ac:dyDescent="0.45">
      <c r="A65" s="1" t="s">
        <v>46</v>
      </c>
      <c r="B65" s="8">
        <v>15606</v>
      </c>
      <c r="C65" s="9">
        <v>22</v>
      </c>
      <c r="D65" s="9">
        <f t="shared" si="4"/>
        <v>343332</v>
      </c>
      <c r="E65" s="9">
        <f t="shared" si="6"/>
        <v>343.33199999999999</v>
      </c>
      <c r="F65" s="9">
        <f t="shared" si="6"/>
        <v>0.34333199999999997</v>
      </c>
      <c r="G65" s="58">
        <f t="shared" si="2"/>
        <v>83</v>
      </c>
      <c r="H65" s="4"/>
    </row>
    <row r="66" spans="1:8" x14ac:dyDescent="0.45">
      <c r="A66" s="1" t="s">
        <v>47</v>
      </c>
      <c r="B66" s="8">
        <v>15333</v>
      </c>
      <c r="C66" s="9">
        <v>23</v>
      </c>
      <c r="D66" s="9">
        <f t="shared" ref="D66:D97" si="7">+B66*C66</f>
        <v>352659</v>
      </c>
      <c r="E66" s="9">
        <f t="shared" si="6"/>
        <v>352.65899999999999</v>
      </c>
      <c r="F66" s="9">
        <f t="shared" si="6"/>
        <v>0.352659</v>
      </c>
      <c r="G66" s="58">
        <f t="shared" si="2"/>
        <v>82</v>
      </c>
      <c r="H66" s="4"/>
    </row>
    <row r="67" spans="1:8" x14ac:dyDescent="0.45">
      <c r="A67" s="1" t="s">
        <v>48</v>
      </c>
      <c r="B67" s="8">
        <v>15129</v>
      </c>
      <c r="C67" s="9">
        <v>15</v>
      </c>
      <c r="D67" s="9">
        <f t="shared" si="7"/>
        <v>226935</v>
      </c>
      <c r="E67" s="9">
        <f t="shared" si="6"/>
        <v>226.935</v>
      </c>
      <c r="F67" s="9">
        <f t="shared" si="6"/>
        <v>0.226935</v>
      </c>
      <c r="G67" s="58">
        <f t="shared" ref="G67:G102" si="8">+INT((B67/(6)/(31)))</f>
        <v>81</v>
      </c>
      <c r="H67" s="4"/>
    </row>
    <row r="68" spans="1:8" x14ac:dyDescent="0.45">
      <c r="A68" s="1" t="s">
        <v>179</v>
      </c>
      <c r="B68" s="8">
        <v>15059</v>
      </c>
      <c r="C68" s="9">
        <v>21</v>
      </c>
      <c r="D68" s="9">
        <f t="shared" si="7"/>
        <v>316239</v>
      </c>
      <c r="E68" s="9">
        <f t="shared" si="6"/>
        <v>316.23899999999998</v>
      </c>
      <c r="F68" s="9">
        <f t="shared" si="6"/>
        <v>0.31623899999999999</v>
      </c>
      <c r="G68" s="58">
        <f t="shared" si="8"/>
        <v>80</v>
      </c>
      <c r="H68" s="4"/>
    </row>
    <row r="69" spans="1:8" x14ac:dyDescent="0.45">
      <c r="A69" s="1" t="s">
        <v>49</v>
      </c>
      <c r="B69" s="8">
        <v>14858</v>
      </c>
      <c r="C69" s="9">
        <v>31</v>
      </c>
      <c r="D69" s="9">
        <f t="shared" si="7"/>
        <v>460598</v>
      </c>
      <c r="E69" s="9">
        <f t="shared" si="6"/>
        <v>460.59800000000001</v>
      </c>
      <c r="F69" s="9">
        <f t="shared" si="6"/>
        <v>0.46059800000000001</v>
      </c>
      <c r="G69" s="58">
        <f t="shared" si="8"/>
        <v>79</v>
      </c>
      <c r="H69" s="4"/>
    </row>
    <row r="70" spans="1:8" x14ac:dyDescent="0.45">
      <c r="A70" s="1" t="s">
        <v>50</v>
      </c>
      <c r="B70" s="8">
        <v>14760</v>
      </c>
      <c r="C70" s="9">
        <v>5</v>
      </c>
      <c r="D70" s="9">
        <f t="shared" si="7"/>
        <v>73800</v>
      </c>
      <c r="E70" s="9">
        <f t="shared" si="6"/>
        <v>73.8</v>
      </c>
      <c r="F70" s="9">
        <f t="shared" si="6"/>
        <v>7.3799999999999991E-2</v>
      </c>
      <c r="G70" s="58">
        <f t="shared" si="8"/>
        <v>79</v>
      </c>
      <c r="H70" s="4"/>
    </row>
    <row r="71" spans="1:8" x14ac:dyDescent="0.45">
      <c r="A71" s="1" t="s">
        <v>51</v>
      </c>
      <c r="B71" s="8">
        <v>14555</v>
      </c>
      <c r="C71" s="9">
        <v>24</v>
      </c>
      <c r="D71" s="9">
        <f t="shared" si="7"/>
        <v>349320</v>
      </c>
      <c r="E71" s="9">
        <f t="shared" si="6"/>
        <v>349.32</v>
      </c>
      <c r="F71" s="9">
        <f t="shared" si="6"/>
        <v>0.34932000000000002</v>
      </c>
      <c r="G71" s="58">
        <f t="shared" si="8"/>
        <v>78</v>
      </c>
      <c r="H71" s="4"/>
    </row>
    <row r="72" spans="1:8" x14ac:dyDescent="0.45">
      <c r="A72" s="1" t="s">
        <v>52</v>
      </c>
      <c r="B72" s="8">
        <v>14481</v>
      </c>
      <c r="C72" s="9">
        <v>25</v>
      </c>
      <c r="D72" s="9">
        <f t="shared" si="7"/>
        <v>362025</v>
      </c>
      <c r="E72" s="9">
        <f t="shared" si="6"/>
        <v>362.02499999999998</v>
      </c>
      <c r="F72" s="9">
        <f t="shared" si="6"/>
        <v>0.36202499999999999</v>
      </c>
      <c r="G72" s="58">
        <f t="shared" si="8"/>
        <v>77</v>
      </c>
      <c r="H72" s="4"/>
    </row>
    <row r="73" spans="1:8" x14ac:dyDescent="0.45">
      <c r="A73" s="1" t="s">
        <v>53</v>
      </c>
      <c r="B73" s="8">
        <v>13979</v>
      </c>
      <c r="C73" s="9">
        <v>15</v>
      </c>
      <c r="D73" s="9">
        <f t="shared" si="7"/>
        <v>209685</v>
      </c>
      <c r="E73" s="9">
        <f t="shared" si="6"/>
        <v>209.685</v>
      </c>
      <c r="F73" s="9">
        <f t="shared" si="6"/>
        <v>0.20968500000000001</v>
      </c>
      <c r="G73" s="58">
        <f t="shared" si="8"/>
        <v>75</v>
      </c>
      <c r="H73" s="4"/>
    </row>
    <row r="74" spans="1:8" x14ac:dyDescent="0.45">
      <c r="A74" s="1" t="s">
        <v>54</v>
      </c>
      <c r="B74" s="8">
        <v>13734</v>
      </c>
      <c r="C74" s="9">
        <v>18</v>
      </c>
      <c r="D74" s="9">
        <f t="shared" si="7"/>
        <v>247212</v>
      </c>
      <c r="E74" s="9">
        <f t="shared" si="6"/>
        <v>247.21199999999999</v>
      </c>
      <c r="F74" s="9">
        <f t="shared" si="6"/>
        <v>0.24721199999999999</v>
      </c>
      <c r="G74" s="58">
        <f t="shared" si="8"/>
        <v>73</v>
      </c>
      <c r="H74" s="4"/>
    </row>
    <row r="75" spans="1:8" x14ac:dyDescent="0.45">
      <c r="A75" s="1" t="s">
        <v>180</v>
      </c>
      <c r="B75" s="8">
        <v>13568</v>
      </c>
      <c r="C75" s="9">
        <v>21</v>
      </c>
      <c r="D75" s="9">
        <f t="shared" si="7"/>
        <v>284928</v>
      </c>
      <c r="E75" s="9">
        <f t="shared" si="6"/>
        <v>284.928</v>
      </c>
      <c r="F75" s="9">
        <f t="shared" si="6"/>
        <v>0.28492800000000001</v>
      </c>
      <c r="G75" s="58">
        <f t="shared" si="8"/>
        <v>72</v>
      </c>
      <c r="H75" s="4"/>
    </row>
    <row r="76" spans="1:8" x14ac:dyDescent="0.45">
      <c r="A76" s="1" t="s">
        <v>55</v>
      </c>
      <c r="B76" s="8">
        <v>13526</v>
      </c>
      <c r="C76" s="9">
        <v>31</v>
      </c>
      <c r="D76" s="9">
        <f t="shared" si="7"/>
        <v>419306</v>
      </c>
      <c r="E76" s="9">
        <f t="shared" si="6"/>
        <v>419.30599999999998</v>
      </c>
      <c r="F76" s="9">
        <f t="shared" si="6"/>
        <v>0.41930599999999996</v>
      </c>
      <c r="G76" s="58">
        <f t="shared" si="8"/>
        <v>72</v>
      </c>
      <c r="H76" s="4"/>
    </row>
    <row r="77" spans="1:8" x14ac:dyDescent="0.45">
      <c r="A77" s="1" t="s">
        <v>56</v>
      </c>
      <c r="B77" s="8">
        <v>13418</v>
      </c>
      <c r="C77" s="9">
        <v>24</v>
      </c>
      <c r="D77" s="9">
        <f t="shared" si="7"/>
        <v>322032</v>
      </c>
      <c r="E77" s="9">
        <f t="shared" si="6"/>
        <v>322.03199999999998</v>
      </c>
      <c r="F77" s="9">
        <f t="shared" si="6"/>
        <v>0.32203199999999998</v>
      </c>
      <c r="G77" s="58">
        <f t="shared" si="8"/>
        <v>72</v>
      </c>
      <c r="H77" s="4"/>
    </row>
    <row r="78" spans="1:8" x14ac:dyDescent="0.45">
      <c r="A78" s="1" t="s">
        <v>57</v>
      </c>
      <c r="B78" s="8">
        <v>13293</v>
      </c>
      <c r="C78" s="9">
        <v>19</v>
      </c>
      <c r="D78" s="9">
        <f t="shared" si="7"/>
        <v>252567</v>
      </c>
      <c r="E78" s="9">
        <f t="shared" si="6"/>
        <v>252.56700000000001</v>
      </c>
      <c r="F78" s="9">
        <f t="shared" si="6"/>
        <v>0.25256699999999999</v>
      </c>
      <c r="G78" s="58">
        <f t="shared" si="8"/>
        <v>71</v>
      </c>
      <c r="H78" s="4"/>
    </row>
    <row r="79" spans="1:8" x14ac:dyDescent="0.45">
      <c r="A79" s="1" t="s">
        <v>58</v>
      </c>
      <c r="B79" s="8">
        <v>13221</v>
      </c>
      <c r="C79" s="9">
        <v>21</v>
      </c>
      <c r="D79" s="9">
        <f t="shared" si="7"/>
        <v>277641</v>
      </c>
      <c r="E79" s="9">
        <f t="shared" si="6"/>
        <v>277.64100000000002</v>
      </c>
      <c r="F79" s="9">
        <f t="shared" si="6"/>
        <v>0.27764100000000003</v>
      </c>
      <c r="G79" s="58">
        <f t="shared" si="8"/>
        <v>71</v>
      </c>
      <c r="H79" s="4"/>
    </row>
    <row r="80" spans="1:8" x14ac:dyDescent="0.45">
      <c r="A80" s="1" t="s">
        <v>59</v>
      </c>
      <c r="B80" s="8">
        <v>12581</v>
      </c>
      <c r="C80" s="9">
        <v>8</v>
      </c>
      <c r="D80" s="9">
        <f t="shared" si="7"/>
        <v>100648</v>
      </c>
      <c r="E80" s="9">
        <f t="shared" si="6"/>
        <v>100.648</v>
      </c>
      <c r="F80" s="9">
        <f t="shared" si="6"/>
        <v>0.100648</v>
      </c>
      <c r="G80" s="58">
        <f t="shared" si="8"/>
        <v>67</v>
      </c>
      <c r="H80" s="4"/>
    </row>
    <row r="81" spans="1:8" x14ac:dyDescent="0.45">
      <c r="A81" s="1" t="s">
        <v>181</v>
      </c>
      <c r="B81" s="8">
        <v>12569</v>
      </c>
      <c r="C81" s="9">
        <v>30</v>
      </c>
      <c r="D81" s="9">
        <f t="shared" si="7"/>
        <v>377070</v>
      </c>
      <c r="E81" s="9">
        <f t="shared" si="6"/>
        <v>377.07</v>
      </c>
      <c r="F81" s="9">
        <f t="shared" si="6"/>
        <v>0.37707000000000002</v>
      </c>
      <c r="G81" s="58">
        <f t="shared" si="8"/>
        <v>67</v>
      </c>
      <c r="H81" s="4"/>
    </row>
    <row r="82" spans="1:8" x14ac:dyDescent="0.45">
      <c r="A82" s="1" t="s">
        <v>60</v>
      </c>
      <c r="B82" s="8">
        <v>12549</v>
      </c>
      <c r="C82" s="9">
        <v>19</v>
      </c>
      <c r="D82" s="9">
        <f t="shared" si="7"/>
        <v>238431</v>
      </c>
      <c r="E82" s="9">
        <f t="shared" ref="E82:F101" si="9">+D82/1000</f>
        <v>238.43100000000001</v>
      </c>
      <c r="F82" s="9">
        <f t="shared" si="9"/>
        <v>0.238431</v>
      </c>
      <c r="G82" s="58">
        <f t="shared" si="8"/>
        <v>67</v>
      </c>
      <c r="H82" s="4"/>
    </row>
    <row r="83" spans="1:8" x14ac:dyDescent="0.45">
      <c r="A83" s="1" t="s">
        <v>61</v>
      </c>
      <c r="B83" s="8">
        <v>12402</v>
      </c>
      <c r="C83" s="9">
        <v>7</v>
      </c>
      <c r="D83" s="9">
        <f t="shared" si="7"/>
        <v>86814</v>
      </c>
      <c r="E83" s="9">
        <f t="shared" si="9"/>
        <v>86.813999999999993</v>
      </c>
      <c r="F83" s="9">
        <f t="shared" si="9"/>
        <v>8.6813999999999988E-2</v>
      </c>
      <c r="G83" s="58">
        <f t="shared" si="8"/>
        <v>66</v>
      </c>
      <c r="H83" s="4"/>
    </row>
    <row r="84" spans="1:8" x14ac:dyDescent="0.45">
      <c r="A84" s="1" t="s">
        <v>62</v>
      </c>
      <c r="B84" s="8">
        <v>12157</v>
      </c>
      <c r="C84" s="9">
        <v>9</v>
      </c>
      <c r="D84" s="9">
        <f t="shared" si="7"/>
        <v>109413</v>
      </c>
      <c r="E84" s="9">
        <f t="shared" si="9"/>
        <v>109.413</v>
      </c>
      <c r="F84" s="9">
        <f t="shared" si="9"/>
        <v>0.109413</v>
      </c>
      <c r="G84" s="58">
        <f t="shared" si="8"/>
        <v>65</v>
      </c>
      <c r="H84" s="4"/>
    </row>
    <row r="85" spans="1:8" x14ac:dyDescent="0.45">
      <c r="A85" s="1" t="s">
        <v>63</v>
      </c>
      <c r="B85" s="8">
        <v>12014</v>
      </c>
      <c r="C85" s="9">
        <v>5</v>
      </c>
      <c r="D85" s="9">
        <f t="shared" si="7"/>
        <v>60070</v>
      </c>
      <c r="E85" s="9">
        <f t="shared" si="9"/>
        <v>60.07</v>
      </c>
      <c r="F85" s="9">
        <f t="shared" si="9"/>
        <v>6.0069999999999998E-2</v>
      </c>
      <c r="G85" s="58">
        <f t="shared" si="8"/>
        <v>64</v>
      </c>
      <c r="H85" s="4"/>
    </row>
    <row r="86" spans="1:8" x14ac:dyDescent="0.45">
      <c r="A86" s="1" t="s">
        <v>64</v>
      </c>
      <c r="B86" s="8">
        <v>11886</v>
      </c>
      <c r="C86" s="9">
        <v>6</v>
      </c>
      <c r="D86" s="9">
        <f t="shared" si="7"/>
        <v>71316</v>
      </c>
      <c r="E86" s="9">
        <f t="shared" si="9"/>
        <v>71.316000000000003</v>
      </c>
      <c r="F86" s="9">
        <f t="shared" si="9"/>
        <v>7.1316000000000004E-2</v>
      </c>
      <c r="G86" s="58">
        <f t="shared" si="8"/>
        <v>63</v>
      </c>
      <c r="H86" s="4"/>
    </row>
    <row r="87" spans="1:8" x14ac:dyDescent="0.45">
      <c r="A87" s="1" t="s">
        <v>182</v>
      </c>
      <c r="B87" s="8">
        <v>11607</v>
      </c>
      <c r="C87" s="9">
        <v>29</v>
      </c>
      <c r="D87" s="9">
        <f t="shared" si="7"/>
        <v>336603</v>
      </c>
      <c r="E87" s="9">
        <f t="shared" si="9"/>
        <v>336.60300000000001</v>
      </c>
      <c r="F87" s="9">
        <f t="shared" si="9"/>
        <v>0.33660299999999999</v>
      </c>
      <c r="G87" s="58">
        <f t="shared" si="8"/>
        <v>62</v>
      </c>
      <c r="H87" s="4"/>
    </row>
    <row r="88" spans="1:8" x14ac:dyDescent="0.45">
      <c r="A88" s="1" t="s">
        <v>65</v>
      </c>
      <c r="B88" s="8">
        <v>11599</v>
      </c>
      <c r="C88" s="9">
        <v>3</v>
      </c>
      <c r="D88" s="9">
        <f t="shared" si="7"/>
        <v>34797</v>
      </c>
      <c r="E88" s="9">
        <f t="shared" si="9"/>
        <v>34.796999999999997</v>
      </c>
      <c r="F88" s="9">
        <f t="shared" si="9"/>
        <v>3.4796999999999995E-2</v>
      </c>
      <c r="G88" s="58">
        <f t="shared" si="8"/>
        <v>62</v>
      </c>
      <c r="H88" s="4"/>
    </row>
    <row r="89" spans="1:8" x14ac:dyDescent="0.45">
      <c r="A89" s="1" t="s">
        <v>66</v>
      </c>
      <c r="B89" s="8">
        <v>11502</v>
      </c>
      <c r="C89" s="9">
        <v>11</v>
      </c>
      <c r="D89" s="9">
        <f t="shared" si="7"/>
        <v>126522</v>
      </c>
      <c r="E89" s="9">
        <f t="shared" si="9"/>
        <v>126.52200000000001</v>
      </c>
      <c r="F89" s="9">
        <f t="shared" si="9"/>
        <v>0.126522</v>
      </c>
      <c r="G89" s="58">
        <f t="shared" si="8"/>
        <v>61</v>
      </c>
      <c r="H89" s="4"/>
    </row>
    <row r="90" spans="1:8" x14ac:dyDescent="0.45">
      <c r="A90" s="1" t="s">
        <v>67</v>
      </c>
      <c r="B90" s="8">
        <v>10955</v>
      </c>
      <c r="C90" s="9">
        <v>18</v>
      </c>
      <c r="D90" s="9">
        <f t="shared" si="7"/>
        <v>197190</v>
      </c>
      <c r="E90" s="9">
        <f t="shared" si="9"/>
        <v>197.19</v>
      </c>
      <c r="F90" s="9">
        <f t="shared" si="9"/>
        <v>0.19719</v>
      </c>
      <c r="G90" s="58">
        <f t="shared" si="8"/>
        <v>58</v>
      </c>
      <c r="H90" s="4"/>
    </row>
    <row r="91" spans="1:8" x14ac:dyDescent="0.45">
      <c r="A91" s="1" t="s">
        <v>68</v>
      </c>
      <c r="B91" s="8">
        <v>10479</v>
      </c>
      <c r="C91" s="9">
        <v>31</v>
      </c>
      <c r="D91" s="9">
        <f t="shared" si="7"/>
        <v>324849</v>
      </c>
      <c r="E91" s="9">
        <f t="shared" si="9"/>
        <v>324.84899999999999</v>
      </c>
      <c r="F91" s="9">
        <f t="shared" si="9"/>
        <v>0.324849</v>
      </c>
      <c r="G91" s="58">
        <f t="shared" si="8"/>
        <v>56</v>
      </c>
      <c r="H91" s="4"/>
    </row>
    <row r="92" spans="1:8" x14ac:dyDescent="0.45">
      <c r="A92" s="1" t="s">
        <v>69</v>
      </c>
      <c r="B92" s="8">
        <v>10479</v>
      </c>
      <c r="C92" s="9">
        <v>27</v>
      </c>
      <c r="D92" s="9">
        <f t="shared" si="7"/>
        <v>282933</v>
      </c>
      <c r="E92" s="9">
        <f t="shared" si="9"/>
        <v>282.93299999999999</v>
      </c>
      <c r="F92" s="9">
        <f t="shared" si="9"/>
        <v>0.28293299999999999</v>
      </c>
      <c r="G92" s="58">
        <f t="shared" si="8"/>
        <v>56</v>
      </c>
      <c r="H92" s="4"/>
    </row>
    <row r="93" spans="1:8" x14ac:dyDescent="0.45">
      <c r="A93" s="1" t="s">
        <v>70</v>
      </c>
      <c r="B93" s="8">
        <v>10465</v>
      </c>
      <c r="C93" s="9">
        <v>16</v>
      </c>
      <c r="D93" s="9">
        <f t="shared" si="7"/>
        <v>167440</v>
      </c>
      <c r="E93" s="9">
        <f t="shared" si="9"/>
        <v>167.44</v>
      </c>
      <c r="F93" s="9">
        <f t="shared" si="9"/>
        <v>0.16744000000000001</v>
      </c>
      <c r="G93" s="58">
        <f t="shared" si="8"/>
        <v>56</v>
      </c>
      <c r="H93" s="4"/>
    </row>
    <row r="94" spans="1:8" x14ac:dyDescent="0.45">
      <c r="A94" s="1" t="s">
        <v>71</v>
      </c>
      <c r="B94" s="8">
        <v>10459</v>
      </c>
      <c r="C94" s="9">
        <v>25</v>
      </c>
      <c r="D94" s="9">
        <f t="shared" si="7"/>
        <v>261475</v>
      </c>
      <c r="E94" s="9">
        <f t="shared" si="9"/>
        <v>261.47500000000002</v>
      </c>
      <c r="F94" s="9">
        <f t="shared" si="9"/>
        <v>0.26147500000000001</v>
      </c>
      <c r="G94" s="58">
        <f t="shared" si="8"/>
        <v>56</v>
      </c>
      <c r="H94" s="4"/>
    </row>
    <row r="95" spans="1:8" x14ac:dyDescent="0.45">
      <c r="A95" s="1" t="s">
        <v>72</v>
      </c>
      <c r="B95" s="8">
        <v>10444</v>
      </c>
      <c r="C95" s="9">
        <v>3</v>
      </c>
      <c r="D95" s="9">
        <f t="shared" si="7"/>
        <v>31332</v>
      </c>
      <c r="E95" s="9">
        <f t="shared" si="9"/>
        <v>31.332000000000001</v>
      </c>
      <c r="F95" s="9">
        <f t="shared" si="9"/>
        <v>3.1331999999999999E-2</v>
      </c>
      <c r="G95" s="58">
        <f t="shared" si="8"/>
        <v>56</v>
      </c>
      <c r="H95" s="4"/>
    </row>
    <row r="96" spans="1:8" x14ac:dyDescent="0.45">
      <c r="A96" s="1" t="s">
        <v>73</v>
      </c>
      <c r="B96" s="8">
        <v>10381</v>
      </c>
      <c r="C96" s="9">
        <v>23</v>
      </c>
      <c r="D96" s="9">
        <f t="shared" si="7"/>
        <v>238763</v>
      </c>
      <c r="E96" s="9">
        <f t="shared" si="9"/>
        <v>238.76300000000001</v>
      </c>
      <c r="F96" s="9">
        <f t="shared" si="9"/>
        <v>0.238763</v>
      </c>
      <c r="G96" s="58">
        <f t="shared" si="8"/>
        <v>55</v>
      </c>
      <c r="H96" s="4"/>
    </row>
    <row r="97" spans="1:8" x14ac:dyDescent="0.45">
      <c r="A97" s="1" t="s">
        <v>74</v>
      </c>
      <c r="B97" s="8">
        <v>10237</v>
      </c>
      <c r="C97" s="9">
        <v>23</v>
      </c>
      <c r="D97" s="9">
        <f t="shared" si="7"/>
        <v>235451</v>
      </c>
      <c r="E97" s="9">
        <f t="shared" si="9"/>
        <v>235.45099999999999</v>
      </c>
      <c r="F97" s="9">
        <f t="shared" si="9"/>
        <v>0.23545099999999999</v>
      </c>
      <c r="G97" s="58">
        <f t="shared" si="8"/>
        <v>55</v>
      </c>
      <c r="H97" s="4"/>
    </row>
    <row r="98" spans="1:8" x14ac:dyDescent="0.45">
      <c r="A98" s="1" t="s">
        <v>75</v>
      </c>
      <c r="B98" s="8">
        <v>10203</v>
      </c>
      <c r="C98" s="9">
        <v>14</v>
      </c>
      <c r="D98" s="9">
        <f t="shared" ref="D98:D129" si="10">+B98*C98</f>
        <v>142842</v>
      </c>
      <c r="E98" s="9">
        <f t="shared" si="9"/>
        <v>142.84200000000001</v>
      </c>
      <c r="F98" s="9">
        <f t="shared" si="9"/>
        <v>0.14284200000000002</v>
      </c>
      <c r="G98" s="58">
        <f t="shared" si="8"/>
        <v>54</v>
      </c>
      <c r="H98" s="4"/>
    </row>
    <row r="99" spans="1:8" x14ac:dyDescent="0.45">
      <c r="A99" s="1" t="s">
        <v>76</v>
      </c>
      <c r="B99" s="8">
        <v>10115</v>
      </c>
      <c r="C99" s="9">
        <v>25</v>
      </c>
      <c r="D99" s="9">
        <f t="shared" si="10"/>
        <v>252875</v>
      </c>
      <c r="E99" s="9">
        <f t="shared" si="9"/>
        <v>252.875</v>
      </c>
      <c r="F99" s="9">
        <f t="shared" si="9"/>
        <v>0.25287500000000002</v>
      </c>
      <c r="G99" s="58">
        <f t="shared" si="8"/>
        <v>54</v>
      </c>
      <c r="H99" s="4"/>
    </row>
    <row r="100" spans="1:8" x14ac:dyDescent="0.45">
      <c r="A100" s="1" t="s">
        <v>77</v>
      </c>
      <c r="B100" s="8">
        <v>10042</v>
      </c>
      <c r="C100" s="9">
        <v>29</v>
      </c>
      <c r="D100" s="9">
        <f t="shared" si="10"/>
        <v>291218</v>
      </c>
      <c r="E100" s="9">
        <f t="shared" si="9"/>
        <v>291.21800000000002</v>
      </c>
      <c r="F100" s="9">
        <f t="shared" si="9"/>
        <v>0.29121800000000003</v>
      </c>
      <c r="G100" s="58">
        <f t="shared" si="8"/>
        <v>53</v>
      </c>
      <c r="H100" s="4"/>
    </row>
    <row r="101" spans="1:8" x14ac:dyDescent="0.45">
      <c r="A101" s="1" t="s">
        <v>78</v>
      </c>
      <c r="B101" s="8">
        <v>10012</v>
      </c>
      <c r="C101" s="9">
        <v>6</v>
      </c>
      <c r="D101" s="9">
        <f t="shared" si="10"/>
        <v>60072</v>
      </c>
      <c r="E101" s="9">
        <f t="shared" si="9"/>
        <v>60.072000000000003</v>
      </c>
      <c r="F101" s="9">
        <f t="shared" si="9"/>
        <v>6.0072E-2</v>
      </c>
      <c r="G101" s="58">
        <f t="shared" si="8"/>
        <v>53</v>
      </c>
      <c r="H101" s="4"/>
    </row>
    <row r="102" spans="1:8" x14ac:dyDescent="0.45">
      <c r="A102" s="1" t="s">
        <v>79</v>
      </c>
      <c r="B102" s="8">
        <v>9215</v>
      </c>
      <c r="C102" s="9">
        <v>28</v>
      </c>
      <c r="D102" s="9">
        <f t="shared" si="10"/>
        <v>258020</v>
      </c>
      <c r="E102" s="9">
        <f t="shared" ref="E102:F121" si="11">+D102/1000</f>
        <v>258.02</v>
      </c>
      <c r="F102" s="9">
        <f t="shared" si="11"/>
        <v>0.25801999999999997</v>
      </c>
      <c r="G102" s="58">
        <f t="shared" si="8"/>
        <v>49</v>
      </c>
      <c r="H102" s="4"/>
    </row>
    <row r="103" spans="1:8" x14ac:dyDescent="0.45">
      <c r="A103" s="1" t="s">
        <v>183</v>
      </c>
      <c r="B103" s="8">
        <v>9165</v>
      </c>
      <c r="C103" s="9">
        <v>29</v>
      </c>
      <c r="D103" s="9">
        <f t="shared" si="10"/>
        <v>265785</v>
      </c>
      <c r="E103" s="9">
        <f t="shared" si="11"/>
        <v>265.78500000000003</v>
      </c>
      <c r="F103" s="9">
        <f t="shared" si="11"/>
        <v>0.26578500000000005</v>
      </c>
      <c r="G103" s="58"/>
      <c r="H103" s="4"/>
    </row>
    <row r="104" spans="1:8" x14ac:dyDescent="0.45">
      <c r="A104" s="1" t="s">
        <v>80</v>
      </c>
      <c r="B104" s="8">
        <v>8937</v>
      </c>
      <c r="C104" s="9">
        <v>23</v>
      </c>
      <c r="D104" s="9">
        <f t="shared" si="10"/>
        <v>205551</v>
      </c>
      <c r="E104" s="9">
        <f t="shared" si="11"/>
        <v>205.55099999999999</v>
      </c>
      <c r="F104" s="9">
        <f t="shared" si="11"/>
        <v>0.20555099999999998</v>
      </c>
      <c r="G104" s="58"/>
      <c r="H104" s="4"/>
    </row>
    <row r="105" spans="1:8" x14ac:dyDescent="0.45">
      <c r="A105" s="1" t="s">
        <v>81</v>
      </c>
      <c r="B105" s="8">
        <v>8649</v>
      </c>
      <c r="C105" s="9">
        <v>6</v>
      </c>
      <c r="D105" s="9">
        <f t="shared" si="10"/>
        <v>51894</v>
      </c>
      <c r="E105" s="9">
        <f t="shared" si="11"/>
        <v>51.893999999999998</v>
      </c>
      <c r="F105" s="9">
        <f t="shared" si="11"/>
        <v>5.1893999999999996E-2</v>
      </c>
      <c r="G105" s="58"/>
      <c r="H105" s="4"/>
    </row>
    <row r="106" spans="1:8" x14ac:dyDescent="0.45">
      <c r="A106" s="1" t="s">
        <v>82</v>
      </c>
      <c r="B106" s="8">
        <v>8608</v>
      </c>
      <c r="C106" s="9">
        <v>28</v>
      </c>
      <c r="D106" s="9">
        <f t="shared" si="10"/>
        <v>241024</v>
      </c>
      <c r="E106" s="9">
        <f t="shared" si="11"/>
        <v>241.024</v>
      </c>
      <c r="F106" s="9">
        <f t="shared" si="11"/>
        <v>0.24102399999999999</v>
      </c>
      <c r="G106" s="4"/>
      <c r="H106" s="4"/>
    </row>
    <row r="107" spans="1:8" x14ac:dyDescent="0.45">
      <c r="A107" s="1" t="s">
        <v>83</v>
      </c>
      <c r="B107" s="8">
        <v>8572</v>
      </c>
      <c r="C107" s="9">
        <v>22</v>
      </c>
      <c r="D107" s="9">
        <f t="shared" si="10"/>
        <v>188584</v>
      </c>
      <c r="E107" s="9">
        <f t="shared" si="11"/>
        <v>188.584</v>
      </c>
      <c r="F107" s="9">
        <f t="shared" si="11"/>
        <v>0.188584</v>
      </c>
      <c r="G107" s="4"/>
      <c r="H107" s="4"/>
    </row>
    <row r="108" spans="1:8" x14ac:dyDescent="0.45">
      <c r="A108" s="1" t="s">
        <v>84</v>
      </c>
      <c r="B108" s="8">
        <v>8536</v>
      </c>
      <c r="C108" s="9">
        <v>17</v>
      </c>
      <c r="D108" s="9">
        <f t="shared" si="10"/>
        <v>145112</v>
      </c>
      <c r="E108" s="9">
        <f t="shared" si="11"/>
        <v>145.11199999999999</v>
      </c>
      <c r="F108" s="9">
        <f t="shared" si="11"/>
        <v>0.14511199999999999</v>
      </c>
      <c r="G108" s="4"/>
      <c r="H108" s="4"/>
    </row>
    <row r="109" spans="1:8" x14ac:dyDescent="0.45">
      <c r="A109" s="1" t="s">
        <v>85</v>
      </c>
      <c r="B109" s="8">
        <v>8383</v>
      </c>
      <c r="C109" s="9">
        <v>8</v>
      </c>
      <c r="D109" s="9">
        <f t="shared" si="10"/>
        <v>67064</v>
      </c>
      <c r="E109" s="9">
        <f t="shared" si="11"/>
        <v>67.063999999999993</v>
      </c>
      <c r="F109" s="9">
        <f t="shared" si="11"/>
        <v>6.7063999999999999E-2</v>
      </c>
      <c r="G109" s="4"/>
      <c r="H109" s="4"/>
    </row>
    <row r="110" spans="1:8" x14ac:dyDescent="0.45">
      <c r="A110" s="1" t="s">
        <v>86</v>
      </c>
      <c r="B110" s="8">
        <v>8336</v>
      </c>
      <c r="C110" s="9">
        <v>20</v>
      </c>
      <c r="D110" s="9">
        <f t="shared" si="10"/>
        <v>166720</v>
      </c>
      <c r="E110" s="9">
        <f t="shared" si="11"/>
        <v>166.72</v>
      </c>
      <c r="F110" s="9">
        <f t="shared" si="11"/>
        <v>0.16672000000000001</v>
      </c>
      <c r="G110" s="4"/>
      <c r="H110" s="4"/>
    </row>
    <row r="111" spans="1:8" x14ac:dyDescent="0.45">
      <c r="A111" s="1" t="s">
        <v>87</v>
      </c>
      <c r="B111" s="8">
        <v>8100</v>
      </c>
      <c r="C111" s="9">
        <v>9</v>
      </c>
      <c r="D111" s="9">
        <f t="shared" si="10"/>
        <v>72900</v>
      </c>
      <c r="E111" s="9">
        <f t="shared" si="11"/>
        <v>72.900000000000006</v>
      </c>
      <c r="F111" s="9">
        <f t="shared" si="11"/>
        <v>7.2900000000000006E-2</v>
      </c>
      <c r="G111" s="4"/>
      <c r="H111" s="4"/>
    </row>
    <row r="112" spans="1:8" x14ac:dyDescent="0.45">
      <c r="A112" s="1" t="s">
        <v>88</v>
      </c>
      <c r="B112" s="8">
        <v>7840</v>
      </c>
      <c r="C112" s="9">
        <v>27</v>
      </c>
      <c r="D112" s="9">
        <f t="shared" si="10"/>
        <v>211680</v>
      </c>
      <c r="E112" s="9">
        <f t="shared" si="11"/>
        <v>211.68</v>
      </c>
      <c r="F112" s="9">
        <f t="shared" si="11"/>
        <v>0.21168000000000001</v>
      </c>
      <c r="G112" s="4"/>
      <c r="H112" s="4"/>
    </row>
    <row r="113" spans="1:8" x14ac:dyDescent="0.45">
      <c r="A113" s="1" t="s">
        <v>89</v>
      </c>
      <c r="B113" s="8">
        <v>7783</v>
      </c>
      <c r="C113" s="9">
        <v>5</v>
      </c>
      <c r="D113" s="9">
        <f t="shared" si="10"/>
        <v>38915</v>
      </c>
      <c r="E113" s="9">
        <f t="shared" si="11"/>
        <v>38.914999999999999</v>
      </c>
      <c r="F113" s="9">
        <f t="shared" si="11"/>
        <v>3.8914999999999998E-2</v>
      </c>
      <c r="G113" s="4"/>
      <c r="H113" s="4"/>
    </row>
    <row r="114" spans="1:8" x14ac:dyDescent="0.45">
      <c r="A114" s="1" t="s">
        <v>196</v>
      </c>
      <c r="B114" s="8">
        <v>7458</v>
      </c>
      <c r="C114" s="9">
        <v>28</v>
      </c>
      <c r="D114" s="9">
        <f t="shared" si="10"/>
        <v>208824</v>
      </c>
      <c r="E114" s="9">
        <f t="shared" si="11"/>
        <v>208.82400000000001</v>
      </c>
      <c r="F114" s="9">
        <f t="shared" si="11"/>
        <v>0.20882400000000001</v>
      </c>
      <c r="G114" s="4"/>
      <c r="H114" s="4"/>
    </row>
    <row r="115" spans="1:8" x14ac:dyDescent="0.45">
      <c r="A115" s="1" t="s">
        <v>90</v>
      </c>
      <c r="B115" s="8">
        <v>7406</v>
      </c>
      <c r="C115" s="9">
        <v>25</v>
      </c>
      <c r="D115" s="9">
        <f t="shared" si="10"/>
        <v>185150</v>
      </c>
      <c r="E115" s="9">
        <f t="shared" si="11"/>
        <v>185.15</v>
      </c>
      <c r="F115" s="9">
        <f t="shared" si="11"/>
        <v>0.18515000000000001</v>
      </c>
      <c r="G115" s="4"/>
      <c r="H115" s="4"/>
    </row>
    <row r="116" spans="1:8" x14ac:dyDescent="0.45">
      <c r="A116" s="1" t="s">
        <v>91</v>
      </c>
      <c r="B116" s="8">
        <v>7375</v>
      </c>
      <c r="C116" s="9">
        <v>30</v>
      </c>
      <c r="D116" s="9">
        <f t="shared" si="10"/>
        <v>221250</v>
      </c>
      <c r="E116" s="9">
        <f t="shared" si="11"/>
        <v>221.25</v>
      </c>
      <c r="F116" s="9">
        <f t="shared" si="11"/>
        <v>0.22125</v>
      </c>
      <c r="G116" s="4"/>
      <c r="H116" s="4"/>
    </row>
    <row r="117" spans="1:8" x14ac:dyDescent="0.45">
      <c r="A117" s="1" t="s">
        <v>92</v>
      </c>
      <c r="B117" s="8">
        <v>7339</v>
      </c>
      <c r="C117" s="9">
        <v>16</v>
      </c>
      <c r="D117" s="9">
        <f t="shared" si="10"/>
        <v>117424</v>
      </c>
      <c r="E117" s="9">
        <f t="shared" si="11"/>
        <v>117.42400000000001</v>
      </c>
      <c r="F117" s="9">
        <f t="shared" si="11"/>
        <v>0.117424</v>
      </c>
      <c r="G117" s="4"/>
      <c r="H117" s="4"/>
    </row>
    <row r="118" spans="1:8" x14ac:dyDescent="0.45">
      <c r="A118" s="1" t="s">
        <v>93</v>
      </c>
      <c r="B118" s="8">
        <v>7157</v>
      </c>
      <c r="C118" s="9">
        <v>12</v>
      </c>
      <c r="D118" s="9">
        <f t="shared" si="10"/>
        <v>85884</v>
      </c>
      <c r="E118" s="9">
        <f t="shared" si="11"/>
        <v>85.884</v>
      </c>
      <c r="F118" s="9">
        <f t="shared" si="11"/>
        <v>8.5884000000000002E-2</v>
      </c>
      <c r="G118" s="4"/>
      <c r="H118" s="4"/>
    </row>
    <row r="119" spans="1:8" x14ac:dyDescent="0.45">
      <c r="A119" s="1" t="s">
        <v>94</v>
      </c>
      <c r="B119" s="8">
        <v>7048</v>
      </c>
      <c r="C119" s="9">
        <v>12</v>
      </c>
      <c r="D119" s="9">
        <f t="shared" si="10"/>
        <v>84576</v>
      </c>
      <c r="E119" s="9">
        <f t="shared" si="11"/>
        <v>84.575999999999993</v>
      </c>
      <c r="F119" s="9">
        <f t="shared" si="11"/>
        <v>8.4575999999999998E-2</v>
      </c>
      <c r="G119" s="4"/>
      <c r="H119" s="4"/>
    </row>
    <row r="120" spans="1:8" x14ac:dyDescent="0.45">
      <c r="A120" s="1" t="s">
        <v>95</v>
      </c>
      <c r="B120" s="8">
        <v>7043</v>
      </c>
      <c r="C120" s="9">
        <v>13</v>
      </c>
      <c r="D120" s="9">
        <f t="shared" si="10"/>
        <v>91559</v>
      </c>
      <c r="E120" s="9">
        <f t="shared" si="11"/>
        <v>91.558999999999997</v>
      </c>
      <c r="F120" s="9">
        <f t="shared" si="11"/>
        <v>9.1559000000000001E-2</v>
      </c>
      <c r="G120" s="4"/>
      <c r="H120" s="4"/>
    </row>
    <row r="121" spans="1:8" x14ac:dyDescent="0.45">
      <c r="A121" s="1" t="s">
        <v>96</v>
      </c>
      <c r="B121" s="8">
        <v>7000</v>
      </c>
      <c r="C121" s="9">
        <v>28</v>
      </c>
      <c r="D121" s="9">
        <f t="shared" si="10"/>
        <v>196000</v>
      </c>
      <c r="E121" s="9">
        <f t="shared" si="11"/>
        <v>196</v>
      </c>
      <c r="F121" s="9">
        <f t="shared" si="11"/>
        <v>0.19600000000000001</v>
      </c>
      <c r="G121" s="4"/>
      <c r="H121" s="4"/>
    </row>
    <row r="122" spans="1:8" x14ac:dyDescent="0.45">
      <c r="A122" s="1" t="s">
        <v>97</v>
      </c>
      <c r="B122" s="8">
        <v>6909</v>
      </c>
      <c r="C122" s="9">
        <v>18</v>
      </c>
      <c r="D122" s="9">
        <f t="shared" si="10"/>
        <v>124362</v>
      </c>
      <c r="E122" s="9">
        <f t="shared" ref="E122:F141" si="12">+D122/1000</f>
        <v>124.36199999999999</v>
      </c>
      <c r="F122" s="9">
        <f t="shared" si="12"/>
        <v>0.124362</v>
      </c>
      <c r="G122" s="4"/>
      <c r="H122" s="4"/>
    </row>
    <row r="123" spans="1:8" x14ac:dyDescent="0.45">
      <c r="A123" s="1" t="s">
        <v>98</v>
      </c>
      <c r="B123" s="8">
        <v>6710</v>
      </c>
      <c r="C123" s="9">
        <v>20</v>
      </c>
      <c r="D123" s="9">
        <f t="shared" si="10"/>
        <v>134200</v>
      </c>
      <c r="E123" s="9">
        <f t="shared" si="12"/>
        <v>134.19999999999999</v>
      </c>
      <c r="F123" s="9">
        <f t="shared" si="12"/>
        <v>0.13419999999999999</v>
      </c>
      <c r="G123" s="4"/>
      <c r="H123" s="4"/>
    </row>
    <row r="124" spans="1:8" x14ac:dyDescent="0.45">
      <c r="A124" s="1" t="s">
        <v>184</v>
      </c>
      <c r="B124" s="8">
        <v>6506</v>
      </c>
      <c r="C124" s="9">
        <v>27</v>
      </c>
      <c r="D124" s="9">
        <f t="shared" si="10"/>
        <v>175662</v>
      </c>
      <c r="E124" s="9">
        <f t="shared" si="12"/>
        <v>175.66200000000001</v>
      </c>
      <c r="F124" s="9">
        <f t="shared" si="12"/>
        <v>0.17566200000000001</v>
      </c>
      <c r="G124" s="4"/>
      <c r="H124" s="4"/>
    </row>
    <row r="125" spans="1:8" x14ac:dyDescent="0.45">
      <c r="A125" s="1" t="s">
        <v>99</v>
      </c>
      <c r="B125" s="8">
        <v>6440</v>
      </c>
      <c r="C125" s="9">
        <v>30</v>
      </c>
      <c r="D125" s="9">
        <f t="shared" si="10"/>
        <v>193200</v>
      </c>
      <c r="E125" s="9">
        <f t="shared" si="12"/>
        <v>193.2</v>
      </c>
      <c r="F125" s="9">
        <f t="shared" si="12"/>
        <v>0.19319999999999998</v>
      </c>
      <c r="G125" s="4"/>
      <c r="H125" s="4"/>
    </row>
    <row r="126" spans="1:8" x14ac:dyDescent="0.45">
      <c r="A126" s="1" t="s">
        <v>100</v>
      </c>
      <c r="B126" s="8">
        <v>6429</v>
      </c>
      <c r="C126" s="9">
        <v>3</v>
      </c>
      <c r="D126" s="9">
        <f t="shared" si="10"/>
        <v>19287</v>
      </c>
      <c r="E126" s="9">
        <f t="shared" si="12"/>
        <v>19.286999999999999</v>
      </c>
      <c r="F126" s="9">
        <f t="shared" si="12"/>
        <v>1.9286999999999999E-2</v>
      </c>
      <c r="G126" s="4"/>
      <c r="H126" s="4"/>
    </row>
    <row r="127" spans="1:8" x14ac:dyDescent="0.45">
      <c r="A127" s="1" t="s">
        <v>101</v>
      </c>
      <c r="B127" s="8">
        <v>6172</v>
      </c>
      <c r="C127" s="9">
        <v>12</v>
      </c>
      <c r="D127" s="9">
        <f t="shared" si="10"/>
        <v>74064</v>
      </c>
      <c r="E127" s="9">
        <f t="shared" si="12"/>
        <v>74.063999999999993</v>
      </c>
      <c r="F127" s="9">
        <f t="shared" si="12"/>
        <v>7.4063999999999991E-2</v>
      </c>
      <c r="G127" s="4"/>
      <c r="H127" s="4"/>
    </row>
    <row r="128" spans="1:8" x14ac:dyDescent="0.45">
      <c r="A128" s="1" t="s">
        <v>185</v>
      </c>
      <c r="B128" s="8">
        <v>5890</v>
      </c>
      <c r="C128" s="9">
        <v>8</v>
      </c>
      <c r="D128" s="9">
        <f t="shared" si="10"/>
        <v>47120</v>
      </c>
      <c r="E128" s="9">
        <f t="shared" si="12"/>
        <v>47.12</v>
      </c>
      <c r="F128" s="9">
        <f t="shared" si="12"/>
        <v>4.7119999999999995E-2</v>
      </c>
      <c r="G128" s="4"/>
      <c r="H128" s="4"/>
    </row>
    <row r="129" spans="1:8" x14ac:dyDescent="0.45">
      <c r="A129" s="1" t="s">
        <v>102</v>
      </c>
      <c r="B129" s="8">
        <v>5790</v>
      </c>
      <c r="C129" s="9">
        <v>30</v>
      </c>
      <c r="D129" s="9">
        <f t="shared" si="10"/>
        <v>173700</v>
      </c>
      <c r="E129" s="9">
        <f t="shared" si="12"/>
        <v>173.7</v>
      </c>
      <c r="F129" s="9">
        <f t="shared" si="12"/>
        <v>0.17369999999999999</v>
      </c>
      <c r="G129" s="4"/>
      <c r="H129" s="4"/>
    </row>
    <row r="130" spans="1:8" x14ac:dyDescent="0.45">
      <c r="A130" s="1" t="s">
        <v>103</v>
      </c>
      <c r="B130" s="8">
        <v>5510</v>
      </c>
      <c r="C130" s="9">
        <v>26</v>
      </c>
      <c r="D130" s="9">
        <f t="shared" ref="D130:D161" si="13">+B130*C130</f>
        <v>143260</v>
      </c>
      <c r="E130" s="9">
        <f t="shared" si="12"/>
        <v>143.26</v>
      </c>
      <c r="F130" s="9">
        <f t="shared" si="12"/>
        <v>0.14326</v>
      </c>
      <c r="G130" s="4"/>
      <c r="H130" s="4"/>
    </row>
    <row r="131" spans="1:8" x14ac:dyDescent="0.45">
      <c r="A131" s="1" t="s">
        <v>186</v>
      </c>
      <c r="B131" s="8">
        <v>5460</v>
      </c>
      <c r="C131" s="9">
        <v>12</v>
      </c>
      <c r="D131" s="9">
        <f t="shared" si="13"/>
        <v>65520</v>
      </c>
      <c r="E131" s="9">
        <f t="shared" si="12"/>
        <v>65.52</v>
      </c>
      <c r="F131" s="9">
        <f t="shared" si="12"/>
        <v>6.5519999999999995E-2</v>
      </c>
      <c r="G131" s="4"/>
      <c r="H131" s="4"/>
    </row>
    <row r="132" spans="1:8" x14ac:dyDescent="0.45">
      <c r="A132" s="1" t="s">
        <v>104</v>
      </c>
      <c r="B132" s="8">
        <v>5255</v>
      </c>
      <c r="C132" s="9">
        <v>10</v>
      </c>
      <c r="D132" s="9">
        <f t="shared" si="13"/>
        <v>52550</v>
      </c>
      <c r="E132" s="9">
        <f t="shared" si="12"/>
        <v>52.55</v>
      </c>
      <c r="F132" s="9">
        <f t="shared" si="12"/>
        <v>5.2549999999999999E-2</v>
      </c>
      <c r="G132" s="4"/>
      <c r="H132" s="4"/>
    </row>
    <row r="133" spans="1:8" x14ac:dyDescent="0.45">
      <c r="A133" s="1" t="s">
        <v>187</v>
      </c>
      <c r="B133" s="8">
        <v>5191</v>
      </c>
      <c r="C133" s="9">
        <v>7</v>
      </c>
      <c r="D133" s="9">
        <f t="shared" si="13"/>
        <v>36337</v>
      </c>
      <c r="E133" s="9">
        <f t="shared" si="12"/>
        <v>36.337000000000003</v>
      </c>
      <c r="F133" s="9">
        <f t="shared" si="12"/>
        <v>3.6337000000000001E-2</v>
      </c>
      <c r="G133" s="4"/>
      <c r="H133" s="4"/>
    </row>
    <row r="134" spans="1:8" x14ac:dyDescent="0.45">
      <c r="A134" s="1" t="s">
        <v>160</v>
      </c>
      <c r="B134" s="8">
        <v>5120</v>
      </c>
      <c r="C134" s="9">
        <v>4</v>
      </c>
      <c r="D134" s="9">
        <f t="shared" si="13"/>
        <v>20480</v>
      </c>
      <c r="E134" s="9">
        <f t="shared" si="12"/>
        <v>20.48</v>
      </c>
      <c r="F134" s="9">
        <f t="shared" si="12"/>
        <v>2.0480000000000002E-2</v>
      </c>
      <c r="G134" s="4"/>
      <c r="H134" s="4"/>
    </row>
    <row r="135" spans="1:8" x14ac:dyDescent="0.45">
      <c r="A135" s="1" t="s">
        <v>105</v>
      </c>
      <c r="B135" s="8">
        <v>5004</v>
      </c>
      <c r="C135" s="9">
        <v>18</v>
      </c>
      <c r="D135" s="9">
        <f t="shared" si="13"/>
        <v>90072</v>
      </c>
      <c r="E135" s="9">
        <f t="shared" si="12"/>
        <v>90.072000000000003</v>
      </c>
      <c r="F135" s="9">
        <f t="shared" si="12"/>
        <v>9.0071999999999999E-2</v>
      </c>
      <c r="G135" s="4"/>
      <c r="H135" s="4"/>
    </row>
    <row r="136" spans="1:8" x14ac:dyDescent="0.45">
      <c r="A136" s="1" t="s">
        <v>106</v>
      </c>
      <c r="B136" s="8">
        <v>4975</v>
      </c>
      <c r="C136" s="9">
        <v>29</v>
      </c>
      <c r="D136" s="9">
        <f t="shared" si="13"/>
        <v>144275</v>
      </c>
      <c r="E136" s="9">
        <f t="shared" si="12"/>
        <v>144.27500000000001</v>
      </c>
      <c r="F136" s="9">
        <f t="shared" si="12"/>
        <v>0.14427500000000001</v>
      </c>
      <c r="G136" s="4"/>
      <c r="H136" s="4"/>
    </row>
    <row r="137" spans="1:8" x14ac:dyDescent="0.45">
      <c r="A137" s="1" t="s">
        <v>188</v>
      </c>
      <c r="B137" s="8">
        <v>4965</v>
      </c>
      <c r="C137" s="9">
        <v>3</v>
      </c>
      <c r="D137" s="9">
        <f t="shared" si="13"/>
        <v>14895</v>
      </c>
      <c r="E137" s="9">
        <f t="shared" si="12"/>
        <v>14.895</v>
      </c>
      <c r="F137" s="9">
        <f t="shared" si="12"/>
        <v>1.4895E-2</v>
      </c>
      <c r="G137" s="4"/>
      <c r="H137" s="4"/>
    </row>
    <row r="138" spans="1:8" x14ac:dyDescent="0.45">
      <c r="A138" s="1" t="s">
        <v>107</v>
      </c>
      <c r="B138" s="8">
        <v>4948</v>
      </c>
      <c r="C138" s="9">
        <v>4</v>
      </c>
      <c r="D138" s="9">
        <f t="shared" si="13"/>
        <v>19792</v>
      </c>
      <c r="E138" s="9">
        <f t="shared" si="12"/>
        <v>19.792000000000002</v>
      </c>
      <c r="F138" s="9">
        <f t="shared" si="12"/>
        <v>1.9792000000000001E-2</v>
      </c>
      <c r="G138" s="4"/>
      <c r="H138" s="4"/>
    </row>
    <row r="139" spans="1:8" x14ac:dyDescent="0.45">
      <c r="A139" s="1" t="s">
        <v>108</v>
      </c>
      <c r="B139" s="8">
        <v>4765</v>
      </c>
      <c r="C139" s="9">
        <v>22</v>
      </c>
      <c r="D139" s="9">
        <f t="shared" si="13"/>
        <v>104830</v>
      </c>
      <c r="E139" s="9">
        <f t="shared" si="12"/>
        <v>104.83</v>
      </c>
      <c r="F139" s="9">
        <f t="shared" si="12"/>
        <v>0.10482999999999999</v>
      </c>
      <c r="G139" s="4"/>
      <c r="H139" s="4"/>
    </row>
    <row r="140" spans="1:8" x14ac:dyDescent="0.45">
      <c r="A140" s="1" t="s">
        <v>109</v>
      </c>
      <c r="B140" s="8">
        <v>4732</v>
      </c>
      <c r="C140" s="9">
        <v>12</v>
      </c>
      <c r="D140" s="9">
        <f t="shared" si="13"/>
        <v>56784</v>
      </c>
      <c r="E140" s="9">
        <f t="shared" si="12"/>
        <v>56.783999999999999</v>
      </c>
      <c r="F140" s="9">
        <f t="shared" si="12"/>
        <v>5.6784000000000001E-2</v>
      </c>
      <c r="G140" s="4"/>
      <c r="H140" s="4"/>
    </row>
    <row r="141" spans="1:8" x14ac:dyDescent="0.45">
      <c r="A141" s="1" t="s">
        <v>189</v>
      </c>
      <c r="B141" s="8">
        <v>4727</v>
      </c>
      <c r="C141" s="9">
        <v>30</v>
      </c>
      <c r="D141" s="9">
        <f t="shared" si="13"/>
        <v>141810</v>
      </c>
      <c r="E141" s="9">
        <f t="shared" si="12"/>
        <v>141.81</v>
      </c>
      <c r="F141" s="9">
        <f t="shared" si="12"/>
        <v>0.14180999999999999</v>
      </c>
      <c r="G141" s="4"/>
      <c r="H141" s="4"/>
    </row>
    <row r="142" spans="1:8" x14ac:dyDescent="0.45">
      <c r="A142" s="1" t="s">
        <v>110</v>
      </c>
      <c r="B142" s="8">
        <v>4726</v>
      </c>
      <c r="C142" s="9">
        <v>11</v>
      </c>
      <c r="D142" s="9">
        <f t="shared" si="13"/>
        <v>51986</v>
      </c>
      <c r="E142" s="9">
        <f t="shared" ref="E142:F161" si="14">+D142/1000</f>
        <v>51.985999999999997</v>
      </c>
      <c r="F142" s="9">
        <f t="shared" si="14"/>
        <v>5.1985999999999997E-2</v>
      </c>
      <c r="G142" s="4"/>
      <c r="H142" s="4"/>
    </row>
    <row r="143" spans="1:8" x14ac:dyDescent="0.45">
      <c r="A143" s="1" t="s">
        <v>111</v>
      </c>
      <c r="B143" s="8">
        <v>4697</v>
      </c>
      <c r="C143" s="9">
        <v>29</v>
      </c>
      <c r="D143" s="9">
        <f t="shared" si="13"/>
        <v>136213</v>
      </c>
      <c r="E143" s="9">
        <f t="shared" si="14"/>
        <v>136.21299999999999</v>
      </c>
      <c r="F143" s="9">
        <f t="shared" si="14"/>
        <v>0.136213</v>
      </c>
      <c r="G143" s="4"/>
      <c r="H143" s="4"/>
    </row>
    <row r="144" spans="1:8" x14ac:dyDescent="0.45">
      <c r="A144" s="1" t="s">
        <v>112</v>
      </c>
      <c r="B144" s="8">
        <v>4686</v>
      </c>
      <c r="C144" s="9">
        <v>28</v>
      </c>
      <c r="D144" s="9">
        <f t="shared" si="13"/>
        <v>131208</v>
      </c>
      <c r="E144" s="9">
        <f t="shared" si="14"/>
        <v>131.208</v>
      </c>
      <c r="F144" s="9">
        <f t="shared" si="14"/>
        <v>0.13120799999999999</v>
      </c>
      <c r="G144" s="4"/>
      <c r="H144" s="4"/>
    </row>
    <row r="145" spans="1:8" x14ac:dyDescent="0.45">
      <c r="A145" s="1" t="s">
        <v>113</v>
      </c>
      <c r="B145" s="8">
        <v>4398</v>
      </c>
      <c r="C145" s="9">
        <v>14</v>
      </c>
      <c r="D145" s="9">
        <f t="shared" si="13"/>
        <v>61572</v>
      </c>
      <c r="E145" s="9">
        <f t="shared" si="14"/>
        <v>61.572000000000003</v>
      </c>
      <c r="F145" s="9">
        <f t="shared" si="14"/>
        <v>6.1572000000000002E-2</v>
      </c>
      <c r="G145" s="4"/>
      <c r="H145" s="4"/>
    </row>
    <row r="146" spans="1:8" x14ac:dyDescent="0.45">
      <c r="A146" s="1" t="s">
        <v>114</v>
      </c>
      <c r="B146" s="8">
        <v>4378</v>
      </c>
      <c r="C146" s="9">
        <v>5</v>
      </c>
      <c r="D146" s="9">
        <f t="shared" si="13"/>
        <v>21890</v>
      </c>
      <c r="E146" s="9">
        <f t="shared" si="14"/>
        <v>21.89</v>
      </c>
      <c r="F146" s="9">
        <f t="shared" si="14"/>
        <v>2.189E-2</v>
      </c>
      <c r="G146" s="4"/>
      <c r="H146" s="4"/>
    </row>
    <row r="147" spans="1:8" x14ac:dyDescent="0.45">
      <c r="A147" s="1" t="s">
        <v>115</v>
      </c>
      <c r="B147" s="8">
        <v>4358</v>
      </c>
      <c r="C147" s="9">
        <v>28</v>
      </c>
      <c r="D147" s="9">
        <f t="shared" si="13"/>
        <v>122024</v>
      </c>
      <c r="E147" s="9">
        <f t="shared" si="14"/>
        <v>122.024</v>
      </c>
      <c r="F147" s="9">
        <f t="shared" si="14"/>
        <v>0.12202400000000001</v>
      </c>
      <c r="G147" s="4"/>
      <c r="H147" s="4"/>
    </row>
    <row r="148" spans="1:8" x14ac:dyDescent="0.45">
      <c r="A148" s="1" t="s">
        <v>190</v>
      </c>
      <c r="B148" s="8">
        <v>4209</v>
      </c>
      <c r="C148" s="9">
        <v>7</v>
      </c>
      <c r="D148" s="9">
        <f t="shared" si="13"/>
        <v>29463</v>
      </c>
      <c r="E148" s="9">
        <f t="shared" si="14"/>
        <v>29.463000000000001</v>
      </c>
      <c r="F148" s="9">
        <f t="shared" si="14"/>
        <v>2.9463E-2</v>
      </c>
      <c r="G148" s="4"/>
      <c r="H148" s="4"/>
    </row>
    <row r="149" spans="1:8" x14ac:dyDescent="0.45">
      <c r="A149" s="1" t="s">
        <v>116</v>
      </c>
      <c r="B149" s="8">
        <v>4200</v>
      </c>
      <c r="C149" s="9">
        <v>25</v>
      </c>
      <c r="D149" s="9">
        <f t="shared" si="13"/>
        <v>105000</v>
      </c>
      <c r="E149" s="9">
        <f t="shared" si="14"/>
        <v>105</v>
      </c>
      <c r="F149" s="9">
        <f t="shared" si="14"/>
        <v>0.105</v>
      </c>
      <c r="G149" s="4"/>
      <c r="H149" s="4"/>
    </row>
    <row r="150" spans="1:8" x14ac:dyDescent="0.45">
      <c r="A150" s="1" t="s">
        <v>197</v>
      </c>
      <c r="B150" s="8">
        <v>4118</v>
      </c>
      <c r="C150" s="9">
        <v>4</v>
      </c>
      <c r="D150" s="9">
        <f t="shared" si="13"/>
        <v>16472</v>
      </c>
      <c r="E150" s="9">
        <f t="shared" si="14"/>
        <v>16.472000000000001</v>
      </c>
      <c r="F150" s="9">
        <f t="shared" si="14"/>
        <v>1.6472000000000001E-2</v>
      </c>
      <c r="G150" s="4"/>
      <c r="H150" s="4"/>
    </row>
    <row r="151" spans="1:8" x14ac:dyDescent="0.45">
      <c r="A151" s="1" t="s">
        <v>117</v>
      </c>
      <c r="B151" s="8">
        <v>4065</v>
      </c>
      <c r="C151" s="9">
        <v>21</v>
      </c>
      <c r="D151" s="9">
        <f t="shared" si="13"/>
        <v>85365</v>
      </c>
      <c r="E151" s="9">
        <f t="shared" si="14"/>
        <v>85.364999999999995</v>
      </c>
      <c r="F151" s="9">
        <f t="shared" si="14"/>
        <v>8.5364999999999996E-2</v>
      </c>
      <c r="G151" s="4"/>
      <c r="H151" s="4"/>
    </row>
    <row r="152" spans="1:8" x14ac:dyDescent="0.45">
      <c r="A152" s="1" t="s">
        <v>198</v>
      </c>
      <c r="B152" s="8">
        <v>4063</v>
      </c>
      <c r="C152" s="9">
        <v>16</v>
      </c>
      <c r="D152" s="9">
        <f t="shared" si="13"/>
        <v>65008</v>
      </c>
      <c r="E152" s="9">
        <f t="shared" si="14"/>
        <v>65.007999999999996</v>
      </c>
      <c r="F152" s="9">
        <f t="shared" si="14"/>
        <v>6.5007999999999996E-2</v>
      </c>
      <c r="G152" s="4"/>
      <c r="H152" s="4"/>
    </row>
    <row r="153" spans="1:8" x14ac:dyDescent="0.45">
      <c r="A153" s="1" t="s">
        <v>118</v>
      </c>
      <c r="B153" s="8">
        <v>4044</v>
      </c>
      <c r="C153" s="9">
        <v>3</v>
      </c>
      <c r="D153" s="9">
        <f t="shared" si="13"/>
        <v>12132</v>
      </c>
      <c r="E153" s="9">
        <f t="shared" si="14"/>
        <v>12.132</v>
      </c>
      <c r="F153" s="9">
        <f t="shared" si="14"/>
        <v>1.2132E-2</v>
      </c>
      <c r="G153" s="4"/>
      <c r="H153" s="4"/>
    </row>
    <row r="154" spans="1:8" x14ac:dyDescent="0.45">
      <c r="A154" s="1" t="s">
        <v>119</v>
      </c>
      <c r="B154" s="8">
        <v>4038</v>
      </c>
      <c r="C154" s="9">
        <v>29</v>
      </c>
      <c r="D154" s="9">
        <f t="shared" si="13"/>
        <v>117102</v>
      </c>
      <c r="E154" s="9">
        <f t="shared" si="14"/>
        <v>117.102</v>
      </c>
      <c r="F154" s="9">
        <f t="shared" si="14"/>
        <v>0.117102</v>
      </c>
      <c r="G154" s="4"/>
      <c r="H154" s="4"/>
    </row>
    <row r="155" spans="1:8" x14ac:dyDescent="0.45">
      <c r="A155" s="1" t="s">
        <v>191</v>
      </c>
      <c r="B155" s="8">
        <v>3914</v>
      </c>
      <c r="C155" s="9">
        <v>6</v>
      </c>
      <c r="D155" s="9">
        <f t="shared" si="13"/>
        <v>23484</v>
      </c>
      <c r="E155" s="9">
        <f t="shared" si="14"/>
        <v>23.484000000000002</v>
      </c>
      <c r="F155" s="9">
        <f t="shared" si="14"/>
        <v>2.3484000000000001E-2</v>
      </c>
      <c r="G155" s="4"/>
      <c r="H155" s="4"/>
    </row>
    <row r="156" spans="1:8" x14ac:dyDescent="0.45">
      <c r="A156" s="1" t="s">
        <v>120</v>
      </c>
      <c r="B156" s="8">
        <v>3893</v>
      </c>
      <c r="C156" s="9">
        <v>13</v>
      </c>
      <c r="D156" s="9">
        <f t="shared" si="13"/>
        <v>50609</v>
      </c>
      <c r="E156" s="9">
        <f t="shared" si="14"/>
        <v>50.609000000000002</v>
      </c>
      <c r="F156" s="9">
        <f t="shared" si="14"/>
        <v>5.0609000000000001E-2</v>
      </c>
      <c r="G156" s="4"/>
      <c r="H156" s="4"/>
    </row>
    <row r="157" spans="1:8" x14ac:dyDescent="0.45">
      <c r="A157" s="1" t="s">
        <v>121</v>
      </c>
      <c r="B157" s="8">
        <v>3888</v>
      </c>
      <c r="C157" s="9">
        <v>22</v>
      </c>
      <c r="D157" s="9">
        <f t="shared" si="13"/>
        <v>85536</v>
      </c>
      <c r="E157" s="9">
        <f t="shared" si="14"/>
        <v>85.536000000000001</v>
      </c>
      <c r="F157" s="9">
        <f t="shared" si="14"/>
        <v>8.5536000000000001E-2</v>
      </c>
      <c r="G157" s="4"/>
      <c r="H157" s="4"/>
    </row>
    <row r="158" spans="1:8" x14ac:dyDescent="0.45">
      <c r="A158" s="1" t="s">
        <v>141</v>
      </c>
      <c r="B158" s="8">
        <v>3858</v>
      </c>
      <c r="C158" s="9">
        <v>21</v>
      </c>
      <c r="D158" s="9">
        <f t="shared" si="13"/>
        <v>81018</v>
      </c>
      <c r="E158" s="9">
        <f t="shared" si="14"/>
        <v>81.018000000000001</v>
      </c>
      <c r="F158" s="9">
        <f t="shared" si="14"/>
        <v>8.1018000000000007E-2</v>
      </c>
      <c r="G158" s="4"/>
      <c r="H158" s="4"/>
    </row>
    <row r="159" spans="1:8" x14ac:dyDescent="0.45">
      <c r="A159" s="1" t="s">
        <v>122</v>
      </c>
      <c r="B159" s="8">
        <v>3850</v>
      </c>
      <c r="C159" s="9">
        <v>20</v>
      </c>
      <c r="D159" s="9">
        <f t="shared" si="13"/>
        <v>77000</v>
      </c>
      <c r="E159" s="9">
        <f t="shared" si="14"/>
        <v>77</v>
      </c>
      <c r="F159" s="9">
        <f t="shared" si="14"/>
        <v>7.6999999999999999E-2</v>
      </c>
      <c r="G159" s="4"/>
      <c r="H159" s="4"/>
    </row>
    <row r="160" spans="1:8" x14ac:dyDescent="0.45">
      <c r="A160" s="1" t="s">
        <v>165</v>
      </c>
      <c r="B160" s="8">
        <v>3804</v>
      </c>
      <c r="C160" s="9">
        <v>3</v>
      </c>
      <c r="D160" s="9">
        <f t="shared" si="13"/>
        <v>11412</v>
      </c>
      <c r="E160" s="9">
        <f t="shared" si="14"/>
        <v>11.412000000000001</v>
      </c>
      <c r="F160" s="9">
        <f t="shared" si="14"/>
        <v>1.1412E-2</v>
      </c>
      <c r="G160" s="4"/>
      <c r="H160" s="4"/>
    </row>
    <row r="161" spans="1:8" x14ac:dyDescent="0.45">
      <c r="A161" s="1" t="s">
        <v>123</v>
      </c>
      <c r="B161" s="8">
        <v>3804</v>
      </c>
      <c r="C161" s="9">
        <v>31</v>
      </c>
      <c r="D161" s="9">
        <f t="shared" si="13"/>
        <v>117924</v>
      </c>
      <c r="E161" s="9">
        <f t="shared" si="14"/>
        <v>117.92400000000001</v>
      </c>
      <c r="F161" s="9">
        <f t="shared" si="14"/>
        <v>0.117924</v>
      </c>
      <c r="G161" s="4"/>
      <c r="H161" s="4"/>
    </row>
    <row r="162" spans="1:8" x14ac:dyDescent="0.45">
      <c r="A162" s="1" t="s">
        <v>124</v>
      </c>
      <c r="B162" s="8">
        <v>3804</v>
      </c>
      <c r="C162" s="9">
        <v>14</v>
      </c>
      <c r="D162" s="9">
        <f t="shared" ref="D162:D193" si="15">+B162*C162</f>
        <v>53256</v>
      </c>
      <c r="E162" s="9">
        <f t="shared" ref="E162:F181" si="16">+D162/1000</f>
        <v>53.256</v>
      </c>
      <c r="F162" s="9">
        <f t="shared" si="16"/>
        <v>5.3255999999999998E-2</v>
      </c>
      <c r="G162" s="4"/>
      <c r="H162" s="4"/>
    </row>
    <row r="163" spans="1:8" x14ac:dyDescent="0.45">
      <c r="A163" s="1" t="s">
        <v>125</v>
      </c>
      <c r="B163" s="8">
        <v>3804</v>
      </c>
      <c r="C163" s="9">
        <v>14</v>
      </c>
      <c r="D163" s="9">
        <f t="shared" si="15"/>
        <v>53256</v>
      </c>
      <c r="E163" s="9">
        <f t="shared" si="16"/>
        <v>53.256</v>
      </c>
      <c r="F163" s="9">
        <f t="shared" si="16"/>
        <v>5.3255999999999998E-2</v>
      </c>
      <c r="G163" s="4"/>
      <c r="H163" s="4"/>
    </row>
    <row r="164" spans="1:8" x14ac:dyDescent="0.45">
      <c r="A164" s="1" t="s">
        <v>126</v>
      </c>
      <c r="B164" s="8">
        <v>3752</v>
      </c>
      <c r="C164" s="9">
        <v>10</v>
      </c>
      <c r="D164" s="9">
        <f t="shared" si="15"/>
        <v>37520</v>
      </c>
      <c r="E164" s="9">
        <f t="shared" si="16"/>
        <v>37.520000000000003</v>
      </c>
      <c r="F164" s="9">
        <f t="shared" si="16"/>
        <v>3.7520000000000005E-2</v>
      </c>
      <c r="G164" s="4"/>
      <c r="H164" s="4"/>
    </row>
    <row r="165" spans="1:8" x14ac:dyDescent="0.45">
      <c r="A165" s="1" t="s">
        <v>127</v>
      </c>
      <c r="B165" s="8">
        <v>3678</v>
      </c>
      <c r="C165" s="9">
        <v>22</v>
      </c>
      <c r="D165" s="9">
        <f t="shared" si="15"/>
        <v>80916</v>
      </c>
      <c r="E165" s="9">
        <f t="shared" si="16"/>
        <v>80.915999999999997</v>
      </c>
      <c r="F165" s="9">
        <f t="shared" si="16"/>
        <v>8.0916000000000002E-2</v>
      </c>
      <c r="G165" s="4"/>
      <c r="H165" s="4"/>
    </row>
    <row r="166" spans="1:8" x14ac:dyDescent="0.45">
      <c r="A166" s="1" t="s">
        <v>128</v>
      </c>
      <c r="B166" s="8">
        <v>3529</v>
      </c>
      <c r="C166" s="9">
        <v>17</v>
      </c>
      <c r="D166" s="9">
        <f t="shared" si="15"/>
        <v>59993</v>
      </c>
      <c r="E166" s="9">
        <f t="shared" si="16"/>
        <v>59.993000000000002</v>
      </c>
      <c r="F166" s="9">
        <f t="shared" si="16"/>
        <v>5.9993000000000005E-2</v>
      </c>
      <c r="G166" s="4"/>
      <c r="H166" s="4"/>
    </row>
    <row r="167" spans="1:8" x14ac:dyDescent="0.45">
      <c r="A167" s="1" t="s">
        <v>156</v>
      </c>
      <c r="B167" s="8">
        <v>3492</v>
      </c>
      <c r="C167" s="9">
        <v>7</v>
      </c>
      <c r="D167" s="9">
        <f t="shared" si="15"/>
        <v>24444</v>
      </c>
      <c r="E167" s="9">
        <f t="shared" si="16"/>
        <v>24.443999999999999</v>
      </c>
      <c r="F167" s="9">
        <f t="shared" si="16"/>
        <v>2.4444E-2</v>
      </c>
      <c r="G167" s="4"/>
      <c r="H167" s="4"/>
    </row>
    <row r="168" spans="1:8" x14ac:dyDescent="0.45">
      <c r="A168" s="1" t="s">
        <v>129</v>
      </c>
      <c r="B168" s="8">
        <v>3439</v>
      </c>
      <c r="C168" s="9">
        <v>6</v>
      </c>
      <c r="D168" s="9">
        <f t="shared" si="15"/>
        <v>20634</v>
      </c>
      <c r="E168" s="9">
        <f t="shared" si="16"/>
        <v>20.634</v>
      </c>
      <c r="F168" s="9">
        <f t="shared" si="16"/>
        <v>2.0634E-2</v>
      </c>
      <c r="G168" s="4"/>
      <c r="H168" s="4"/>
    </row>
    <row r="169" spans="1:8" x14ac:dyDescent="0.45">
      <c r="A169" s="1" t="s">
        <v>130</v>
      </c>
      <c r="B169" s="8">
        <v>3439</v>
      </c>
      <c r="C169" s="9">
        <v>11</v>
      </c>
      <c r="D169" s="9">
        <f t="shared" si="15"/>
        <v>37829</v>
      </c>
      <c r="E169" s="9">
        <f t="shared" si="16"/>
        <v>37.829000000000001</v>
      </c>
      <c r="F169" s="9">
        <f t="shared" si="16"/>
        <v>3.7829000000000002E-2</v>
      </c>
      <c r="G169" s="4"/>
      <c r="H169" s="4"/>
    </row>
    <row r="170" spans="1:8" x14ac:dyDescent="0.45">
      <c r="A170" s="1" t="s">
        <v>192</v>
      </c>
      <c r="B170" s="8">
        <v>3437</v>
      </c>
      <c r="C170" s="9">
        <v>9</v>
      </c>
      <c r="D170" s="9">
        <f t="shared" si="15"/>
        <v>30933</v>
      </c>
      <c r="E170" s="9">
        <f t="shared" si="16"/>
        <v>30.933</v>
      </c>
      <c r="F170" s="9">
        <f t="shared" si="16"/>
        <v>3.0932999999999999E-2</v>
      </c>
      <c r="G170" s="4"/>
      <c r="H170" s="4"/>
    </row>
    <row r="171" spans="1:8" x14ac:dyDescent="0.45">
      <c r="A171" s="1" t="s">
        <v>131</v>
      </c>
      <c r="B171" s="8">
        <v>3429</v>
      </c>
      <c r="C171" s="9">
        <v>18</v>
      </c>
      <c r="D171" s="9">
        <f t="shared" si="15"/>
        <v>61722</v>
      </c>
      <c r="E171" s="9">
        <f t="shared" si="16"/>
        <v>61.722000000000001</v>
      </c>
      <c r="F171" s="9">
        <f t="shared" si="16"/>
        <v>6.1721999999999999E-2</v>
      </c>
      <c r="G171" s="4"/>
      <c r="H171" s="4"/>
    </row>
    <row r="172" spans="1:8" x14ac:dyDescent="0.45">
      <c r="A172" s="1" t="s">
        <v>132</v>
      </c>
      <c r="B172" s="8">
        <v>3409</v>
      </c>
      <c r="C172" s="9">
        <v>28</v>
      </c>
      <c r="D172" s="9">
        <f t="shared" si="15"/>
        <v>95452</v>
      </c>
      <c r="E172" s="9">
        <f t="shared" si="16"/>
        <v>95.451999999999998</v>
      </c>
      <c r="F172" s="9">
        <f t="shared" si="16"/>
        <v>9.5451999999999995E-2</v>
      </c>
      <c r="G172" s="4"/>
      <c r="H172" s="4"/>
    </row>
    <row r="173" spans="1:8" x14ac:dyDescent="0.45">
      <c r="A173" s="1" t="s">
        <v>133</v>
      </c>
      <c r="B173" s="8">
        <v>3409</v>
      </c>
      <c r="C173" s="9">
        <v>10</v>
      </c>
      <c r="D173" s="9">
        <f t="shared" si="15"/>
        <v>34090</v>
      </c>
      <c r="E173" s="9">
        <f t="shared" si="16"/>
        <v>34.090000000000003</v>
      </c>
      <c r="F173" s="9">
        <f t="shared" si="16"/>
        <v>3.4090000000000002E-2</v>
      </c>
      <c r="G173" s="4"/>
      <c r="H173" s="4"/>
    </row>
    <row r="174" spans="1:8" x14ac:dyDescent="0.45">
      <c r="A174" s="1" t="s">
        <v>134</v>
      </c>
      <c r="B174" s="8">
        <v>3399</v>
      </c>
      <c r="C174" s="9">
        <v>12</v>
      </c>
      <c r="D174" s="9">
        <f t="shared" si="15"/>
        <v>40788</v>
      </c>
      <c r="E174" s="9">
        <f t="shared" si="16"/>
        <v>40.787999999999997</v>
      </c>
      <c r="F174" s="9">
        <f t="shared" si="16"/>
        <v>4.0787999999999998E-2</v>
      </c>
      <c r="G174" s="4"/>
      <c r="H174" s="4"/>
    </row>
    <row r="175" spans="1:8" x14ac:dyDescent="0.45">
      <c r="A175" s="1" t="s">
        <v>135</v>
      </c>
      <c r="B175" s="8">
        <v>3330</v>
      </c>
      <c r="C175" s="9">
        <v>9</v>
      </c>
      <c r="D175" s="9">
        <f t="shared" si="15"/>
        <v>29970</v>
      </c>
      <c r="E175" s="9">
        <f t="shared" si="16"/>
        <v>29.97</v>
      </c>
      <c r="F175" s="9">
        <f t="shared" si="16"/>
        <v>2.997E-2</v>
      </c>
      <c r="G175" s="4"/>
      <c r="H175" s="4"/>
    </row>
    <row r="176" spans="1:8" x14ac:dyDescent="0.45">
      <c r="A176" s="1" t="s">
        <v>162</v>
      </c>
      <c r="B176" s="8">
        <v>3302</v>
      </c>
      <c r="C176" s="9">
        <v>12</v>
      </c>
      <c r="D176" s="9">
        <f t="shared" si="15"/>
        <v>39624</v>
      </c>
      <c r="E176" s="9">
        <f t="shared" si="16"/>
        <v>39.624000000000002</v>
      </c>
      <c r="F176" s="9">
        <f t="shared" si="16"/>
        <v>3.9623999999999999E-2</v>
      </c>
      <c r="G176" s="4"/>
      <c r="H176" s="4"/>
    </row>
    <row r="177" spans="1:8" x14ac:dyDescent="0.45">
      <c r="A177" s="1" t="s">
        <v>136</v>
      </c>
      <c r="B177" s="8">
        <v>3258</v>
      </c>
      <c r="C177" s="9">
        <v>16</v>
      </c>
      <c r="D177" s="9">
        <f t="shared" si="15"/>
        <v>52128</v>
      </c>
      <c r="E177" s="9">
        <f t="shared" si="16"/>
        <v>52.128</v>
      </c>
      <c r="F177" s="9">
        <f t="shared" si="16"/>
        <v>5.2128000000000001E-2</v>
      </c>
      <c r="G177" s="4"/>
      <c r="H177" s="4"/>
    </row>
    <row r="178" spans="1:8" x14ac:dyDescent="0.45">
      <c r="A178" s="1" t="s">
        <v>142</v>
      </c>
      <c r="B178" s="8">
        <v>3142</v>
      </c>
      <c r="C178" s="9">
        <v>31</v>
      </c>
      <c r="D178" s="9">
        <f t="shared" si="15"/>
        <v>97402</v>
      </c>
      <c r="E178" s="9">
        <f t="shared" si="16"/>
        <v>97.402000000000001</v>
      </c>
      <c r="F178" s="9">
        <f t="shared" si="16"/>
        <v>9.7402000000000002E-2</v>
      </c>
      <c r="G178" s="4"/>
      <c r="H178" s="4"/>
    </row>
    <row r="179" spans="1:8" x14ac:dyDescent="0.45">
      <c r="A179" s="1" t="s">
        <v>137</v>
      </c>
      <c r="B179" s="8">
        <v>3115</v>
      </c>
      <c r="C179" s="9">
        <v>23</v>
      </c>
      <c r="D179" s="9">
        <f t="shared" si="15"/>
        <v>71645</v>
      </c>
      <c r="E179" s="9">
        <f t="shared" si="16"/>
        <v>71.644999999999996</v>
      </c>
      <c r="F179" s="9">
        <f t="shared" si="16"/>
        <v>7.1645E-2</v>
      </c>
      <c r="G179" s="4"/>
      <c r="H179" s="4"/>
    </row>
    <row r="180" spans="1:8" x14ac:dyDescent="0.45">
      <c r="A180" s="1" t="s">
        <v>138</v>
      </c>
      <c r="B180" s="8">
        <v>3105</v>
      </c>
      <c r="C180" s="9">
        <v>12</v>
      </c>
      <c r="D180" s="9">
        <f t="shared" si="15"/>
        <v>37260</v>
      </c>
      <c r="E180" s="9">
        <f t="shared" si="16"/>
        <v>37.26</v>
      </c>
      <c r="F180" s="9">
        <f t="shared" si="16"/>
        <v>3.7260000000000001E-2</v>
      </c>
      <c r="G180" s="4"/>
      <c r="H180" s="4"/>
    </row>
    <row r="181" spans="1:8" x14ac:dyDescent="0.45">
      <c r="A181" s="1" t="s">
        <v>139</v>
      </c>
      <c r="B181" s="8">
        <v>3098</v>
      </c>
      <c r="C181" s="9">
        <v>9</v>
      </c>
      <c r="D181" s="9">
        <f t="shared" si="15"/>
        <v>27882</v>
      </c>
      <c r="E181" s="9">
        <f t="shared" si="16"/>
        <v>27.882000000000001</v>
      </c>
      <c r="F181" s="9">
        <f t="shared" si="16"/>
        <v>2.7882000000000001E-2</v>
      </c>
      <c r="G181" s="4"/>
      <c r="H181" s="4"/>
    </row>
    <row r="182" spans="1:8" x14ac:dyDescent="0.45">
      <c r="A182" s="1" t="s">
        <v>140</v>
      </c>
      <c r="B182" s="8">
        <v>3036</v>
      </c>
      <c r="C182" s="9">
        <v>30</v>
      </c>
      <c r="D182" s="9">
        <f t="shared" si="15"/>
        <v>91080</v>
      </c>
      <c r="E182" s="9">
        <f t="shared" ref="E182:F200" si="17">+D182/1000</f>
        <v>91.08</v>
      </c>
      <c r="F182" s="9">
        <f t="shared" si="17"/>
        <v>9.1079999999999994E-2</v>
      </c>
      <c r="G182" s="4"/>
      <c r="H182" s="4"/>
    </row>
    <row r="183" spans="1:8" x14ac:dyDescent="0.45">
      <c r="A183" s="1" t="s">
        <v>143</v>
      </c>
      <c r="B183" s="8">
        <v>2952</v>
      </c>
      <c r="C183" s="9">
        <v>31</v>
      </c>
      <c r="D183" s="9">
        <f t="shared" si="15"/>
        <v>91512</v>
      </c>
      <c r="E183" s="9">
        <f t="shared" si="17"/>
        <v>91.512</v>
      </c>
      <c r="F183" s="9">
        <f t="shared" si="17"/>
        <v>9.1511999999999996E-2</v>
      </c>
      <c r="G183" s="4"/>
      <c r="H183" s="4"/>
    </row>
    <row r="184" spans="1:8" x14ac:dyDescent="0.45">
      <c r="A184" s="1" t="s">
        <v>144</v>
      </c>
      <c r="B184" s="8">
        <v>2902</v>
      </c>
      <c r="C184" s="9">
        <v>9</v>
      </c>
      <c r="D184" s="9">
        <f t="shared" si="15"/>
        <v>26118</v>
      </c>
      <c r="E184" s="9">
        <f t="shared" si="17"/>
        <v>26.117999999999999</v>
      </c>
      <c r="F184" s="9">
        <f t="shared" si="17"/>
        <v>2.6117999999999999E-2</v>
      </c>
      <c r="G184" s="4"/>
      <c r="H184" s="4"/>
    </row>
    <row r="185" spans="1:8" x14ac:dyDescent="0.45">
      <c r="A185" s="1" t="s">
        <v>145</v>
      </c>
      <c r="B185" s="8">
        <v>2883</v>
      </c>
      <c r="C185" s="9">
        <v>9</v>
      </c>
      <c r="D185" s="9">
        <f t="shared" si="15"/>
        <v>25947</v>
      </c>
      <c r="E185" s="9">
        <f t="shared" si="17"/>
        <v>25.946999999999999</v>
      </c>
      <c r="F185" s="9">
        <f t="shared" si="17"/>
        <v>2.5946999999999998E-2</v>
      </c>
      <c r="G185" s="4"/>
      <c r="H185" s="4"/>
    </row>
    <row r="186" spans="1:8" x14ac:dyDescent="0.45">
      <c r="A186" s="1" t="s">
        <v>146</v>
      </c>
      <c r="B186" s="8">
        <v>2858</v>
      </c>
      <c r="C186" s="9">
        <v>19</v>
      </c>
      <c r="D186" s="9">
        <f t="shared" si="15"/>
        <v>54302</v>
      </c>
      <c r="E186" s="9">
        <f t="shared" si="17"/>
        <v>54.302</v>
      </c>
      <c r="F186" s="9">
        <f t="shared" si="17"/>
        <v>5.4302000000000003E-2</v>
      </c>
      <c r="G186" s="4"/>
      <c r="H186" s="4"/>
    </row>
    <row r="187" spans="1:8" x14ac:dyDescent="0.45">
      <c r="A187" s="1" t="s">
        <v>147</v>
      </c>
      <c r="B187" s="8">
        <v>2858</v>
      </c>
      <c r="C187" s="9">
        <v>4</v>
      </c>
      <c r="D187" s="9">
        <f t="shared" si="15"/>
        <v>11432</v>
      </c>
      <c r="E187" s="9">
        <f t="shared" si="17"/>
        <v>11.432</v>
      </c>
      <c r="F187" s="9">
        <f t="shared" si="17"/>
        <v>1.1432000000000001E-2</v>
      </c>
      <c r="G187" s="4"/>
      <c r="H187" s="4"/>
    </row>
    <row r="188" spans="1:8" x14ac:dyDescent="0.45">
      <c r="A188" s="1" t="s">
        <v>148</v>
      </c>
      <c r="B188" s="8">
        <v>2846</v>
      </c>
      <c r="C188" s="9">
        <v>25</v>
      </c>
      <c r="D188" s="9">
        <f t="shared" si="15"/>
        <v>71150</v>
      </c>
      <c r="E188" s="9">
        <f t="shared" si="17"/>
        <v>71.150000000000006</v>
      </c>
      <c r="F188" s="9">
        <f t="shared" si="17"/>
        <v>7.1150000000000005E-2</v>
      </c>
      <c r="G188" s="4"/>
      <c r="H188" s="4"/>
    </row>
    <row r="189" spans="1:8" x14ac:dyDescent="0.45">
      <c r="A189" s="1" t="s">
        <v>149</v>
      </c>
      <c r="B189" s="8">
        <v>2814</v>
      </c>
      <c r="C189" s="9">
        <v>4</v>
      </c>
      <c r="D189" s="9">
        <f t="shared" si="15"/>
        <v>11256</v>
      </c>
      <c r="E189" s="9">
        <f t="shared" si="17"/>
        <v>11.256</v>
      </c>
      <c r="F189" s="9">
        <f t="shared" si="17"/>
        <v>1.1256E-2</v>
      </c>
      <c r="G189" s="4"/>
      <c r="H189" s="4"/>
    </row>
    <row r="190" spans="1:8" x14ac:dyDescent="0.45">
      <c r="A190" s="1" t="s">
        <v>150</v>
      </c>
      <c r="B190" s="8">
        <v>2809</v>
      </c>
      <c r="C190" s="9">
        <v>6</v>
      </c>
      <c r="D190" s="9">
        <f t="shared" si="15"/>
        <v>16854</v>
      </c>
      <c r="E190" s="9">
        <f t="shared" si="17"/>
        <v>16.853999999999999</v>
      </c>
      <c r="F190" s="9">
        <f t="shared" si="17"/>
        <v>1.6854000000000001E-2</v>
      </c>
      <c r="G190" s="4"/>
      <c r="H190" s="4"/>
    </row>
    <row r="191" spans="1:8" x14ac:dyDescent="0.45">
      <c r="A191" s="1" t="s">
        <v>159</v>
      </c>
      <c r="B191" s="8">
        <v>2770</v>
      </c>
      <c r="C191" s="9">
        <v>25</v>
      </c>
      <c r="D191" s="9">
        <f t="shared" si="15"/>
        <v>69250</v>
      </c>
      <c r="E191" s="9">
        <f t="shared" si="17"/>
        <v>69.25</v>
      </c>
      <c r="F191" s="9">
        <f t="shared" si="17"/>
        <v>6.9250000000000006E-2</v>
      </c>
      <c r="G191" s="4"/>
      <c r="H191" s="4"/>
    </row>
    <row r="192" spans="1:8" x14ac:dyDescent="0.45">
      <c r="A192" s="1" t="s">
        <v>151</v>
      </c>
      <c r="B192" s="8">
        <v>2750</v>
      </c>
      <c r="C192" s="9">
        <v>21</v>
      </c>
      <c r="D192" s="9">
        <f t="shared" si="15"/>
        <v>57750</v>
      </c>
      <c r="E192" s="9">
        <f t="shared" si="17"/>
        <v>57.75</v>
      </c>
      <c r="F192" s="9">
        <f t="shared" si="17"/>
        <v>5.7750000000000003E-2</v>
      </c>
      <c r="G192" s="4"/>
      <c r="H192" s="4"/>
    </row>
    <row r="193" spans="1:8" x14ac:dyDescent="0.45">
      <c r="A193" s="1" t="s">
        <v>152</v>
      </c>
      <c r="B193" s="8">
        <v>2725</v>
      </c>
      <c r="C193" s="9">
        <v>26</v>
      </c>
      <c r="D193" s="9">
        <f t="shared" si="15"/>
        <v>70850</v>
      </c>
      <c r="E193" s="9">
        <f t="shared" si="17"/>
        <v>70.849999999999994</v>
      </c>
      <c r="F193" s="9">
        <f t="shared" si="17"/>
        <v>7.0849999999999996E-2</v>
      </c>
      <c r="G193" s="4"/>
      <c r="H193" s="4"/>
    </row>
    <row r="194" spans="1:8" x14ac:dyDescent="0.45">
      <c r="A194" s="1" t="s">
        <v>153</v>
      </c>
      <c r="B194" s="8">
        <v>2702</v>
      </c>
      <c r="C194" s="9">
        <v>27</v>
      </c>
      <c r="D194" s="9">
        <f t="shared" ref="D194:D200" si="18">+B194*C194</f>
        <v>72954</v>
      </c>
      <c r="E194" s="9">
        <f t="shared" si="17"/>
        <v>72.953999999999994</v>
      </c>
      <c r="F194" s="9">
        <f t="shared" si="17"/>
        <v>7.2953999999999991E-2</v>
      </c>
      <c r="G194" s="4"/>
      <c r="H194" s="4"/>
    </row>
    <row r="195" spans="1:8" x14ac:dyDescent="0.45">
      <c r="A195" s="1" t="s">
        <v>193</v>
      </c>
      <c r="B195" s="8">
        <v>2698</v>
      </c>
      <c r="C195" s="9">
        <v>16</v>
      </c>
      <c r="D195" s="9">
        <f t="shared" si="18"/>
        <v>43168</v>
      </c>
      <c r="E195" s="9">
        <f t="shared" si="17"/>
        <v>43.167999999999999</v>
      </c>
      <c r="F195" s="9">
        <f t="shared" si="17"/>
        <v>4.3167999999999998E-2</v>
      </c>
      <c r="G195" s="4"/>
      <c r="H195" s="4"/>
    </row>
    <row r="196" spans="1:8" x14ac:dyDescent="0.45">
      <c r="A196" s="1" t="s">
        <v>154</v>
      </c>
      <c r="B196" s="8">
        <v>2692</v>
      </c>
      <c r="C196" s="9">
        <v>31</v>
      </c>
      <c r="D196" s="9">
        <f t="shared" si="18"/>
        <v>83452</v>
      </c>
      <c r="E196" s="9">
        <f t="shared" si="17"/>
        <v>83.451999999999998</v>
      </c>
      <c r="F196" s="9">
        <f t="shared" si="17"/>
        <v>8.3451999999999998E-2</v>
      </c>
      <c r="G196" s="4"/>
      <c r="H196" s="4"/>
    </row>
    <row r="197" spans="1:8" x14ac:dyDescent="0.45">
      <c r="A197" s="1" t="s">
        <v>155</v>
      </c>
      <c r="B197" s="8">
        <v>2684</v>
      </c>
      <c r="C197" s="9">
        <v>11</v>
      </c>
      <c r="D197" s="9">
        <f t="shared" si="18"/>
        <v>29524</v>
      </c>
      <c r="E197" s="9">
        <f t="shared" si="17"/>
        <v>29.524000000000001</v>
      </c>
      <c r="F197" s="9">
        <f t="shared" si="17"/>
        <v>2.9524000000000002E-2</v>
      </c>
      <c r="G197" s="4"/>
      <c r="H197" s="4"/>
    </row>
    <row r="198" spans="1:8" x14ac:dyDescent="0.45">
      <c r="A198" s="1" t="s">
        <v>163</v>
      </c>
      <c r="B198" s="8">
        <v>2675</v>
      </c>
      <c r="C198" s="9">
        <v>17</v>
      </c>
      <c r="D198" s="9">
        <f t="shared" si="18"/>
        <v>45475</v>
      </c>
      <c r="E198" s="9">
        <f t="shared" si="17"/>
        <v>45.475000000000001</v>
      </c>
      <c r="F198" s="9">
        <f t="shared" si="17"/>
        <v>4.5475000000000002E-2</v>
      </c>
      <c r="G198" s="4"/>
      <c r="H198" s="4"/>
    </row>
    <row r="199" spans="1:8" x14ac:dyDescent="0.45">
      <c r="A199" s="1" t="s">
        <v>194</v>
      </c>
      <c r="B199" s="8">
        <v>2624</v>
      </c>
      <c r="C199" s="9">
        <v>5</v>
      </c>
      <c r="D199" s="9">
        <f t="shared" si="18"/>
        <v>13120</v>
      </c>
      <c r="E199" s="9">
        <f t="shared" si="17"/>
        <v>13.12</v>
      </c>
      <c r="F199" s="9">
        <f t="shared" si="17"/>
        <v>1.312E-2</v>
      </c>
      <c r="G199" s="4"/>
      <c r="H199" s="4"/>
    </row>
    <row r="200" spans="1:8" x14ac:dyDescent="0.45">
      <c r="A200" s="1" t="s">
        <v>157</v>
      </c>
      <c r="B200" s="8">
        <v>2596</v>
      </c>
      <c r="C200" s="9">
        <v>31</v>
      </c>
      <c r="D200" s="9">
        <f t="shared" si="18"/>
        <v>80476</v>
      </c>
      <c r="E200" s="9">
        <f t="shared" si="17"/>
        <v>80.475999999999999</v>
      </c>
      <c r="F200" s="9">
        <f t="shared" si="17"/>
        <v>8.0476000000000006E-2</v>
      </c>
      <c r="G200" s="4"/>
      <c r="H200" s="4"/>
    </row>
    <row r="201" spans="1:8" x14ac:dyDescent="0.45">
      <c r="A201" s="1" t="s">
        <v>158</v>
      </c>
      <c r="B201" s="8">
        <v>2581</v>
      </c>
      <c r="G201" s="4"/>
      <c r="H201" s="4"/>
    </row>
    <row r="202" spans="1:8" x14ac:dyDescent="0.45">
      <c r="A202"/>
      <c r="B202" s="2"/>
      <c r="G202" s="4"/>
      <c r="H202" s="4"/>
    </row>
    <row r="203" spans="1:8" x14ac:dyDescent="0.45">
      <c r="A203"/>
      <c r="B203" s="2"/>
      <c r="G203" s="4"/>
      <c r="H203" s="4"/>
    </row>
    <row r="204" spans="1:8" x14ac:dyDescent="0.45">
      <c r="A204"/>
      <c r="B204" s="2"/>
      <c r="G204" s="4"/>
      <c r="H204" s="4"/>
    </row>
    <row r="205" spans="1:8" x14ac:dyDescent="0.45">
      <c r="A205"/>
      <c r="B205" s="2"/>
      <c r="G205" s="4"/>
      <c r="H205" s="4"/>
    </row>
    <row r="206" spans="1:8" x14ac:dyDescent="0.45">
      <c r="A206"/>
      <c r="B206" s="2"/>
      <c r="G206" s="4"/>
      <c r="H206" s="4"/>
    </row>
    <row r="207" spans="1:8" x14ac:dyDescent="0.45">
      <c r="A207"/>
      <c r="B207" s="2"/>
      <c r="G207" s="4"/>
      <c r="H207" s="4"/>
    </row>
    <row r="208" spans="1:8" x14ac:dyDescent="0.45">
      <c r="A208"/>
      <c r="B208" s="2"/>
      <c r="G208" s="4"/>
      <c r="H208" s="4"/>
    </row>
    <row r="209" spans="1:8" x14ac:dyDescent="0.45">
      <c r="A209"/>
      <c r="B209" s="2"/>
      <c r="G209" s="4"/>
      <c r="H209" s="4"/>
    </row>
    <row r="210" spans="1:8" x14ac:dyDescent="0.45">
      <c r="A210"/>
      <c r="B210" s="2"/>
      <c r="G210" s="4"/>
      <c r="H210" s="4"/>
    </row>
    <row r="211" spans="1:8" x14ac:dyDescent="0.45">
      <c r="A211"/>
      <c r="B211" s="2"/>
      <c r="G211" s="4"/>
      <c r="H211" s="4"/>
    </row>
    <row r="212" spans="1:8" x14ac:dyDescent="0.45">
      <c r="A212"/>
      <c r="B212" s="2"/>
      <c r="G212" s="4"/>
      <c r="H212" s="4"/>
    </row>
    <row r="213" spans="1:8" x14ac:dyDescent="0.45">
      <c r="A213"/>
      <c r="B213" s="2"/>
      <c r="G213" s="4"/>
      <c r="H213" s="4"/>
    </row>
    <row r="214" spans="1:8" x14ac:dyDescent="0.45">
      <c r="A214"/>
      <c r="B214" s="2"/>
      <c r="G214" s="4"/>
      <c r="H214" s="4"/>
    </row>
    <row r="215" spans="1:8" x14ac:dyDescent="0.45">
      <c r="A215"/>
      <c r="B215" s="2"/>
      <c r="G215" s="4"/>
      <c r="H215" s="4"/>
    </row>
    <row r="216" spans="1:8" x14ac:dyDescent="0.45">
      <c r="A216"/>
      <c r="B216" s="2"/>
      <c r="G216" s="4"/>
      <c r="H216" s="4"/>
    </row>
    <row r="217" spans="1:8" x14ac:dyDescent="0.45">
      <c r="A217"/>
      <c r="B217" s="2"/>
      <c r="G217" s="4"/>
      <c r="H217" s="4"/>
    </row>
    <row r="218" spans="1:8" x14ac:dyDescent="0.45">
      <c r="A218"/>
      <c r="B218" s="2"/>
      <c r="G218" s="4"/>
      <c r="H218" s="4"/>
    </row>
    <row r="219" spans="1:8" x14ac:dyDescent="0.45">
      <c r="A219"/>
      <c r="B219" s="2"/>
      <c r="G219" s="4"/>
      <c r="H219" s="4"/>
    </row>
    <row r="220" spans="1:8" x14ac:dyDescent="0.45">
      <c r="A220"/>
      <c r="B220" s="2"/>
      <c r="G220" s="4"/>
      <c r="H220" s="4"/>
    </row>
    <row r="221" spans="1:8" x14ac:dyDescent="0.45">
      <c r="A221"/>
      <c r="B221" s="2"/>
      <c r="G221" s="4"/>
      <c r="H221" s="4"/>
    </row>
    <row r="222" spans="1:8" x14ac:dyDescent="0.45">
      <c r="A222"/>
      <c r="B222" s="2"/>
      <c r="G222" s="4"/>
      <c r="H222" s="4"/>
    </row>
    <row r="223" spans="1:8" x14ac:dyDescent="0.45">
      <c r="A223"/>
      <c r="B223" s="2"/>
      <c r="G223" s="4"/>
      <c r="H223" s="4"/>
    </row>
    <row r="224" spans="1:8" x14ac:dyDescent="0.45">
      <c r="A224"/>
      <c r="B224" s="2"/>
      <c r="G224" s="4"/>
      <c r="H224" s="4"/>
    </row>
    <row r="225" spans="1:8" x14ac:dyDescent="0.45">
      <c r="A225"/>
      <c r="B225" s="2"/>
      <c r="G225" s="4"/>
      <c r="H225" s="4"/>
    </row>
    <row r="226" spans="1:8" x14ac:dyDescent="0.45">
      <c r="A226"/>
      <c r="B226" s="2"/>
      <c r="G226" s="4"/>
      <c r="H226" s="4"/>
    </row>
    <row r="227" spans="1:8" x14ac:dyDescent="0.45">
      <c r="A227"/>
      <c r="B227" s="2"/>
      <c r="G227" s="4"/>
      <c r="H227" s="4"/>
    </row>
    <row r="228" spans="1:8" x14ac:dyDescent="0.45">
      <c r="A228"/>
      <c r="B228" s="2"/>
      <c r="G228" s="4"/>
      <c r="H228" s="4"/>
    </row>
    <row r="229" spans="1:8" x14ac:dyDescent="0.45">
      <c r="A229"/>
      <c r="B229" s="2"/>
      <c r="G229" s="4"/>
      <c r="H229" s="4"/>
    </row>
    <row r="230" spans="1:8" x14ac:dyDescent="0.45">
      <c r="A230"/>
      <c r="B230" s="2"/>
      <c r="G230" s="4"/>
      <c r="H230" s="4"/>
    </row>
    <row r="231" spans="1:8" x14ac:dyDescent="0.45">
      <c r="A231"/>
      <c r="B231" s="2"/>
      <c r="G231" s="4"/>
      <c r="H231" s="4"/>
    </row>
    <row r="232" spans="1:8" x14ac:dyDescent="0.45">
      <c r="A232"/>
      <c r="B232" s="2"/>
      <c r="G232" s="4"/>
      <c r="H232" s="4"/>
    </row>
    <row r="233" spans="1:8" x14ac:dyDescent="0.45">
      <c r="A233"/>
      <c r="B233" s="2"/>
      <c r="G233" s="4"/>
      <c r="H233" s="4"/>
    </row>
    <row r="234" spans="1:8" x14ac:dyDescent="0.45">
      <c r="A234"/>
      <c r="B234" s="2"/>
      <c r="G234" s="4"/>
      <c r="H234" s="4"/>
    </row>
    <row r="235" spans="1:8" x14ac:dyDescent="0.45">
      <c r="A235"/>
      <c r="B235" s="2"/>
      <c r="G235" s="4"/>
      <c r="H235" s="4"/>
    </row>
    <row r="236" spans="1:8" x14ac:dyDescent="0.45">
      <c r="A236"/>
      <c r="B236" s="2"/>
      <c r="G236" s="4"/>
      <c r="H236" s="4"/>
    </row>
    <row r="237" spans="1:8" x14ac:dyDescent="0.45">
      <c r="A237"/>
      <c r="B237" s="2"/>
      <c r="G237" s="4"/>
      <c r="H237" s="4"/>
    </row>
    <row r="238" spans="1:8" x14ac:dyDescent="0.45">
      <c r="A238"/>
      <c r="B238" s="2"/>
      <c r="G238" s="4"/>
      <c r="H238" s="4"/>
    </row>
    <row r="239" spans="1:8" x14ac:dyDescent="0.45">
      <c r="A239"/>
      <c r="B239" s="2"/>
      <c r="G239" s="4"/>
      <c r="H239" s="4"/>
    </row>
    <row r="240" spans="1:8" x14ac:dyDescent="0.45">
      <c r="A240"/>
      <c r="B240" s="2"/>
      <c r="G240" s="4"/>
      <c r="H240" s="4"/>
    </row>
    <row r="241" spans="1:8" x14ac:dyDescent="0.45">
      <c r="A241"/>
      <c r="B241" s="2"/>
      <c r="G241" s="4"/>
      <c r="H241" s="4"/>
    </row>
    <row r="242" spans="1:8" x14ac:dyDescent="0.45">
      <c r="A242"/>
      <c r="B242" s="2"/>
      <c r="G242" s="4"/>
      <c r="H242" s="4"/>
    </row>
    <row r="243" spans="1:8" x14ac:dyDescent="0.45">
      <c r="A243"/>
      <c r="B243" s="2"/>
      <c r="G243" s="4"/>
      <c r="H243" s="4"/>
    </row>
    <row r="244" spans="1:8" x14ac:dyDescent="0.45">
      <c r="A244"/>
      <c r="B244" s="2"/>
      <c r="G244" s="4"/>
      <c r="H244" s="4"/>
    </row>
    <row r="245" spans="1:8" x14ac:dyDescent="0.45">
      <c r="A245"/>
      <c r="B245" s="2"/>
      <c r="G245" s="4"/>
      <c r="H245" s="4"/>
    </row>
    <row r="246" spans="1:8" x14ac:dyDescent="0.45">
      <c r="A246"/>
      <c r="B246" s="2"/>
      <c r="G246" s="4"/>
      <c r="H246" s="4"/>
    </row>
    <row r="247" spans="1:8" x14ac:dyDescent="0.45">
      <c r="A247"/>
      <c r="B247" s="2"/>
      <c r="G247" s="4"/>
      <c r="H247" s="4"/>
    </row>
    <row r="248" spans="1:8" x14ac:dyDescent="0.45">
      <c r="A248"/>
      <c r="B248" s="2"/>
      <c r="G248" s="4"/>
      <c r="H248" s="4"/>
    </row>
    <row r="249" spans="1:8" x14ac:dyDescent="0.45">
      <c r="A249"/>
      <c r="B249" s="2"/>
      <c r="G249" s="4"/>
      <c r="H249" s="4"/>
    </row>
    <row r="250" spans="1:8" x14ac:dyDescent="0.45">
      <c r="A250"/>
      <c r="B250" s="2"/>
      <c r="G250" s="4"/>
      <c r="H250" s="4"/>
    </row>
    <row r="251" spans="1:8" x14ac:dyDescent="0.45">
      <c r="A251"/>
      <c r="B251" s="2"/>
      <c r="G251" s="4"/>
      <c r="H251" s="4"/>
    </row>
    <row r="252" spans="1:8" x14ac:dyDescent="0.45">
      <c r="A252"/>
      <c r="B252" s="2"/>
      <c r="G252" s="4"/>
      <c r="H252" s="4"/>
    </row>
    <row r="253" spans="1:8" x14ac:dyDescent="0.45">
      <c r="A253"/>
      <c r="B253" s="2"/>
      <c r="G253" s="4"/>
      <c r="H253" s="4"/>
    </row>
    <row r="254" spans="1:8" x14ac:dyDescent="0.45">
      <c r="A254"/>
      <c r="B254" s="2"/>
      <c r="G254" s="4"/>
      <c r="H254" s="4"/>
    </row>
    <row r="255" spans="1:8" x14ac:dyDescent="0.45">
      <c r="A255"/>
      <c r="B255" s="2"/>
      <c r="G255" s="4"/>
      <c r="H255" s="4"/>
    </row>
    <row r="256" spans="1:8" x14ac:dyDescent="0.45">
      <c r="A256"/>
      <c r="B256" s="2"/>
      <c r="G256" s="4"/>
      <c r="H256" s="4"/>
    </row>
    <row r="257" spans="1:8" x14ac:dyDescent="0.45">
      <c r="A257"/>
      <c r="B257" s="2"/>
      <c r="G257" s="4"/>
      <c r="H257" s="4"/>
    </row>
    <row r="258" spans="1:8" x14ac:dyDescent="0.45">
      <c r="A258"/>
      <c r="B258" s="2"/>
      <c r="G258" s="4"/>
      <c r="H258" s="4"/>
    </row>
    <row r="259" spans="1:8" x14ac:dyDescent="0.45">
      <c r="A259"/>
      <c r="B259" s="2"/>
      <c r="G259" s="4"/>
      <c r="H259" s="4"/>
    </row>
    <row r="260" spans="1:8" x14ac:dyDescent="0.45">
      <c r="A260"/>
      <c r="B260" s="2"/>
      <c r="G260" s="4"/>
      <c r="H260" s="4"/>
    </row>
    <row r="261" spans="1:8" x14ac:dyDescent="0.45">
      <c r="A261"/>
      <c r="B261" s="2"/>
      <c r="G261" s="4"/>
      <c r="H261" s="4"/>
    </row>
    <row r="262" spans="1:8" x14ac:dyDescent="0.45">
      <c r="A262"/>
      <c r="B262" s="2"/>
      <c r="G262" s="4"/>
      <c r="H262" s="4"/>
    </row>
    <row r="263" spans="1:8" x14ac:dyDescent="0.45">
      <c r="A263"/>
      <c r="B263" s="2"/>
      <c r="G263" s="4"/>
      <c r="H263" s="4"/>
    </row>
    <row r="264" spans="1:8" x14ac:dyDescent="0.45">
      <c r="A264"/>
      <c r="B264" s="2"/>
      <c r="G264" s="4"/>
      <c r="H264" s="4"/>
    </row>
    <row r="265" spans="1:8" x14ac:dyDescent="0.45">
      <c r="A265"/>
      <c r="B265" s="2"/>
      <c r="G265" s="4"/>
      <c r="H265" s="4"/>
    </row>
    <row r="266" spans="1:8" x14ac:dyDescent="0.45">
      <c r="A266"/>
      <c r="B266" s="2"/>
      <c r="G266" s="4"/>
      <c r="H266" s="4"/>
    </row>
    <row r="267" spans="1:8" x14ac:dyDescent="0.45">
      <c r="A267"/>
      <c r="B267" s="2"/>
      <c r="G267" s="4"/>
      <c r="H267" s="4"/>
    </row>
    <row r="268" spans="1:8" x14ac:dyDescent="0.45">
      <c r="A268"/>
      <c r="B268" s="2"/>
      <c r="G268" s="4"/>
      <c r="H268" s="4"/>
    </row>
    <row r="269" spans="1:8" x14ac:dyDescent="0.45">
      <c r="A269"/>
      <c r="B269" s="2"/>
      <c r="G269" s="4"/>
      <c r="H269" s="4"/>
    </row>
    <row r="270" spans="1:8" x14ac:dyDescent="0.45">
      <c r="A270"/>
      <c r="B270" s="2"/>
      <c r="G270" s="4"/>
      <c r="H270" s="4"/>
    </row>
    <row r="271" spans="1:8" x14ac:dyDescent="0.45">
      <c r="A271"/>
      <c r="B271" s="2"/>
      <c r="G271" s="4"/>
      <c r="H271" s="4"/>
    </row>
    <row r="272" spans="1:8" x14ac:dyDescent="0.45">
      <c r="A272"/>
      <c r="B272" s="2"/>
      <c r="G272" s="4"/>
      <c r="H272" s="4"/>
    </row>
    <row r="273" spans="1:8" x14ac:dyDescent="0.45">
      <c r="A273"/>
      <c r="B273" s="2"/>
      <c r="G273" s="4"/>
      <c r="H273" s="4"/>
    </row>
    <row r="274" spans="1:8" x14ac:dyDescent="0.45">
      <c r="A274"/>
      <c r="B274" s="2"/>
      <c r="G274" s="4"/>
      <c r="H274" s="4"/>
    </row>
    <row r="275" spans="1:8" x14ac:dyDescent="0.45">
      <c r="A275"/>
      <c r="B275" s="2"/>
      <c r="G275" s="4"/>
      <c r="H275" s="4"/>
    </row>
    <row r="276" spans="1:8" x14ac:dyDescent="0.45">
      <c r="A276"/>
      <c r="B276" s="2"/>
      <c r="G276" s="4"/>
      <c r="H276" s="4"/>
    </row>
    <row r="277" spans="1:8" x14ac:dyDescent="0.45">
      <c r="A277"/>
      <c r="B277" s="2"/>
      <c r="G277" s="4"/>
      <c r="H277" s="4"/>
    </row>
    <row r="278" spans="1:8" x14ac:dyDescent="0.45">
      <c r="A278"/>
      <c r="B278" s="2"/>
      <c r="G278" s="4"/>
      <c r="H278" s="4"/>
    </row>
    <row r="279" spans="1:8" x14ac:dyDescent="0.45">
      <c r="A279"/>
      <c r="B279" s="2"/>
      <c r="G279" s="4"/>
      <c r="H279" s="4"/>
    </row>
    <row r="280" spans="1:8" x14ac:dyDescent="0.45">
      <c r="A280"/>
      <c r="B280" s="2"/>
      <c r="G280" s="4"/>
      <c r="H280" s="4"/>
    </row>
    <row r="281" spans="1:8" x14ac:dyDescent="0.45">
      <c r="A281"/>
      <c r="B281" s="2"/>
      <c r="G281" s="4"/>
      <c r="H281" s="4"/>
    </row>
    <row r="282" spans="1:8" x14ac:dyDescent="0.45">
      <c r="A282"/>
      <c r="B282" s="2"/>
      <c r="G282" s="4"/>
      <c r="H282" s="4"/>
    </row>
    <row r="283" spans="1:8" x14ac:dyDescent="0.45">
      <c r="A283"/>
      <c r="B283" s="2"/>
      <c r="G283" s="4"/>
      <c r="H283" s="4"/>
    </row>
    <row r="284" spans="1:8" x14ac:dyDescent="0.45">
      <c r="A284"/>
      <c r="B284" s="2"/>
      <c r="G284" s="4"/>
      <c r="H284" s="4"/>
    </row>
    <row r="285" spans="1:8" x14ac:dyDescent="0.45">
      <c r="A285"/>
      <c r="B285" s="2"/>
      <c r="G285" s="4"/>
      <c r="H285" s="4"/>
    </row>
    <row r="286" spans="1:8" x14ac:dyDescent="0.45">
      <c r="A286"/>
      <c r="B286" s="2"/>
      <c r="G286" s="4"/>
      <c r="H286" s="4"/>
    </row>
    <row r="287" spans="1:8" x14ac:dyDescent="0.45">
      <c r="A287"/>
      <c r="B287" s="2"/>
      <c r="G287" s="4"/>
      <c r="H287" s="4"/>
    </row>
    <row r="288" spans="1:8" x14ac:dyDescent="0.45">
      <c r="A288"/>
      <c r="B288" s="2"/>
      <c r="G288" s="4"/>
      <c r="H288" s="4"/>
    </row>
    <row r="289" spans="1:8" x14ac:dyDescent="0.45">
      <c r="A289"/>
      <c r="B289" s="2"/>
      <c r="G289" s="4"/>
      <c r="H289" s="4"/>
    </row>
    <row r="290" spans="1:8" x14ac:dyDescent="0.45">
      <c r="A290"/>
      <c r="B290" s="2"/>
      <c r="G290" s="4"/>
      <c r="H290" s="4"/>
    </row>
    <row r="291" spans="1:8" x14ac:dyDescent="0.45">
      <c r="A291"/>
      <c r="B291" s="2"/>
      <c r="G291" s="4"/>
      <c r="H291" s="4"/>
    </row>
    <row r="292" spans="1:8" x14ac:dyDescent="0.45">
      <c r="A292"/>
      <c r="B292" s="2"/>
      <c r="G292" s="4"/>
      <c r="H292" s="4"/>
    </row>
    <row r="293" spans="1:8" x14ac:dyDescent="0.45">
      <c r="A293"/>
      <c r="B293" s="2"/>
      <c r="G293" s="4"/>
      <c r="H293" s="4"/>
    </row>
    <row r="294" spans="1:8" x14ac:dyDescent="0.45">
      <c r="A294"/>
      <c r="B294" s="2"/>
      <c r="G294" s="4"/>
      <c r="H294" s="4"/>
    </row>
    <row r="295" spans="1:8" x14ac:dyDescent="0.45">
      <c r="A295"/>
      <c r="B295" s="2"/>
      <c r="G295" s="4"/>
      <c r="H295" s="4"/>
    </row>
    <row r="296" spans="1:8" x14ac:dyDescent="0.45">
      <c r="A296"/>
      <c r="B296" s="2"/>
      <c r="G296" s="4"/>
      <c r="H296" s="4"/>
    </row>
    <row r="297" spans="1:8" x14ac:dyDescent="0.45">
      <c r="A297"/>
      <c r="B297" s="2"/>
      <c r="G297" s="4"/>
      <c r="H297" s="4"/>
    </row>
    <row r="298" spans="1:8" x14ac:dyDescent="0.45">
      <c r="A298"/>
      <c r="B298" s="2"/>
      <c r="G298" s="4"/>
      <c r="H298" s="4"/>
    </row>
    <row r="299" spans="1:8" x14ac:dyDescent="0.45">
      <c r="A299"/>
      <c r="B299" s="2"/>
      <c r="G299" s="4"/>
      <c r="H299" s="4"/>
    </row>
    <row r="300" spans="1:8" x14ac:dyDescent="0.45">
      <c r="A300"/>
      <c r="B300" s="2"/>
      <c r="G300" s="4"/>
      <c r="H300" s="4"/>
    </row>
    <row r="301" spans="1:8" x14ac:dyDescent="0.45">
      <c r="A301"/>
      <c r="B301" s="2"/>
      <c r="G301" s="4"/>
      <c r="H301" s="4"/>
    </row>
    <row r="302" spans="1:8" x14ac:dyDescent="0.45">
      <c r="A302"/>
      <c r="B302" s="2"/>
      <c r="G302" s="4"/>
      <c r="H302" s="4"/>
    </row>
    <row r="303" spans="1:8" x14ac:dyDescent="0.45">
      <c r="A303"/>
      <c r="B303" s="2"/>
      <c r="G303" s="4"/>
      <c r="H303" s="4"/>
    </row>
    <row r="304" spans="1:8" x14ac:dyDescent="0.45">
      <c r="A304"/>
      <c r="B304" s="2"/>
      <c r="G304" s="4"/>
      <c r="H304" s="4"/>
    </row>
    <row r="305" spans="1:8" x14ac:dyDescent="0.45">
      <c r="A305"/>
      <c r="B305" s="2"/>
      <c r="G305" s="4"/>
      <c r="H305" s="4"/>
    </row>
    <row r="306" spans="1:8" x14ac:dyDescent="0.45">
      <c r="A306"/>
      <c r="B306" s="2"/>
      <c r="G306" s="4"/>
      <c r="H306" s="4"/>
    </row>
    <row r="307" spans="1:8" x14ac:dyDescent="0.45">
      <c r="A307"/>
      <c r="B307" s="2"/>
      <c r="G307" s="4"/>
      <c r="H307" s="4"/>
    </row>
    <row r="308" spans="1:8" x14ac:dyDescent="0.45">
      <c r="A308"/>
      <c r="B308" s="2"/>
      <c r="G308" s="4"/>
      <c r="H308" s="4"/>
    </row>
    <row r="309" spans="1:8" x14ac:dyDescent="0.45">
      <c r="A309"/>
      <c r="B309" s="2"/>
      <c r="G309" s="4"/>
      <c r="H309" s="4"/>
    </row>
    <row r="310" spans="1:8" x14ac:dyDescent="0.45">
      <c r="A310"/>
      <c r="B310" s="2"/>
      <c r="G310" s="4"/>
      <c r="H310" s="4"/>
    </row>
    <row r="311" spans="1:8" x14ac:dyDescent="0.45">
      <c r="A311"/>
      <c r="B311" s="2"/>
      <c r="G311" s="4"/>
      <c r="H311" s="4"/>
    </row>
    <row r="312" spans="1:8" x14ac:dyDescent="0.45">
      <c r="A312"/>
      <c r="B312" s="2"/>
      <c r="G312" s="4"/>
      <c r="H312" s="4"/>
    </row>
    <row r="313" spans="1:8" x14ac:dyDescent="0.45">
      <c r="A313"/>
      <c r="B313" s="2"/>
      <c r="G313" s="4"/>
      <c r="H313" s="4"/>
    </row>
    <row r="314" spans="1:8" x14ac:dyDescent="0.45">
      <c r="A314"/>
      <c r="B314" s="2"/>
      <c r="G314" s="4"/>
      <c r="H314" s="4"/>
    </row>
    <row r="315" spans="1:8" x14ac:dyDescent="0.45">
      <c r="A315"/>
      <c r="B315" s="2"/>
      <c r="G315" s="4"/>
      <c r="H315" s="4"/>
    </row>
    <row r="316" spans="1:8" x14ac:dyDescent="0.45">
      <c r="A316"/>
      <c r="B316" s="2"/>
      <c r="G316" s="4"/>
      <c r="H316" s="4"/>
    </row>
    <row r="317" spans="1:8" x14ac:dyDescent="0.45">
      <c r="A317"/>
      <c r="B317" s="2"/>
      <c r="G317" s="4"/>
      <c r="H317" s="4"/>
    </row>
    <row r="318" spans="1:8" x14ac:dyDescent="0.45">
      <c r="A318"/>
      <c r="B318" s="2"/>
      <c r="G318" s="4"/>
      <c r="H318" s="4"/>
    </row>
    <row r="319" spans="1:8" x14ac:dyDescent="0.45">
      <c r="A319"/>
      <c r="B319" s="2"/>
      <c r="G319" s="4"/>
      <c r="H319" s="4"/>
    </row>
    <row r="320" spans="1:8" x14ac:dyDescent="0.45">
      <c r="A320"/>
      <c r="B320" s="2"/>
      <c r="G320" s="4"/>
      <c r="H320" s="4"/>
    </row>
    <row r="321" spans="1:8" x14ac:dyDescent="0.45">
      <c r="A321"/>
      <c r="B321" s="2"/>
      <c r="G321" s="4"/>
      <c r="H321" s="4"/>
    </row>
    <row r="322" spans="1:8" x14ac:dyDescent="0.45">
      <c r="A322"/>
      <c r="B322" s="2"/>
      <c r="G322" s="4"/>
      <c r="H322" s="4"/>
    </row>
    <row r="323" spans="1:8" x14ac:dyDescent="0.45">
      <c r="A323"/>
      <c r="B323" s="2"/>
      <c r="G323" s="4"/>
      <c r="H323" s="4"/>
    </row>
    <row r="324" spans="1:8" x14ac:dyDescent="0.45">
      <c r="A324"/>
      <c r="B324" s="2"/>
      <c r="G324" s="4"/>
      <c r="H324" s="4"/>
    </row>
    <row r="325" spans="1:8" x14ac:dyDescent="0.45">
      <c r="A325"/>
      <c r="B325" s="2"/>
      <c r="G325" s="4"/>
      <c r="H325" s="4"/>
    </row>
    <row r="326" spans="1:8" x14ac:dyDescent="0.45">
      <c r="A326"/>
      <c r="B326" s="2"/>
      <c r="G326" s="4"/>
      <c r="H326" s="4"/>
    </row>
    <row r="327" spans="1:8" x14ac:dyDescent="0.45">
      <c r="A327"/>
      <c r="B327" s="2"/>
      <c r="G327" s="4"/>
      <c r="H327" s="4"/>
    </row>
    <row r="328" spans="1:8" x14ac:dyDescent="0.45">
      <c r="A328"/>
      <c r="B328" s="2"/>
      <c r="G328" s="4"/>
      <c r="H328" s="4"/>
    </row>
    <row r="329" spans="1:8" x14ac:dyDescent="0.45">
      <c r="A329"/>
      <c r="B329" s="2"/>
      <c r="G329" s="4"/>
      <c r="H329" s="4"/>
    </row>
    <row r="330" spans="1:8" x14ac:dyDescent="0.45">
      <c r="A330"/>
      <c r="B330" s="2"/>
      <c r="G330" s="4"/>
      <c r="H330" s="4"/>
    </row>
    <row r="331" spans="1:8" x14ac:dyDescent="0.45">
      <c r="A331"/>
      <c r="B331" s="2"/>
      <c r="G331" s="4"/>
      <c r="H331" s="4"/>
    </row>
    <row r="332" spans="1:8" x14ac:dyDescent="0.45">
      <c r="A332"/>
      <c r="B332" s="2"/>
      <c r="G332" s="4"/>
      <c r="H332" s="4"/>
    </row>
    <row r="333" spans="1:8" x14ac:dyDescent="0.45">
      <c r="A333"/>
      <c r="B333" s="2"/>
      <c r="G333" s="4"/>
      <c r="H333" s="4"/>
    </row>
    <row r="334" spans="1:8" x14ac:dyDescent="0.45">
      <c r="A334"/>
      <c r="B334" s="2"/>
      <c r="G334" s="4"/>
      <c r="H334" s="4"/>
    </row>
    <row r="335" spans="1:8" x14ac:dyDescent="0.45">
      <c r="A335"/>
      <c r="B335" s="2"/>
      <c r="G335" s="4"/>
      <c r="H335" s="4"/>
    </row>
    <row r="336" spans="1:8" x14ac:dyDescent="0.45">
      <c r="A336"/>
      <c r="B336" s="2"/>
      <c r="G336" s="4"/>
      <c r="H336" s="4"/>
    </row>
    <row r="337" spans="1:8" x14ac:dyDescent="0.45">
      <c r="A337"/>
      <c r="B337" s="2"/>
      <c r="G337" s="4"/>
      <c r="H337" s="4"/>
    </row>
    <row r="338" spans="1:8" x14ac:dyDescent="0.45">
      <c r="A338"/>
      <c r="B338" s="2"/>
      <c r="G338" s="4"/>
      <c r="H338" s="4"/>
    </row>
    <row r="339" spans="1:8" x14ac:dyDescent="0.45">
      <c r="A339"/>
      <c r="B339" s="2"/>
      <c r="G339" s="4"/>
      <c r="H339" s="4"/>
    </row>
    <row r="340" spans="1:8" x14ac:dyDescent="0.45">
      <c r="A340"/>
      <c r="B340" s="2"/>
      <c r="G340" s="4"/>
      <c r="H340" s="4"/>
    </row>
    <row r="341" spans="1:8" x14ac:dyDescent="0.45">
      <c r="A341"/>
      <c r="B341" s="2"/>
      <c r="G341" s="4"/>
      <c r="H341" s="4"/>
    </row>
    <row r="342" spans="1:8" x14ac:dyDescent="0.45">
      <c r="A342"/>
      <c r="B342" s="2"/>
      <c r="G342" s="4"/>
      <c r="H342" s="4"/>
    </row>
    <row r="343" spans="1:8" x14ac:dyDescent="0.45">
      <c r="A343"/>
      <c r="B343" s="2"/>
      <c r="G343" s="4"/>
      <c r="H343" s="4"/>
    </row>
    <row r="344" spans="1:8" x14ac:dyDescent="0.45">
      <c r="A344"/>
      <c r="B344" s="2"/>
      <c r="G344" s="4"/>
      <c r="H344" s="4"/>
    </row>
    <row r="345" spans="1:8" x14ac:dyDescent="0.45">
      <c r="A345"/>
      <c r="B345" s="2"/>
      <c r="G345" s="4"/>
      <c r="H345" s="4"/>
    </row>
    <row r="346" spans="1:8" x14ac:dyDescent="0.45">
      <c r="A346"/>
      <c r="B346" s="2"/>
      <c r="G346" s="4"/>
      <c r="H346" s="4"/>
    </row>
    <row r="347" spans="1:8" x14ac:dyDescent="0.45">
      <c r="A347"/>
      <c r="B347" s="2"/>
      <c r="G347" s="4"/>
      <c r="H347" s="4"/>
    </row>
    <row r="348" spans="1:8" x14ac:dyDescent="0.45">
      <c r="A348"/>
      <c r="B348" s="2"/>
      <c r="G348" s="4"/>
      <c r="H348" s="4"/>
    </row>
    <row r="349" spans="1:8" x14ac:dyDescent="0.45">
      <c r="A349"/>
      <c r="B349" s="2"/>
      <c r="G349" s="4"/>
      <c r="H349" s="4"/>
    </row>
    <row r="350" spans="1:8" x14ac:dyDescent="0.45">
      <c r="A350"/>
      <c r="B350" s="2"/>
      <c r="G350" s="4"/>
      <c r="H350" s="4"/>
    </row>
    <row r="351" spans="1:8" x14ac:dyDescent="0.45">
      <c r="A351"/>
      <c r="B351" s="2"/>
      <c r="G351" s="4"/>
      <c r="H351" s="4"/>
    </row>
    <row r="352" spans="1:8" x14ac:dyDescent="0.45">
      <c r="A352"/>
      <c r="B352" s="2"/>
      <c r="G352" s="4"/>
      <c r="H352" s="4"/>
    </row>
    <row r="353" spans="1:8" x14ac:dyDescent="0.45">
      <c r="A353"/>
      <c r="B353" s="2"/>
      <c r="G353" s="4"/>
      <c r="H353" s="4"/>
    </row>
    <row r="354" spans="1:8" x14ac:dyDescent="0.45">
      <c r="A354"/>
      <c r="B354" s="2"/>
      <c r="G354" s="4"/>
      <c r="H354" s="4"/>
    </row>
    <row r="355" spans="1:8" x14ac:dyDescent="0.45">
      <c r="A355"/>
      <c r="B355" s="2"/>
      <c r="G355" s="4"/>
      <c r="H355" s="4"/>
    </row>
    <row r="356" spans="1:8" x14ac:dyDescent="0.45">
      <c r="A356"/>
      <c r="B356" s="2"/>
      <c r="G356" s="4"/>
      <c r="H356" s="4"/>
    </row>
    <row r="357" spans="1:8" x14ac:dyDescent="0.45">
      <c r="A357"/>
      <c r="B357" s="2"/>
      <c r="G357" s="4"/>
      <c r="H357" s="4"/>
    </row>
    <row r="358" spans="1:8" x14ac:dyDescent="0.45">
      <c r="A358"/>
      <c r="B358" s="2"/>
      <c r="G358" s="4"/>
      <c r="H358" s="4"/>
    </row>
    <row r="359" spans="1:8" x14ac:dyDescent="0.45">
      <c r="A359"/>
      <c r="B359" s="2"/>
      <c r="G359" s="4"/>
      <c r="H359" s="4"/>
    </row>
    <row r="360" spans="1:8" x14ac:dyDescent="0.45">
      <c r="A360"/>
      <c r="B360" s="2"/>
      <c r="G360" s="4"/>
      <c r="H360" s="4"/>
    </row>
    <row r="361" spans="1:8" x14ac:dyDescent="0.45">
      <c r="A361"/>
      <c r="B361" s="2"/>
      <c r="G361" s="4"/>
      <c r="H361" s="4"/>
    </row>
    <row r="362" spans="1:8" x14ac:dyDescent="0.45">
      <c r="A362"/>
      <c r="B362" s="2"/>
      <c r="G362" s="4"/>
      <c r="H362" s="4"/>
    </row>
    <row r="363" spans="1:8" x14ac:dyDescent="0.45">
      <c r="A363"/>
      <c r="B363" s="2"/>
      <c r="G363" s="4"/>
      <c r="H363" s="4"/>
    </row>
    <row r="364" spans="1:8" x14ac:dyDescent="0.45">
      <c r="A364"/>
      <c r="B364" s="2"/>
      <c r="G364" s="4"/>
      <c r="H364" s="4"/>
    </row>
    <row r="365" spans="1:8" x14ac:dyDescent="0.45">
      <c r="A365"/>
      <c r="B365" s="2"/>
      <c r="G365" s="4"/>
      <c r="H365" s="4"/>
    </row>
    <row r="366" spans="1:8" x14ac:dyDescent="0.45">
      <c r="A366"/>
      <c r="B366" s="2"/>
      <c r="G366" s="4"/>
      <c r="H366" s="4"/>
    </row>
    <row r="367" spans="1:8" x14ac:dyDescent="0.45">
      <c r="A367"/>
      <c r="B367" s="2"/>
      <c r="G367" s="4"/>
      <c r="H367" s="4"/>
    </row>
    <row r="368" spans="1:8" x14ac:dyDescent="0.45">
      <c r="A368"/>
      <c r="B368" s="2"/>
      <c r="G368" s="4"/>
      <c r="H368" s="4"/>
    </row>
    <row r="369" spans="1:8" x14ac:dyDescent="0.45">
      <c r="A369"/>
      <c r="B369" s="2"/>
      <c r="G369" s="4"/>
      <c r="H369" s="4"/>
    </row>
    <row r="370" spans="1:8" x14ac:dyDescent="0.45">
      <c r="A370"/>
      <c r="B370" s="2"/>
      <c r="G370" s="4"/>
      <c r="H37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07D4-FF2E-4D42-BF2F-C5BA4FEDDEDF}">
  <dimension ref="A1:E39"/>
  <sheetViews>
    <sheetView workbookViewId="0"/>
  </sheetViews>
  <sheetFormatPr baseColWidth="10" defaultRowHeight="14.25" x14ac:dyDescent="0.45"/>
  <cols>
    <col min="1" max="1" width="59.53125" bestFit="1" customWidth="1"/>
    <col min="2" max="2" width="11.46484375" style="2"/>
    <col min="3" max="3" width="16.53125" bestFit="1" customWidth="1"/>
  </cols>
  <sheetData>
    <row r="1" spans="1:5" ht="15" x14ac:dyDescent="0.45">
      <c r="A1" s="30" t="s">
        <v>216</v>
      </c>
      <c r="B1" s="30" t="s">
        <v>217</v>
      </c>
      <c r="C1" s="30" t="s">
        <v>259</v>
      </c>
      <c r="D1" s="31"/>
      <c r="E1" s="31"/>
    </row>
    <row r="2" spans="1:5" ht="15.4" x14ac:dyDescent="0.45">
      <c r="A2" s="32" t="s">
        <v>208</v>
      </c>
      <c r="B2" s="32" t="s">
        <v>249</v>
      </c>
      <c r="C2" s="33">
        <v>98.665999999999997</v>
      </c>
      <c r="D2" s="31"/>
      <c r="E2" s="31"/>
    </row>
    <row r="3" spans="1:5" ht="15.4" x14ac:dyDescent="0.45">
      <c r="A3" s="32" t="s">
        <v>207</v>
      </c>
      <c r="B3" s="32" t="s">
        <v>250</v>
      </c>
      <c r="C3" s="33">
        <v>94</v>
      </c>
      <c r="D3" s="31"/>
      <c r="E3" s="31"/>
    </row>
    <row r="4" spans="1:5" ht="15.4" x14ac:dyDescent="0.45">
      <c r="A4" s="32" t="s">
        <v>206</v>
      </c>
      <c r="B4" s="32" t="s">
        <v>251</v>
      </c>
      <c r="C4" s="33">
        <v>55.58</v>
      </c>
      <c r="D4" s="31"/>
      <c r="E4" s="31"/>
    </row>
    <row r="5" spans="1:5" ht="15.4" x14ac:dyDescent="0.45">
      <c r="A5" s="32" t="s">
        <v>205</v>
      </c>
      <c r="B5" s="32" t="s">
        <v>252</v>
      </c>
      <c r="C5" s="33">
        <v>60</v>
      </c>
      <c r="D5" s="31"/>
      <c r="E5" s="31"/>
    </row>
    <row r="6" spans="1:5" ht="15.4" x14ac:dyDescent="0.45">
      <c r="A6" s="32" t="s">
        <v>204</v>
      </c>
      <c r="B6" s="32" t="s">
        <v>253</v>
      </c>
      <c r="C6" s="33">
        <v>19.45</v>
      </c>
      <c r="D6" s="31"/>
      <c r="E6" s="31"/>
    </row>
    <row r="7" spans="1:5" ht="15.4" x14ac:dyDescent="0.45">
      <c r="A7" s="32" t="s">
        <v>201</v>
      </c>
      <c r="B7" s="32" t="s">
        <v>254</v>
      </c>
      <c r="C7" s="33">
        <v>72.5</v>
      </c>
      <c r="D7" s="31"/>
      <c r="E7" s="31"/>
    </row>
    <row r="8" spans="1:5" ht="15.4" x14ac:dyDescent="0.45">
      <c r="A8" s="32" t="s">
        <v>200</v>
      </c>
      <c r="B8" s="32" t="s">
        <v>255</v>
      </c>
      <c r="C8" s="33">
        <v>14.65</v>
      </c>
      <c r="D8" s="31"/>
      <c r="E8" s="31"/>
    </row>
    <row r="9" spans="1:5" ht="15.4" x14ac:dyDescent="0.45">
      <c r="A9" s="32" t="s">
        <v>199</v>
      </c>
      <c r="B9" s="32" t="s">
        <v>256</v>
      </c>
      <c r="C9" s="33">
        <v>14.65</v>
      </c>
      <c r="D9" s="31"/>
      <c r="E9" s="31"/>
    </row>
    <row r="10" spans="1:5" ht="15.4" x14ac:dyDescent="0.45">
      <c r="A10" s="32" t="s">
        <v>203</v>
      </c>
      <c r="B10" s="32" t="s">
        <v>257</v>
      </c>
      <c r="C10" s="33">
        <v>33</v>
      </c>
      <c r="D10" s="31"/>
      <c r="E10" s="31"/>
    </row>
    <row r="11" spans="1:5" ht="15.4" x14ac:dyDescent="0.45">
      <c r="A11" s="34" t="s">
        <v>202</v>
      </c>
      <c r="B11" s="34" t="s">
        <v>258</v>
      </c>
      <c r="C11" s="35">
        <v>85</v>
      </c>
      <c r="D11" s="31"/>
      <c r="E11" s="31"/>
    </row>
    <row r="12" spans="1:5" x14ac:dyDescent="0.45">
      <c r="A12" s="31"/>
      <c r="B12" s="36"/>
      <c r="C12" s="37">
        <f>AVERAGE(C2:C11)</f>
        <v>54.749599999999987</v>
      </c>
      <c r="D12" s="31" t="s">
        <v>261</v>
      </c>
      <c r="E12" s="31"/>
    </row>
    <row r="13" spans="1:5" x14ac:dyDescent="0.45">
      <c r="A13" s="31"/>
      <c r="B13" s="36"/>
      <c r="C13" s="37" t="s">
        <v>260</v>
      </c>
      <c r="D13" s="31"/>
      <c r="E13" s="31"/>
    </row>
    <row r="14" spans="1:5" x14ac:dyDescent="0.45">
      <c r="A14" s="31"/>
      <c r="B14" s="36"/>
      <c r="C14" s="31"/>
      <c r="D14" s="31"/>
      <c r="E14" s="31"/>
    </row>
    <row r="15" spans="1:5" x14ac:dyDescent="0.45">
      <c r="A15" s="31"/>
      <c r="B15" s="36"/>
      <c r="C15" s="31"/>
      <c r="D15" s="31"/>
      <c r="E15" s="31"/>
    </row>
    <row r="27" spans="1:3" ht="15" x14ac:dyDescent="0.45">
      <c r="A27" s="12" t="s">
        <v>216</v>
      </c>
      <c r="B27" s="12" t="s">
        <v>217</v>
      </c>
      <c r="C27" s="12" t="s">
        <v>259</v>
      </c>
    </row>
    <row r="28" spans="1:3" ht="15.4" x14ac:dyDescent="0.45">
      <c r="A28" s="25" t="s">
        <v>208</v>
      </c>
      <c r="B28" s="13" t="s">
        <v>249</v>
      </c>
      <c r="C28" s="16">
        <v>98.665999999999997</v>
      </c>
    </row>
    <row r="29" spans="1:3" ht="15.4" x14ac:dyDescent="0.45">
      <c r="A29" s="25" t="s">
        <v>207</v>
      </c>
      <c r="B29" s="13" t="s">
        <v>250</v>
      </c>
      <c r="C29" s="16">
        <v>94</v>
      </c>
    </row>
    <row r="30" spans="1:3" ht="15.4" x14ac:dyDescent="0.45">
      <c r="A30" s="29" t="s">
        <v>206</v>
      </c>
      <c r="B30" s="13" t="s">
        <v>251</v>
      </c>
      <c r="C30" s="16">
        <v>55.58</v>
      </c>
    </row>
    <row r="31" spans="1:3" ht="15.4" x14ac:dyDescent="0.45">
      <c r="A31" s="27" t="s">
        <v>205</v>
      </c>
      <c r="B31" s="13" t="s">
        <v>252</v>
      </c>
      <c r="C31" s="16">
        <v>60</v>
      </c>
    </row>
    <row r="32" spans="1:3" ht="15.4" x14ac:dyDescent="0.45">
      <c r="A32" s="26" t="s">
        <v>204</v>
      </c>
      <c r="B32" s="13" t="s">
        <v>253</v>
      </c>
      <c r="C32" s="16">
        <v>19.45</v>
      </c>
    </row>
    <row r="33" spans="1:4" ht="15.4" x14ac:dyDescent="0.45">
      <c r="A33" s="25" t="s">
        <v>201</v>
      </c>
      <c r="B33" s="13" t="s">
        <v>254</v>
      </c>
      <c r="C33" s="16">
        <v>72.5</v>
      </c>
    </row>
    <row r="34" spans="1:4" ht="15.4" x14ac:dyDescent="0.45">
      <c r="A34" s="26" t="s">
        <v>200</v>
      </c>
      <c r="B34" s="13" t="s">
        <v>255</v>
      </c>
      <c r="C34" s="16">
        <v>14.65</v>
      </c>
    </row>
    <row r="35" spans="1:4" ht="15.4" x14ac:dyDescent="0.45">
      <c r="A35" s="26" t="s">
        <v>199</v>
      </c>
      <c r="B35" s="13" t="s">
        <v>256</v>
      </c>
      <c r="C35" s="16">
        <v>14.65</v>
      </c>
    </row>
    <row r="36" spans="1:4" ht="15.4" x14ac:dyDescent="0.45">
      <c r="A36" s="26" t="s">
        <v>203</v>
      </c>
      <c r="B36" s="13" t="s">
        <v>257</v>
      </c>
      <c r="C36" s="16">
        <v>33</v>
      </c>
    </row>
    <row r="37" spans="1:4" ht="15.4" x14ac:dyDescent="0.45">
      <c r="A37" s="28" t="s">
        <v>202</v>
      </c>
      <c r="B37" s="14" t="s">
        <v>258</v>
      </c>
      <c r="C37" s="17">
        <v>85</v>
      </c>
    </row>
    <row r="38" spans="1:4" x14ac:dyDescent="0.45">
      <c r="C38" s="15">
        <f>AVERAGE(C28:C37)</f>
        <v>54.749599999999987</v>
      </c>
      <c r="D38" t="s">
        <v>261</v>
      </c>
    </row>
    <row r="39" spans="1:4" x14ac:dyDescent="0.45">
      <c r="C39" s="15" t="s">
        <v>260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59C2-A7B9-410E-A8CA-E6BEDB77C32C}">
  <sheetPr>
    <tabColor rgb="FF92D050"/>
  </sheetPr>
  <dimension ref="A1:O228"/>
  <sheetViews>
    <sheetView zoomScale="70" zoomScaleNormal="70" workbookViewId="0">
      <selection sqref="A1:K1"/>
    </sheetView>
  </sheetViews>
  <sheetFormatPr baseColWidth="10" defaultColWidth="11.46484375" defaultRowHeight="12.75" x14ac:dyDescent="0.35"/>
  <cols>
    <col min="1" max="1" width="66.73046875" style="10" customWidth="1"/>
    <col min="2" max="11" width="11.73046875" style="1" customWidth="1"/>
    <col min="12" max="16384" width="11.46484375" style="10"/>
  </cols>
  <sheetData>
    <row r="1" spans="1:12" ht="13.15" x14ac:dyDescent="0.4">
      <c r="A1" s="61" t="s">
        <v>265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2" ht="13.15" x14ac:dyDescent="0.4">
      <c r="A2" s="21" t="s">
        <v>0</v>
      </c>
      <c r="B2" s="21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1" t="s">
        <v>254</v>
      </c>
      <c r="H2" s="21" t="s">
        <v>255</v>
      </c>
      <c r="I2" s="21" t="s">
        <v>256</v>
      </c>
      <c r="J2" s="21" t="s">
        <v>257</v>
      </c>
      <c r="K2" s="21" t="s">
        <v>258</v>
      </c>
    </row>
    <row r="3" spans="1:12" x14ac:dyDescent="0.35">
      <c r="A3" s="22" t="s">
        <v>210</v>
      </c>
      <c r="B3" s="40">
        <v>0.85</v>
      </c>
      <c r="C3" s="40">
        <v>0.65388888888888885</v>
      </c>
      <c r="D3" s="40">
        <v>1.1594444444444443</v>
      </c>
      <c r="E3" s="40">
        <v>1.0338888888888889</v>
      </c>
      <c r="F3" s="40">
        <v>0.73499999999999988</v>
      </c>
      <c r="G3" s="40">
        <v>0.74055555555555552</v>
      </c>
      <c r="H3" s="40">
        <v>0.61944444444444435</v>
      </c>
      <c r="I3" s="40">
        <v>0.73499999999999988</v>
      </c>
      <c r="J3" s="40">
        <v>0.85055555555555551</v>
      </c>
      <c r="K3" s="40">
        <v>0.90833333333333333</v>
      </c>
      <c r="L3" s="20"/>
    </row>
    <row r="4" spans="1:12" x14ac:dyDescent="0.35">
      <c r="A4" s="22" t="s">
        <v>166</v>
      </c>
      <c r="B4" s="40">
        <v>0.85021164021164009</v>
      </c>
      <c r="C4" s="40">
        <v>0.85021164021164009</v>
      </c>
      <c r="D4" s="40">
        <v>0.65277777777777779</v>
      </c>
      <c r="E4" s="40">
        <v>0.6433333333333332</v>
      </c>
      <c r="F4" s="40">
        <v>1.0053703703703705</v>
      </c>
      <c r="G4" s="40">
        <v>0.85021164021164009</v>
      </c>
      <c r="H4" s="40">
        <v>0.7238888888888888</v>
      </c>
      <c r="I4" s="40">
        <v>0.98555555555555552</v>
      </c>
      <c r="J4" s="40">
        <v>1.3066666666666669</v>
      </c>
      <c r="K4" s="40">
        <v>0.63388888888888884</v>
      </c>
      <c r="L4" s="20"/>
    </row>
    <row r="5" spans="1:12" x14ac:dyDescent="0.35">
      <c r="A5" s="22" t="s">
        <v>167</v>
      </c>
      <c r="B5" s="40">
        <v>0.47888888888888892</v>
      </c>
      <c r="C5" s="40">
        <v>0.86</v>
      </c>
      <c r="D5" s="40">
        <v>0.80611111111111111</v>
      </c>
      <c r="E5" s="40">
        <v>0.85083333333333333</v>
      </c>
      <c r="F5" s="40">
        <v>1.1172222222222221</v>
      </c>
      <c r="G5" s="40">
        <v>0.81722222222222218</v>
      </c>
      <c r="H5" s="40">
        <v>0.69833333333333336</v>
      </c>
      <c r="I5" s="40">
        <v>1.5361111111111112</v>
      </c>
      <c r="J5" s="40">
        <v>1.1172222222222221</v>
      </c>
      <c r="K5" s="40">
        <v>0.89555555555555555</v>
      </c>
      <c r="L5" s="20"/>
    </row>
    <row r="6" spans="1:12" x14ac:dyDescent="0.35">
      <c r="A6" s="22" t="s">
        <v>211</v>
      </c>
      <c r="B6" s="40">
        <v>0.39222222222222225</v>
      </c>
      <c r="C6" s="40">
        <v>0.86</v>
      </c>
      <c r="D6" s="40">
        <v>0.95166666666666666</v>
      </c>
      <c r="E6" s="40">
        <v>0.83305555555555555</v>
      </c>
      <c r="F6" s="40">
        <v>1.0075925925925924</v>
      </c>
      <c r="G6" s="40">
        <v>0.96666666666666667</v>
      </c>
      <c r="H6" s="40">
        <v>1.6683333333333332</v>
      </c>
      <c r="I6" s="40">
        <v>0.81111111111111112</v>
      </c>
      <c r="J6" s="40">
        <v>0.54333333333333333</v>
      </c>
      <c r="K6" s="40">
        <v>0.71444444444444444</v>
      </c>
      <c r="L6" s="20"/>
    </row>
    <row r="7" spans="1:12" x14ac:dyDescent="0.35">
      <c r="A7" s="22" t="s">
        <v>168</v>
      </c>
      <c r="B7" s="40">
        <v>0.84611111111111115</v>
      </c>
      <c r="C7" s="40">
        <v>0.92944444444444441</v>
      </c>
      <c r="D7" s="40">
        <v>0.89888888888888885</v>
      </c>
      <c r="E7" s="40">
        <v>0.83694444444444449</v>
      </c>
      <c r="F7" s="40">
        <v>1.1474074074074074</v>
      </c>
      <c r="G7" s="40">
        <v>0.76277777777777778</v>
      </c>
      <c r="H7" s="40">
        <v>1.3827777777777779</v>
      </c>
      <c r="I7" s="40">
        <v>0.64055555555555554</v>
      </c>
      <c r="J7" s="40">
        <v>1.4188888888888891</v>
      </c>
      <c r="K7" s="40">
        <v>0.77500000000000002</v>
      </c>
      <c r="L7" s="20"/>
    </row>
    <row r="8" spans="1:12" x14ac:dyDescent="0.35">
      <c r="A8" s="22" t="s">
        <v>169</v>
      </c>
      <c r="B8" s="40">
        <v>0.62777777777777777</v>
      </c>
      <c r="C8" s="40">
        <v>0.62777777777777777</v>
      </c>
      <c r="D8" s="40">
        <v>1.1611111111111112</v>
      </c>
      <c r="E8" s="40">
        <v>1.0480555555555557</v>
      </c>
      <c r="F8" s="40">
        <v>0.73129629629629622</v>
      </c>
      <c r="G8" s="40">
        <v>0.62777777777777777</v>
      </c>
      <c r="H8" s="40">
        <v>0.7433333333333334</v>
      </c>
      <c r="I8" s="40">
        <v>0.65777777777777779</v>
      </c>
      <c r="J8" s="40">
        <v>0.7927777777777778</v>
      </c>
      <c r="K8" s="40">
        <v>0.93500000000000005</v>
      </c>
      <c r="L8" s="20"/>
    </row>
    <row r="9" spans="1:12" x14ac:dyDescent="0.35">
      <c r="A9" s="22" t="s">
        <v>170</v>
      </c>
      <c r="B9" s="40">
        <v>0.74888888888888894</v>
      </c>
      <c r="C9" s="40">
        <v>0.59111111111111114</v>
      </c>
      <c r="D9" s="40">
        <v>0.73777777777777775</v>
      </c>
      <c r="E9" s="40">
        <v>0.73444444444444434</v>
      </c>
      <c r="F9" s="40">
        <v>0.88092592592592589</v>
      </c>
      <c r="G9" s="40">
        <v>0.90666666666666662</v>
      </c>
      <c r="H9" s="40">
        <v>0.93111111111111111</v>
      </c>
      <c r="I9" s="40">
        <v>1.0816666666666668</v>
      </c>
      <c r="J9" s="40">
        <v>0.63</v>
      </c>
      <c r="K9" s="40">
        <v>0.73111111111111116</v>
      </c>
      <c r="L9" s="20"/>
    </row>
    <row r="10" spans="1:12" x14ac:dyDescent="0.35">
      <c r="A10" s="22" t="s">
        <v>4</v>
      </c>
      <c r="B10" s="40">
        <v>0.47666666666666668</v>
      </c>
      <c r="C10" s="40">
        <v>1.1872222222222222</v>
      </c>
      <c r="D10" s="40">
        <v>0.78833333333333333</v>
      </c>
      <c r="E10" s="40">
        <v>0.88777777777777778</v>
      </c>
      <c r="F10" s="40">
        <v>0.80462962962962947</v>
      </c>
      <c r="G10" s="40">
        <v>1.1305555555555555</v>
      </c>
      <c r="H10" s="40">
        <v>0.79722222222222228</v>
      </c>
      <c r="I10" s="40">
        <v>0.9622222222222222</v>
      </c>
      <c r="J10" s="40">
        <v>0.65444444444444438</v>
      </c>
      <c r="K10" s="40">
        <v>0.98722222222222222</v>
      </c>
      <c r="L10" s="20"/>
    </row>
    <row r="11" spans="1:12" x14ac:dyDescent="0.35">
      <c r="A11" s="22" t="s">
        <v>5</v>
      </c>
      <c r="B11" s="40">
        <v>0.55166666666666664</v>
      </c>
      <c r="C11" s="40">
        <v>0.87944444444444447</v>
      </c>
      <c r="D11" s="40">
        <v>0.66833333333333333</v>
      </c>
      <c r="E11" s="40">
        <v>0.72055555555555562</v>
      </c>
      <c r="F11" s="40">
        <v>0.81574074074074088</v>
      </c>
      <c r="G11" s="40">
        <v>1.0983333333333334</v>
      </c>
      <c r="H11" s="40">
        <v>0.62</v>
      </c>
      <c r="I11" s="40">
        <v>1.018888888888889</v>
      </c>
      <c r="J11" s="40">
        <v>0.80833333333333335</v>
      </c>
      <c r="K11" s="40">
        <v>0.77277777777777779</v>
      </c>
      <c r="L11" s="20"/>
    </row>
    <row r="12" spans="1:12" x14ac:dyDescent="0.35">
      <c r="A12" s="22" t="s">
        <v>161</v>
      </c>
      <c r="B12" s="40">
        <v>0.97833333333333328</v>
      </c>
      <c r="C12" s="40">
        <v>0.7088888888888889</v>
      </c>
      <c r="D12" s="40">
        <v>0.85722222222222222</v>
      </c>
      <c r="E12" s="40">
        <v>0.88305555555555559</v>
      </c>
      <c r="F12" s="40">
        <v>0.91361111111111104</v>
      </c>
      <c r="G12" s="40">
        <v>1.2477777777777777</v>
      </c>
      <c r="H12" s="40">
        <v>1.2811111111111111</v>
      </c>
      <c r="I12" s="40">
        <v>0.91361111111111104</v>
      </c>
      <c r="J12" s="40">
        <v>0.5461111111111111</v>
      </c>
      <c r="K12" s="40">
        <v>0.90888888888888886</v>
      </c>
      <c r="L12" s="20"/>
    </row>
    <row r="13" spans="1:12" x14ac:dyDescent="0.35">
      <c r="A13" s="22" t="s">
        <v>212</v>
      </c>
      <c r="B13" s="40">
        <v>0.9</v>
      </c>
      <c r="C13" s="40">
        <v>0.9</v>
      </c>
      <c r="D13" s="40">
        <v>1.0027777777777778</v>
      </c>
      <c r="E13" s="40">
        <v>0.85611111111111116</v>
      </c>
      <c r="F13" s="40">
        <v>0.64388888888888884</v>
      </c>
      <c r="G13" s="40">
        <v>0.9</v>
      </c>
      <c r="H13" s="40">
        <v>0.55222222222222217</v>
      </c>
      <c r="I13" s="40">
        <v>0.88555555555555554</v>
      </c>
      <c r="J13" s="40">
        <v>0.49388888888888888</v>
      </c>
      <c r="K13" s="40">
        <v>0.70944444444444454</v>
      </c>
      <c r="L13" s="20"/>
    </row>
    <row r="14" spans="1:12" x14ac:dyDescent="0.35">
      <c r="A14" s="22" t="s">
        <v>6</v>
      </c>
      <c r="B14" s="40">
        <v>1.2183333333333333</v>
      </c>
      <c r="C14" s="40">
        <v>0.97444444444444445</v>
      </c>
      <c r="D14" s="40">
        <v>0.89222222222222214</v>
      </c>
      <c r="E14" s="40">
        <v>0.84777777777777774</v>
      </c>
      <c r="F14" s="40">
        <v>0.94685185185185183</v>
      </c>
      <c r="G14" s="40">
        <v>1.4622222222222223</v>
      </c>
      <c r="H14" s="40">
        <v>1.0255555555555556</v>
      </c>
      <c r="I14" s="40">
        <v>0.74666666666666659</v>
      </c>
      <c r="J14" s="40">
        <v>1.0683333333333331</v>
      </c>
      <c r="K14" s="40">
        <v>0.80333333333333334</v>
      </c>
      <c r="L14" s="20"/>
    </row>
    <row r="15" spans="1:12" x14ac:dyDescent="0.35">
      <c r="A15" s="22" t="s">
        <v>7</v>
      </c>
      <c r="B15" s="40">
        <v>1.1408333333333334</v>
      </c>
      <c r="C15" s="40">
        <v>1.328888888888889</v>
      </c>
      <c r="D15" s="40">
        <v>0.98888888888888893</v>
      </c>
      <c r="E15" s="40">
        <v>0.80472222222222223</v>
      </c>
      <c r="F15" s="40">
        <v>1.0227777777777778</v>
      </c>
      <c r="G15" s="40">
        <v>0.95277777777777772</v>
      </c>
      <c r="H15" s="40">
        <v>0.90499999999999992</v>
      </c>
      <c r="I15" s="40">
        <v>1.1277777777777778</v>
      </c>
      <c r="J15" s="40">
        <v>1.0355555555555556</v>
      </c>
      <c r="K15" s="40">
        <v>0.62055555555555553</v>
      </c>
      <c r="L15" s="20"/>
    </row>
    <row r="16" spans="1:12" x14ac:dyDescent="0.35">
      <c r="A16" s="22" t="s">
        <v>8</v>
      </c>
      <c r="B16" s="40">
        <v>0.90333333333333343</v>
      </c>
      <c r="C16" s="40">
        <v>0.89388888888888884</v>
      </c>
      <c r="D16" s="40">
        <v>1.0061111111111112</v>
      </c>
      <c r="E16" s="40">
        <v>0.86472222222222217</v>
      </c>
      <c r="F16" s="40">
        <v>0.92851851851851852</v>
      </c>
      <c r="G16" s="40">
        <v>0.9127777777777778</v>
      </c>
      <c r="H16" s="40">
        <v>1.1116666666666668</v>
      </c>
      <c r="I16" s="40">
        <v>1.0038888888888888</v>
      </c>
      <c r="J16" s="40">
        <v>0.67</v>
      </c>
      <c r="K16" s="40">
        <v>0.72333333333333327</v>
      </c>
      <c r="L16" s="20"/>
    </row>
    <row r="17" spans="1:12" x14ac:dyDescent="0.35">
      <c r="A17" s="22" t="s">
        <v>9</v>
      </c>
      <c r="B17" s="40">
        <v>1.3411111111111111</v>
      </c>
      <c r="C17" s="40">
        <v>1.3411111111111111</v>
      </c>
      <c r="D17" s="40">
        <v>0.7122222222222222</v>
      </c>
      <c r="E17" s="40">
        <v>0.71777777777777774</v>
      </c>
      <c r="F17" s="40">
        <v>1.0611111111111111</v>
      </c>
      <c r="G17" s="40">
        <v>1.3411111111111111</v>
      </c>
      <c r="H17" s="40">
        <v>0.89388888888888884</v>
      </c>
      <c r="I17" s="40">
        <v>0.97277777777777774</v>
      </c>
      <c r="J17" s="40">
        <v>1.0155555555555555</v>
      </c>
      <c r="K17" s="40">
        <v>0.72333333333333327</v>
      </c>
      <c r="L17" s="20"/>
    </row>
    <row r="18" spans="1:12" x14ac:dyDescent="0.35">
      <c r="A18" s="22" t="s">
        <v>213</v>
      </c>
      <c r="B18" s="40">
        <v>0.95777777777777784</v>
      </c>
      <c r="C18" s="40">
        <v>0.95777777777777784</v>
      </c>
      <c r="D18" s="40">
        <v>0.70166666666666666</v>
      </c>
      <c r="E18" s="40">
        <v>0.81638888888888894</v>
      </c>
      <c r="F18" s="40">
        <v>0.71166666666666667</v>
      </c>
      <c r="G18" s="40">
        <v>0.95777777777777784</v>
      </c>
      <c r="H18" s="40">
        <v>0.99888888888888883</v>
      </c>
      <c r="I18" s="40">
        <v>0.64333333333333331</v>
      </c>
      <c r="J18" s="40">
        <v>0.81499999999999995</v>
      </c>
      <c r="K18" s="40">
        <v>0.93111111111111111</v>
      </c>
      <c r="L18" s="20"/>
    </row>
    <row r="19" spans="1:12" x14ac:dyDescent="0.35">
      <c r="A19" s="22" t="s">
        <v>171</v>
      </c>
      <c r="B19" s="40">
        <v>0.67666666666666664</v>
      </c>
      <c r="C19" s="40">
        <v>0.67666666666666664</v>
      </c>
      <c r="D19" s="40">
        <v>0.74611111111111106</v>
      </c>
      <c r="E19" s="40">
        <v>0.77611111111111108</v>
      </c>
      <c r="F19" s="40">
        <v>1.1394444444444445</v>
      </c>
      <c r="G19" s="40">
        <v>0.67666666666666664</v>
      </c>
      <c r="H19" s="40">
        <v>0.69777777777777783</v>
      </c>
      <c r="I19" s="40">
        <v>1.4172222222222222</v>
      </c>
      <c r="J19" s="40">
        <v>1.3033333333333335</v>
      </c>
      <c r="K19" s="40">
        <v>0.80611111111111111</v>
      </c>
      <c r="L19" s="20"/>
    </row>
    <row r="20" spans="1:12" x14ac:dyDescent="0.35">
      <c r="A20" s="22" t="s">
        <v>214</v>
      </c>
      <c r="B20" s="40">
        <v>1.1033333333333333</v>
      </c>
      <c r="C20" s="40">
        <v>1.5194444444444446</v>
      </c>
      <c r="D20" s="40">
        <v>0.75333333333333341</v>
      </c>
      <c r="E20" s="40">
        <v>0.85972222222222228</v>
      </c>
      <c r="F20" s="40">
        <v>0.78611111111111109</v>
      </c>
      <c r="G20" s="40">
        <v>0.68722222222222229</v>
      </c>
      <c r="H20" s="40">
        <v>0.55000000000000004</v>
      </c>
      <c r="I20" s="40">
        <v>0.6316666666666666</v>
      </c>
      <c r="J20" s="40">
        <v>0.92222222222222228</v>
      </c>
      <c r="K20" s="40">
        <v>0.96611111111111114</v>
      </c>
      <c r="L20" s="20"/>
    </row>
    <row r="21" spans="1:12" x14ac:dyDescent="0.35">
      <c r="A21" s="22" t="s">
        <v>10</v>
      </c>
      <c r="B21" s="40">
        <v>0.90166666666666673</v>
      </c>
      <c r="C21" s="40">
        <v>0.91222222222222227</v>
      </c>
      <c r="D21" s="40">
        <v>1.1919444444444445</v>
      </c>
      <c r="E21" s="40">
        <v>1.3827777777777779</v>
      </c>
      <c r="F21" s="40">
        <v>1.4072222222222224</v>
      </c>
      <c r="G21" s="40">
        <v>0.89111111111111119</v>
      </c>
      <c r="H21" s="40">
        <v>0.89055555555555554</v>
      </c>
      <c r="I21" s="40">
        <v>0.86055555555555552</v>
      </c>
      <c r="J21" s="40">
        <v>0.99111111111111116</v>
      </c>
      <c r="K21" s="40">
        <v>1.0011111111111111</v>
      </c>
      <c r="L21" s="20"/>
    </row>
    <row r="22" spans="1:12" x14ac:dyDescent="0.35">
      <c r="A22" s="22" t="s">
        <v>11</v>
      </c>
      <c r="B22" s="40">
        <v>0.6627777777777778</v>
      </c>
      <c r="C22" s="40">
        <v>0.49833333333333329</v>
      </c>
      <c r="D22" s="40">
        <v>0.71944444444444444</v>
      </c>
      <c r="E22" s="40">
        <v>0.95611111111111113</v>
      </c>
      <c r="F22" s="40">
        <v>1.0553703703703703</v>
      </c>
      <c r="G22" s="40">
        <v>0.82722222222222219</v>
      </c>
      <c r="H22" s="40">
        <v>1.1616666666666666</v>
      </c>
      <c r="I22" s="40">
        <v>0.72944444444444445</v>
      </c>
      <c r="J22" s="40">
        <v>1.2749999999999999</v>
      </c>
      <c r="K22" s="40">
        <v>0.91888888888888887</v>
      </c>
      <c r="L22" s="20"/>
    </row>
    <row r="23" spans="1:12" x14ac:dyDescent="0.35">
      <c r="A23" s="22" t="s">
        <v>12</v>
      </c>
      <c r="B23" s="40">
        <v>1.2772222222222223</v>
      </c>
      <c r="C23" s="40">
        <v>1.2772222222222223</v>
      </c>
      <c r="D23" s="40">
        <v>0.64333333333333331</v>
      </c>
      <c r="E23" s="40">
        <v>0.66083333333333338</v>
      </c>
      <c r="F23" s="40">
        <v>1.0966666666666667</v>
      </c>
      <c r="G23" s="40">
        <v>1.2772222222222223</v>
      </c>
      <c r="H23" s="40">
        <v>0.95777777777777784</v>
      </c>
      <c r="I23" s="40">
        <v>0.77444444444444449</v>
      </c>
      <c r="J23" s="40">
        <v>0.6711111111111111</v>
      </c>
      <c r="K23" s="40">
        <v>0.67833333333333334</v>
      </c>
      <c r="L23" s="20"/>
    </row>
    <row r="24" spans="1:12" x14ac:dyDescent="0.35">
      <c r="A24" s="22" t="s">
        <v>13</v>
      </c>
      <c r="B24" s="40">
        <v>1.0369444444444444</v>
      </c>
      <c r="C24" s="40">
        <v>0.97111111111111115</v>
      </c>
      <c r="D24" s="40">
        <v>0.94888888888888878</v>
      </c>
      <c r="E24" s="40">
        <v>0.61611111111111116</v>
      </c>
      <c r="F24" s="40">
        <v>1.1961111111111111</v>
      </c>
      <c r="G24" s="40">
        <v>1.1027777777777779</v>
      </c>
      <c r="H24" s="40">
        <v>1.1299999999999999</v>
      </c>
      <c r="I24" s="40">
        <v>0.99055555555555552</v>
      </c>
      <c r="J24" s="40">
        <v>0.6777777777777777</v>
      </c>
      <c r="K24" s="40">
        <v>0.78222222222222215</v>
      </c>
      <c r="L24" s="20"/>
    </row>
    <row r="25" spans="1:12" x14ac:dyDescent="0.35">
      <c r="A25" s="22" t="s">
        <v>14</v>
      </c>
      <c r="B25" s="40">
        <v>0.99583333333333335</v>
      </c>
      <c r="C25" s="40">
        <v>1.175</v>
      </c>
      <c r="D25" s="40">
        <v>0.82527777777777778</v>
      </c>
      <c r="E25" s="40">
        <v>0.75944444444444448</v>
      </c>
      <c r="F25" s="40">
        <v>0.97499999999999998</v>
      </c>
      <c r="G25" s="40">
        <v>0.81666666666666665</v>
      </c>
      <c r="H25" s="40">
        <v>1.2433333333333332</v>
      </c>
      <c r="I25" s="40">
        <v>1.2933333333333332</v>
      </c>
      <c r="J25" s="40">
        <v>1.0072222222222222</v>
      </c>
      <c r="K25" s="40">
        <v>0.89111111111111119</v>
      </c>
      <c r="L25" s="20"/>
    </row>
    <row r="26" spans="1:12" x14ac:dyDescent="0.35">
      <c r="A26" s="22" t="s">
        <v>15</v>
      </c>
      <c r="B26" s="40">
        <v>1.0494444444444444</v>
      </c>
      <c r="C26" s="40">
        <v>1.0494444444444444</v>
      </c>
      <c r="D26" s="40">
        <v>0.95</v>
      </c>
      <c r="E26" s="40">
        <v>0.95</v>
      </c>
      <c r="F26" s="40">
        <v>1.1722222222222221</v>
      </c>
      <c r="G26" s="40">
        <v>1.0494444444444444</v>
      </c>
      <c r="H26" s="40">
        <v>1.0455555555555556</v>
      </c>
      <c r="I26" s="40">
        <v>1.1927777777777777</v>
      </c>
      <c r="J26" s="40">
        <v>0.45611111111111113</v>
      </c>
      <c r="K26" s="40">
        <v>0.95</v>
      </c>
      <c r="L26" s="20"/>
    </row>
    <row r="27" spans="1:12" x14ac:dyDescent="0.35">
      <c r="A27" s="22" t="s">
        <v>172</v>
      </c>
      <c r="B27" s="40">
        <v>0.98277777777777786</v>
      </c>
      <c r="C27" s="40">
        <v>0.98277777777777786</v>
      </c>
      <c r="D27" s="40">
        <v>0.79027777777777786</v>
      </c>
      <c r="E27" s="40">
        <v>0.56388888888888888</v>
      </c>
      <c r="F27" s="40">
        <v>0.90222222222222226</v>
      </c>
      <c r="G27" s="40">
        <v>0.98277777777777786</v>
      </c>
      <c r="H27" s="40">
        <v>0.81055555555555558</v>
      </c>
      <c r="I27" s="40">
        <v>0.6777777777777777</v>
      </c>
      <c r="J27" s="40">
        <v>0.52500000000000002</v>
      </c>
      <c r="K27" s="40">
        <v>1.0166666666666666</v>
      </c>
      <c r="L27" s="20"/>
    </row>
    <row r="28" spans="1:12" x14ac:dyDescent="0.35">
      <c r="A28" s="22" t="s">
        <v>16</v>
      </c>
      <c r="B28" s="40">
        <v>1.1594444444444443</v>
      </c>
      <c r="C28" s="40">
        <v>1.1594444444444443</v>
      </c>
      <c r="D28" s="40">
        <v>0.88388888888888884</v>
      </c>
      <c r="E28" s="40">
        <v>0.85388888888888892</v>
      </c>
      <c r="F28" s="40">
        <v>1.53</v>
      </c>
      <c r="G28" s="40">
        <v>1.1594444444444443</v>
      </c>
      <c r="H28" s="40">
        <v>1.2455555555555555</v>
      </c>
      <c r="I28" s="40">
        <v>1.155</v>
      </c>
      <c r="J28" s="40">
        <v>0.93944444444444442</v>
      </c>
      <c r="K28" s="40">
        <v>0.82388888888888878</v>
      </c>
      <c r="L28" s="20"/>
    </row>
    <row r="29" spans="1:12" x14ac:dyDescent="0.35">
      <c r="A29" s="22" t="s">
        <v>195</v>
      </c>
      <c r="B29" s="40">
        <v>0.84777777777777774</v>
      </c>
      <c r="C29" s="40">
        <v>0.84777777777777774</v>
      </c>
      <c r="D29" s="40">
        <v>1.2733333333333334</v>
      </c>
      <c r="E29" s="40">
        <v>1.1849999999999998</v>
      </c>
      <c r="F29" s="40">
        <v>1.1333333333333333</v>
      </c>
      <c r="G29" s="40">
        <v>0.84777777777777774</v>
      </c>
      <c r="H29" s="40">
        <v>1.0277777777777777</v>
      </c>
      <c r="I29" s="40">
        <v>0.81888888888888889</v>
      </c>
      <c r="J29" s="40">
        <v>0.65277777777777779</v>
      </c>
      <c r="K29" s="40">
        <v>0.75555555555555565</v>
      </c>
      <c r="L29" s="20"/>
    </row>
    <row r="30" spans="1:12" x14ac:dyDescent="0.35">
      <c r="A30" s="22" t="s">
        <v>173</v>
      </c>
      <c r="B30" s="40">
        <v>0.82333333333333336</v>
      </c>
      <c r="C30" s="40">
        <v>0.82333333333333336</v>
      </c>
      <c r="D30" s="40">
        <v>1.276111111111111</v>
      </c>
      <c r="E30" s="40">
        <v>1.1241666666666668</v>
      </c>
      <c r="F30" s="40">
        <v>1.1733333333333333</v>
      </c>
      <c r="G30" s="40">
        <v>0.82333333333333336</v>
      </c>
      <c r="H30" s="40">
        <v>1.1783333333333335</v>
      </c>
      <c r="I30" s="40">
        <v>0.84777777777777774</v>
      </c>
      <c r="J30" s="40">
        <v>0.84500000000000008</v>
      </c>
      <c r="K30" s="40">
        <v>0.97222222222222221</v>
      </c>
      <c r="L30" s="20"/>
    </row>
    <row r="31" spans="1:12" x14ac:dyDescent="0.35">
      <c r="A31" s="22" t="s">
        <v>17</v>
      </c>
      <c r="B31" s="40">
        <v>0.62611111111111106</v>
      </c>
      <c r="C31" s="40">
        <v>0.63611111111111107</v>
      </c>
      <c r="D31" s="40">
        <v>0.89666666666666661</v>
      </c>
      <c r="E31" s="40">
        <v>0.97444444444444445</v>
      </c>
      <c r="F31" s="40">
        <v>1.0044444444444445</v>
      </c>
      <c r="G31" s="40">
        <v>0.61611111111111116</v>
      </c>
      <c r="H31" s="40">
        <v>1.0483333333333333</v>
      </c>
      <c r="I31" s="40">
        <v>0.94333333333333336</v>
      </c>
      <c r="J31" s="40">
        <v>1.5183333333333333</v>
      </c>
      <c r="K31" s="40">
        <v>0.81888888888888889</v>
      </c>
      <c r="L31" s="20"/>
    </row>
    <row r="32" spans="1:12" x14ac:dyDescent="0.35">
      <c r="A32" s="22" t="s">
        <v>18</v>
      </c>
      <c r="B32" s="40">
        <v>1.0183333333333333</v>
      </c>
      <c r="C32" s="40">
        <v>1.0183333333333333</v>
      </c>
      <c r="D32" s="40">
        <v>0.57388888888888878</v>
      </c>
      <c r="E32" s="40">
        <v>1.6933333333333331</v>
      </c>
      <c r="F32" s="40">
        <v>0.65333333333333343</v>
      </c>
      <c r="G32" s="40">
        <v>1.0183333333333333</v>
      </c>
      <c r="H32" s="40">
        <v>1.0883333333333334</v>
      </c>
      <c r="I32" s="40">
        <v>0.97555555555555551</v>
      </c>
      <c r="J32" s="40">
        <v>1.2577777777777779</v>
      </c>
      <c r="K32" s="40">
        <v>0.7105555555555555</v>
      </c>
      <c r="L32" s="20"/>
    </row>
    <row r="33" spans="1:12" x14ac:dyDescent="0.35">
      <c r="A33" s="22" t="s">
        <v>19</v>
      </c>
      <c r="B33" s="40">
        <v>1.2838888888888889</v>
      </c>
      <c r="C33" s="40">
        <v>1.2838888888888889</v>
      </c>
      <c r="D33" s="40">
        <v>0.77999999999999992</v>
      </c>
      <c r="E33" s="40">
        <v>0.80777777777777782</v>
      </c>
      <c r="F33" s="40">
        <v>1.2927777777777778</v>
      </c>
      <c r="G33" s="40">
        <v>1.2838888888888889</v>
      </c>
      <c r="H33" s="40">
        <v>1.0772222222222223</v>
      </c>
      <c r="I33" s="40">
        <v>0.84</v>
      </c>
      <c r="J33" s="40">
        <v>0.41833333333333333</v>
      </c>
      <c r="K33" s="40">
        <v>0.75111111111111117</v>
      </c>
      <c r="L33" s="20"/>
    </row>
    <row r="34" spans="1:12" x14ac:dyDescent="0.35">
      <c r="A34" s="22" t="s">
        <v>174</v>
      </c>
      <c r="B34" s="40">
        <v>0.81333333333333324</v>
      </c>
      <c r="C34" s="40">
        <v>1.2483333333333335</v>
      </c>
      <c r="D34" s="40">
        <v>1.0538888888888889</v>
      </c>
      <c r="E34" s="40">
        <v>0.90166666666666673</v>
      </c>
      <c r="F34" s="40">
        <v>0.54944444444444451</v>
      </c>
      <c r="G34" s="40">
        <v>1.1283333333333334</v>
      </c>
      <c r="H34" s="40">
        <v>0.5411111111111111</v>
      </c>
      <c r="I34" s="40">
        <v>1.1161111111111111</v>
      </c>
      <c r="J34" s="40">
        <v>0.55055555555555558</v>
      </c>
      <c r="K34" s="40">
        <v>0.74944444444444447</v>
      </c>
      <c r="L34" s="20"/>
    </row>
    <row r="35" spans="1:12" x14ac:dyDescent="0.35">
      <c r="A35" s="22" t="s">
        <v>20</v>
      </c>
      <c r="B35" s="40">
        <v>0.36222222222222222</v>
      </c>
      <c r="C35" s="40">
        <v>0.90222222222222226</v>
      </c>
      <c r="D35" s="40">
        <v>1.0205555555555557</v>
      </c>
      <c r="E35" s="40">
        <v>1.0411111111111111</v>
      </c>
      <c r="F35" s="40">
        <v>1.2616666666666667</v>
      </c>
      <c r="G35" s="40">
        <v>0.85499999999999998</v>
      </c>
      <c r="H35" s="40">
        <v>0.87833333333333341</v>
      </c>
      <c r="I35" s="40">
        <v>0.98388888888888881</v>
      </c>
      <c r="J35" s="40">
        <v>0.99833333333333329</v>
      </c>
      <c r="K35" s="40">
        <v>1.0616666666666668</v>
      </c>
      <c r="L35" s="20"/>
    </row>
    <row r="36" spans="1:12" x14ac:dyDescent="0.35">
      <c r="A36" s="22" t="s">
        <v>21</v>
      </c>
      <c r="B36" s="40">
        <v>1.2749999999999999</v>
      </c>
      <c r="C36" s="40">
        <v>0.74888888888888883</v>
      </c>
      <c r="D36" s="40">
        <v>0.98944444444444446</v>
      </c>
      <c r="E36" s="40">
        <v>0.98944444444444446</v>
      </c>
      <c r="F36" s="40">
        <v>0.91388888888888897</v>
      </c>
      <c r="G36" s="40">
        <v>1.0883333333333334</v>
      </c>
      <c r="H36" s="40">
        <v>0.76333333333333331</v>
      </c>
      <c r="I36" s="40">
        <v>1.2</v>
      </c>
      <c r="J36" s="40">
        <v>0.77833333333333343</v>
      </c>
      <c r="K36" s="40">
        <v>0.98944444444444446</v>
      </c>
      <c r="L36" s="20"/>
    </row>
    <row r="37" spans="1:12" x14ac:dyDescent="0.35">
      <c r="A37" s="22" t="s">
        <v>22</v>
      </c>
      <c r="B37" s="40">
        <v>0.46777777777777779</v>
      </c>
      <c r="C37" s="40">
        <v>0.81722222222222218</v>
      </c>
      <c r="D37" s="40">
        <v>1.0483333333333333</v>
      </c>
      <c r="E37" s="40">
        <v>0.71000000000000008</v>
      </c>
      <c r="F37" s="40">
        <v>1.2316666666666667</v>
      </c>
      <c r="G37" s="40">
        <v>0.78611111111111109</v>
      </c>
      <c r="H37" s="40">
        <v>1.278888888888889</v>
      </c>
      <c r="I37" s="40">
        <v>1.1390740740740741</v>
      </c>
      <c r="J37" s="40">
        <v>0.90666666666666662</v>
      </c>
      <c r="K37" s="40">
        <v>0.87916666666666665</v>
      </c>
      <c r="L37" s="20"/>
    </row>
    <row r="38" spans="1:12" x14ac:dyDescent="0.35">
      <c r="A38" s="22" t="s">
        <v>23</v>
      </c>
      <c r="B38" s="40">
        <v>0.26166666666666666</v>
      </c>
      <c r="C38" s="40">
        <v>0.63722222222222225</v>
      </c>
      <c r="D38" s="40">
        <v>0.69388888888888889</v>
      </c>
      <c r="E38" s="40">
        <v>1.2055555555555555</v>
      </c>
      <c r="F38" s="40">
        <v>1.0805555555555555</v>
      </c>
      <c r="G38" s="40">
        <v>1.075</v>
      </c>
      <c r="H38" s="40">
        <v>0.94388888888888889</v>
      </c>
      <c r="I38" s="40">
        <v>0.74388888888888893</v>
      </c>
      <c r="J38" s="40">
        <v>0.86277777777777775</v>
      </c>
      <c r="K38" s="40">
        <v>0.94972222222222225</v>
      </c>
      <c r="L38" s="20"/>
    </row>
    <row r="39" spans="1:12" x14ac:dyDescent="0.35">
      <c r="A39" s="22" t="s">
        <v>24</v>
      </c>
      <c r="B39" s="40">
        <v>0.49166666666666664</v>
      </c>
      <c r="C39" s="40">
        <v>0.74555555555555553</v>
      </c>
      <c r="D39" s="40">
        <v>0.68055555555555558</v>
      </c>
      <c r="E39" s="40">
        <v>0.98944444444444446</v>
      </c>
      <c r="F39" s="40">
        <v>0.76833333333333331</v>
      </c>
      <c r="G39" s="40">
        <v>1.0972222222222221</v>
      </c>
      <c r="H39" s="40">
        <v>0.7844444444444445</v>
      </c>
      <c r="I39" s="40">
        <v>1.1272222222222223</v>
      </c>
      <c r="J39" s="40">
        <v>0.67277777777777781</v>
      </c>
      <c r="K39" s="40">
        <v>0.83500000000000008</v>
      </c>
      <c r="L39" s="20"/>
    </row>
    <row r="40" spans="1:12" x14ac:dyDescent="0.35">
      <c r="A40" s="22" t="s">
        <v>25</v>
      </c>
      <c r="B40" s="40">
        <v>0.6694444444444444</v>
      </c>
      <c r="C40" s="40">
        <v>1.0427777777777778</v>
      </c>
      <c r="D40" s="40">
        <v>1.0611111111111111</v>
      </c>
      <c r="E40" s="40">
        <v>1.3855555555555557</v>
      </c>
      <c r="F40" s="40">
        <v>1.0116666666666667</v>
      </c>
      <c r="G40" s="40">
        <v>0.85499999999999998</v>
      </c>
      <c r="H40" s="40">
        <v>0.96333333333333326</v>
      </c>
      <c r="I40" s="40">
        <v>0.97666666666666668</v>
      </c>
      <c r="J40" s="40">
        <v>1.1488888888888888</v>
      </c>
      <c r="K40" s="40">
        <v>1.2233333333333334</v>
      </c>
      <c r="L40" s="20"/>
    </row>
    <row r="41" spans="1:12" x14ac:dyDescent="0.35">
      <c r="A41" s="22" t="s">
        <v>26</v>
      </c>
      <c r="B41" s="40">
        <v>0.58666666666666667</v>
      </c>
      <c r="C41" s="40">
        <v>1.0827777777777778</v>
      </c>
      <c r="D41" s="40">
        <v>1.5216666666666667</v>
      </c>
      <c r="E41" s="40">
        <v>1.5216666666666667</v>
      </c>
      <c r="F41" s="40">
        <v>1.3711111111111112</v>
      </c>
      <c r="G41" s="40">
        <v>0.83472222222222225</v>
      </c>
      <c r="H41" s="40">
        <v>0.7894444444444445</v>
      </c>
      <c r="I41" s="40">
        <v>1.4072222222222224</v>
      </c>
      <c r="J41" s="40">
        <v>0.99444444444444435</v>
      </c>
      <c r="K41" s="40">
        <v>1.5216666666666667</v>
      </c>
      <c r="L41" s="20"/>
    </row>
    <row r="42" spans="1:12" x14ac:dyDescent="0.35">
      <c r="A42" s="22" t="s">
        <v>27</v>
      </c>
      <c r="B42" s="40">
        <v>0.88555555555555554</v>
      </c>
      <c r="C42" s="40">
        <v>1.0922222222222222</v>
      </c>
      <c r="D42" s="40">
        <v>0.69500000000000006</v>
      </c>
      <c r="E42" s="40">
        <v>0.66722222222222216</v>
      </c>
      <c r="F42" s="40">
        <v>0.87388888888888883</v>
      </c>
      <c r="G42" s="40">
        <v>0.67888888888888888</v>
      </c>
      <c r="H42" s="40">
        <v>0.95833333333333337</v>
      </c>
      <c r="I42" s="40">
        <v>0.58944444444444444</v>
      </c>
      <c r="J42" s="40">
        <v>0.62944444444444447</v>
      </c>
      <c r="K42" s="40">
        <v>0.68111111111111111</v>
      </c>
      <c r="L42" s="20"/>
    </row>
    <row r="43" spans="1:12" x14ac:dyDescent="0.35">
      <c r="A43" s="22" t="s">
        <v>164</v>
      </c>
      <c r="B43" s="40">
        <v>0.52555555555555555</v>
      </c>
      <c r="C43" s="40">
        <v>0.81805555555555565</v>
      </c>
      <c r="D43" s="40">
        <v>1.0794444444444444</v>
      </c>
      <c r="E43" s="40">
        <v>0.94388888888888889</v>
      </c>
      <c r="F43" s="40">
        <v>1.2166666666666666</v>
      </c>
      <c r="G43" s="40">
        <v>1.1105555555555557</v>
      </c>
      <c r="H43" s="40">
        <v>0.84777777777777774</v>
      </c>
      <c r="I43" s="40">
        <v>0.54388888888888887</v>
      </c>
      <c r="J43" s="40">
        <v>0.48777777777777775</v>
      </c>
      <c r="K43" s="40">
        <v>0.63444444444444448</v>
      </c>
      <c r="L43" s="20"/>
    </row>
    <row r="44" spans="1:12" x14ac:dyDescent="0.35">
      <c r="A44" s="22" t="s">
        <v>28</v>
      </c>
      <c r="B44" s="40">
        <v>0.56277777777777771</v>
      </c>
      <c r="C44" s="40">
        <v>0.62777777777777777</v>
      </c>
      <c r="D44" s="40">
        <v>1.0266666666666666</v>
      </c>
      <c r="E44" s="40">
        <v>1.0327777777777778</v>
      </c>
      <c r="F44" s="40">
        <v>1.0233333333333332</v>
      </c>
      <c r="G44" s="40">
        <v>1.06</v>
      </c>
      <c r="H44" s="40">
        <v>1.1127777777777779</v>
      </c>
      <c r="I44" s="40">
        <v>0.99555555555555553</v>
      </c>
      <c r="J44" s="40">
        <v>0.64388888888888884</v>
      </c>
      <c r="K44" s="40">
        <v>0.76166666666666671</v>
      </c>
      <c r="L44" s="20"/>
    </row>
    <row r="45" spans="1:12" x14ac:dyDescent="0.35">
      <c r="A45" s="22" t="s">
        <v>29</v>
      </c>
      <c r="B45" s="40">
        <v>0.47833333333333333</v>
      </c>
      <c r="C45" s="40">
        <v>0.74722222222222223</v>
      </c>
      <c r="D45" s="40">
        <v>0.80722222222222217</v>
      </c>
      <c r="E45" s="40">
        <v>0.82277777777777783</v>
      </c>
      <c r="F45" s="40">
        <v>1.1094444444444445</v>
      </c>
      <c r="G45" s="40">
        <v>0.82666666666666666</v>
      </c>
      <c r="H45" s="40">
        <v>0.80944444444444452</v>
      </c>
      <c r="I45" s="40">
        <v>0.61333333333333329</v>
      </c>
      <c r="J45" s="40">
        <v>0.93055555555555558</v>
      </c>
      <c r="K45" s="40">
        <v>0.61444444444444446</v>
      </c>
      <c r="L45" s="20"/>
    </row>
    <row r="46" spans="1:12" x14ac:dyDescent="0.35">
      <c r="A46" s="22" t="s">
        <v>30</v>
      </c>
      <c r="B46" s="40">
        <v>0.62166666666666659</v>
      </c>
      <c r="C46" s="40">
        <v>1.2333333333333334</v>
      </c>
      <c r="D46" s="40">
        <v>0.62222222222222223</v>
      </c>
      <c r="E46" s="40">
        <v>1.1838888888888888</v>
      </c>
      <c r="F46" s="40">
        <v>1.0872222222222223</v>
      </c>
      <c r="G46" s="40">
        <v>0.65888888888888886</v>
      </c>
      <c r="H46" s="40">
        <v>0.89722222222222225</v>
      </c>
      <c r="I46" s="40">
        <v>0.80166666666666664</v>
      </c>
      <c r="J46" s="40">
        <v>0.92833333333333334</v>
      </c>
      <c r="K46" s="40">
        <v>0.6972222222222223</v>
      </c>
      <c r="L46" s="20"/>
    </row>
    <row r="47" spans="1:12" x14ac:dyDescent="0.35">
      <c r="A47" s="22" t="s">
        <v>175</v>
      </c>
      <c r="B47" s="40">
        <v>0.57555555555555549</v>
      </c>
      <c r="C47" s="40">
        <v>0.68666666666666676</v>
      </c>
      <c r="D47" s="40">
        <v>1.3211111111111111</v>
      </c>
      <c r="E47" s="40">
        <v>1.2572222222222222</v>
      </c>
      <c r="F47" s="40">
        <v>1.2055555555555555</v>
      </c>
      <c r="G47" s="40">
        <v>0.67555555555555558</v>
      </c>
      <c r="H47" s="40">
        <v>1.0811111111111109</v>
      </c>
      <c r="I47" s="40">
        <v>1.1894444444444443</v>
      </c>
      <c r="J47" s="40">
        <v>0.9211111111111111</v>
      </c>
      <c r="K47" s="40">
        <v>0.82388888888888878</v>
      </c>
      <c r="L47" s="20"/>
    </row>
    <row r="48" spans="1:12" x14ac:dyDescent="0.35">
      <c r="A48" s="22" t="s">
        <v>31</v>
      </c>
      <c r="B48" s="40">
        <v>0.68694444444444447</v>
      </c>
      <c r="C48" s="40">
        <v>0.71666666666666667</v>
      </c>
      <c r="D48" s="40">
        <v>1.1683333333333332</v>
      </c>
      <c r="E48" s="40">
        <v>0.81722222222222218</v>
      </c>
      <c r="F48" s="40">
        <v>1.1105555555555557</v>
      </c>
      <c r="G48" s="40">
        <v>0.65722222222222215</v>
      </c>
      <c r="H48" s="40">
        <v>0.78888888888888897</v>
      </c>
      <c r="I48" s="40">
        <v>0.78833333333333333</v>
      </c>
      <c r="J48" s="40">
        <v>1.3616666666666668</v>
      </c>
      <c r="K48" s="40">
        <v>0.75777777777777777</v>
      </c>
      <c r="L48" s="20"/>
    </row>
    <row r="49" spans="1:12" x14ac:dyDescent="0.35">
      <c r="A49" s="22" t="s">
        <v>32</v>
      </c>
      <c r="B49" s="40">
        <v>0.68222222222222217</v>
      </c>
      <c r="C49" s="40">
        <v>0.70666666666666667</v>
      </c>
      <c r="D49" s="40">
        <v>1.0105555555555557</v>
      </c>
      <c r="E49" s="40">
        <v>1.2205555555555556</v>
      </c>
      <c r="F49" s="40">
        <v>0.85666666666666669</v>
      </c>
      <c r="G49" s="40">
        <v>1.1888888888888889</v>
      </c>
      <c r="H49" s="40">
        <v>0.81388888888888888</v>
      </c>
      <c r="I49" s="40">
        <v>0.85611111111111116</v>
      </c>
      <c r="J49" s="40">
        <v>1.3394444444444444</v>
      </c>
      <c r="K49" s="40">
        <v>0.8683333333333334</v>
      </c>
      <c r="L49" s="20"/>
    </row>
    <row r="50" spans="1:12" x14ac:dyDescent="0.35">
      <c r="A50" s="22" t="s">
        <v>33</v>
      </c>
      <c r="B50" s="40">
        <v>7.4999999999999997E-2</v>
      </c>
      <c r="C50" s="40">
        <v>1.3916666666666666</v>
      </c>
      <c r="D50" s="40">
        <v>0.6333333333333333</v>
      </c>
      <c r="E50" s="40">
        <v>1.3016666666666665</v>
      </c>
      <c r="F50" s="40">
        <v>1.0994444444444444</v>
      </c>
      <c r="G50" s="40">
        <v>0.95277777777777772</v>
      </c>
      <c r="H50" s="40">
        <v>1.096111111111111</v>
      </c>
      <c r="I50" s="40">
        <v>0.66833333333333333</v>
      </c>
      <c r="J50" s="40">
        <v>1.1072222222222223</v>
      </c>
      <c r="K50" s="40">
        <v>0.76</v>
      </c>
      <c r="L50" s="20"/>
    </row>
    <row r="51" spans="1:12" x14ac:dyDescent="0.35">
      <c r="A51" s="22" t="s">
        <v>34</v>
      </c>
      <c r="B51" s="40">
        <v>0.59277777777777785</v>
      </c>
      <c r="C51" s="40">
        <v>0.66666666666666663</v>
      </c>
      <c r="D51" s="40">
        <v>0.82777777777777772</v>
      </c>
      <c r="E51" s="40">
        <v>1.1016666666666666</v>
      </c>
      <c r="F51" s="40">
        <v>1.0883333333333334</v>
      </c>
      <c r="G51" s="40">
        <v>0.74055555555555552</v>
      </c>
      <c r="H51" s="40">
        <v>1.5127777777777778</v>
      </c>
      <c r="I51" s="40">
        <v>0.73222222222222222</v>
      </c>
      <c r="J51" s="40">
        <v>1.326111111111111</v>
      </c>
      <c r="K51" s="40">
        <v>0.91555555555555546</v>
      </c>
      <c r="L51" s="20"/>
    </row>
    <row r="52" spans="1:12" x14ac:dyDescent="0.35">
      <c r="A52" s="22" t="s">
        <v>35</v>
      </c>
      <c r="B52" s="40">
        <v>1.1366666666666667</v>
      </c>
      <c r="C52" s="40">
        <v>1.1405555555555555</v>
      </c>
      <c r="D52" s="40">
        <v>0.77722222222222226</v>
      </c>
      <c r="E52" s="40">
        <v>0.64722222222222225</v>
      </c>
      <c r="F52" s="40">
        <v>0.64166666666666672</v>
      </c>
      <c r="G52" s="40">
        <v>1.1327777777777779</v>
      </c>
      <c r="H52" s="40">
        <v>1.1461111111111111</v>
      </c>
      <c r="I52" s="40">
        <v>1.0533333333333335</v>
      </c>
      <c r="J52" s="40">
        <v>1.0916666666666666</v>
      </c>
      <c r="K52" s="40">
        <v>0.71833333333333338</v>
      </c>
      <c r="L52" s="20"/>
    </row>
    <row r="53" spans="1:12" x14ac:dyDescent="0.35">
      <c r="A53" s="22" t="s">
        <v>36</v>
      </c>
      <c r="B53" s="40">
        <v>1.115</v>
      </c>
      <c r="C53" s="40">
        <v>1.2572222222222222</v>
      </c>
      <c r="D53" s="40">
        <v>1.2088888888888889</v>
      </c>
      <c r="E53" s="40">
        <v>0.81111111111111112</v>
      </c>
      <c r="F53" s="40">
        <v>0.74055555555555552</v>
      </c>
      <c r="G53" s="40">
        <v>0.97277777777777774</v>
      </c>
      <c r="H53" s="40">
        <v>1.1677777777777778</v>
      </c>
      <c r="I53" s="40">
        <v>0.76888888888888884</v>
      </c>
      <c r="J53" s="40">
        <v>1.0561111111111112</v>
      </c>
      <c r="K53" s="40">
        <v>0.84555555555555562</v>
      </c>
      <c r="L53" s="20"/>
    </row>
    <row r="54" spans="1:12" x14ac:dyDescent="0.35">
      <c r="A54" s="22" t="s">
        <v>37</v>
      </c>
      <c r="B54" s="40">
        <v>0.70277777777777783</v>
      </c>
      <c r="C54" s="40">
        <v>0.50611111111111107</v>
      </c>
      <c r="D54" s="40">
        <v>0.66055555555555556</v>
      </c>
      <c r="E54" s="40">
        <v>0.77055555555555555</v>
      </c>
      <c r="F54" s="40">
        <v>0.76888888888888884</v>
      </c>
      <c r="G54" s="40">
        <v>0.89944444444444449</v>
      </c>
      <c r="H54" s="40">
        <v>1.0327777777777778</v>
      </c>
      <c r="I54" s="40">
        <v>0.77666666666666673</v>
      </c>
      <c r="J54" s="40">
        <v>1.1333333333333333</v>
      </c>
      <c r="K54" s="40">
        <v>0.69111111111111112</v>
      </c>
      <c r="L54" s="20"/>
    </row>
    <row r="55" spans="1:12" x14ac:dyDescent="0.35">
      <c r="A55" s="22" t="s">
        <v>38</v>
      </c>
      <c r="B55" s="40">
        <v>0.72944444444444445</v>
      </c>
      <c r="C55" s="40">
        <v>0.72944444444444445</v>
      </c>
      <c r="D55" s="40">
        <v>0.89222222222222214</v>
      </c>
      <c r="E55" s="40">
        <v>1.0966666666666667</v>
      </c>
      <c r="F55" s="40">
        <v>1.5066666666666668</v>
      </c>
      <c r="G55" s="40">
        <v>0.72944444444444445</v>
      </c>
      <c r="H55" s="40">
        <v>1.0527777777777778</v>
      </c>
      <c r="I55" s="40">
        <v>0.74722222222222223</v>
      </c>
      <c r="J55" s="40">
        <v>0.98333333333333328</v>
      </c>
      <c r="K55" s="40">
        <v>0.79333333333333333</v>
      </c>
      <c r="L55" s="20"/>
    </row>
    <row r="56" spans="1:12" x14ac:dyDescent="0.35">
      <c r="A56" s="22" t="s">
        <v>39</v>
      </c>
      <c r="B56" s="40">
        <v>1.1202777777777777</v>
      </c>
      <c r="C56" s="40">
        <v>1.2427777777777778</v>
      </c>
      <c r="D56" s="40">
        <v>0.86277777777777775</v>
      </c>
      <c r="E56" s="40">
        <v>0.99111111111111116</v>
      </c>
      <c r="F56" s="40">
        <v>0.74555555555555553</v>
      </c>
      <c r="G56" s="40">
        <v>0.99777777777777776</v>
      </c>
      <c r="H56" s="40">
        <v>1.1633333333333333</v>
      </c>
      <c r="I56" s="40">
        <v>1.1222222222222222</v>
      </c>
      <c r="J56" s="40">
        <v>1.0777777777777779</v>
      </c>
      <c r="K56" s="40">
        <v>0.68833333333333324</v>
      </c>
      <c r="L56" s="20"/>
    </row>
    <row r="57" spans="1:12" x14ac:dyDescent="0.35">
      <c r="A57" s="22" t="s">
        <v>176</v>
      </c>
      <c r="B57" s="40">
        <v>0.97555555555555551</v>
      </c>
      <c r="C57" s="40">
        <v>1.1266666666666665</v>
      </c>
      <c r="D57" s="40">
        <v>0.96666666666666667</v>
      </c>
      <c r="E57" s="40">
        <v>0.98222222222222222</v>
      </c>
      <c r="F57" s="40">
        <v>0.74444444444444435</v>
      </c>
      <c r="G57" s="40">
        <v>0.82444444444444442</v>
      </c>
      <c r="H57" s="40">
        <v>1.1877777777777778</v>
      </c>
      <c r="I57" s="40">
        <v>0.85555555555555562</v>
      </c>
      <c r="J57" s="40">
        <v>1.0944444444444446</v>
      </c>
      <c r="K57" s="40">
        <v>0.85777777777777786</v>
      </c>
      <c r="L57" s="20"/>
    </row>
    <row r="58" spans="1:12" x14ac:dyDescent="0.35">
      <c r="A58" s="22" t="s">
        <v>40</v>
      </c>
      <c r="B58" s="40">
        <v>0.75055555555555553</v>
      </c>
      <c r="C58" s="40">
        <v>0.54944444444444451</v>
      </c>
      <c r="D58" s="40">
        <v>0.995</v>
      </c>
      <c r="E58" s="40">
        <v>1.0705555555555555</v>
      </c>
      <c r="F58" s="40">
        <v>0.76333333333333331</v>
      </c>
      <c r="G58" s="40">
        <v>0.95166666666666666</v>
      </c>
      <c r="H58" s="40">
        <v>0.90888888888888886</v>
      </c>
      <c r="I58" s="40">
        <v>1.1783333333333335</v>
      </c>
      <c r="J58" s="40">
        <v>1.165</v>
      </c>
      <c r="K58" s="40">
        <v>0.69333333333333336</v>
      </c>
      <c r="L58" s="20"/>
    </row>
    <row r="59" spans="1:12" x14ac:dyDescent="0.35">
      <c r="A59" s="22" t="s">
        <v>41</v>
      </c>
      <c r="B59" s="40">
        <v>0.79972222222222222</v>
      </c>
      <c r="C59" s="40">
        <v>0.68833333333333324</v>
      </c>
      <c r="D59" s="40">
        <v>0.90194444444444444</v>
      </c>
      <c r="E59" s="40">
        <v>1.0177777777777779</v>
      </c>
      <c r="F59" s="40">
        <v>0.75111111111111117</v>
      </c>
      <c r="G59" s="40">
        <v>0.91111111111111109</v>
      </c>
      <c r="H59" s="40">
        <v>1.1499999999999999</v>
      </c>
      <c r="I59" s="40">
        <v>0.98666666666666669</v>
      </c>
      <c r="J59" s="40">
        <v>0.96259259259259256</v>
      </c>
      <c r="K59" s="40">
        <v>0.78611111111111109</v>
      </c>
      <c r="L59" s="20"/>
    </row>
    <row r="60" spans="1:12" x14ac:dyDescent="0.35">
      <c r="A60" s="22" t="s">
        <v>42</v>
      </c>
      <c r="B60" s="40">
        <v>1.0119444444444445</v>
      </c>
      <c r="C60" s="40">
        <v>1.0516666666666667</v>
      </c>
      <c r="D60" s="40">
        <v>0.79527777777777786</v>
      </c>
      <c r="E60" s="40">
        <v>0.88222222222222213</v>
      </c>
      <c r="F60" s="40">
        <v>1.5455555555555556</v>
      </c>
      <c r="G60" s="40">
        <v>0.97222222222222221</v>
      </c>
      <c r="H60" s="40">
        <v>0.70611111111111113</v>
      </c>
      <c r="I60" s="40">
        <v>1.0916666666666666</v>
      </c>
      <c r="J60" s="40">
        <v>0.78611111111111109</v>
      </c>
      <c r="K60" s="40">
        <v>0.70833333333333337</v>
      </c>
      <c r="L60" s="20"/>
    </row>
    <row r="61" spans="1:12" x14ac:dyDescent="0.35">
      <c r="A61" s="22" t="s">
        <v>43</v>
      </c>
      <c r="B61" s="40">
        <v>0.46055555555555555</v>
      </c>
      <c r="C61" s="40">
        <v>1.2994444444444444</v>
      </c>
      <c r="D61" s="40">
        <v>0.80722222222222229</v>
      </c>
      <c r="E61" s="40">
        <v>0.92555555555555558</v>
      </c>
      <c r="F61" s="40">
        <v>1.2122222222222223</v>
      </c>
      <c r="G61" s="40">
        <v>1.1611111111111112</v>
      </c>
      <c r="H61" s="40">
        <v>0.84111111111111114</v>
      </c>
      <c r="I61" s="40">
        <v>0.77666666666666673</v>
      </c>
      <c r="J61" s="40">
        <v>1.3827777777777779</v>
      </c>
      <c r="K61" s="40">
        <v>0.68888888888888888</v>
      </c>
      <c r="L61" s="20"/>
    </row>
    <row r="62" spans="1:12" x14ac:dyDescent="0.35">
      <c r="A62" s="22" t="s">
        <v>44</v>
      </c>
      <c r="B62" s="40">
        <v>0.96388888888888891</v>
      </c>
      <c r="C62" s="40">
        <v>0.71000000000000008</v>
      </c>
      <c r="D62" s="40">
        <v>0.83611111111111103</v>
      </c>
      <c r="E62" s="40">
        <v>1.2233333333333334</v>
      </c>
      <c r="F62" s="40">
        <v>0.8816666666666666</v>
      </c>
      <c r="G62" s="40">
        <v>1.3333333333333333</v>
      </c>
      <c r="H62" s="40">
        <v>1.3466666666666667</v>
      </c>
      <c r="I62" s="40">
        <v>0.93462962962962959</v>
      </c>
      <c r="J62" s="40">
        <v>0.57555555555555549</v>
      </c>
      <c r="K62" s="40">
        <v>0.72222222222222221</v>
      </c>
      <c r="L62" s="20"/>
    </row>
    <row r="63" spans="1:12" x14ac:dyDescent="0.35">
      <c r="A63" s="22" t="s">
        <v>177</v>
      </c>
      <c r="B63" s="40">
        <v>0.88222222222222213</v>
      </c>
      <c r="C63" s="40">
        <v>0.72055555555555562</v>
      </c>
      <c r="D63" s="40">
        <v>0.59444444444444444</v>
      </c>
      <c r="E63" s="40">
        <v>1.1622222222222223</v>
      </c>
      <c r="F63" s="40">
        <v>1.098888888888889</v>
      </c>
      <c r="G63" s="40">
        <v>0.80138888888888882</v>
      </c>
      <c r="H63" s="40">
        <v>0.98222222222222222</v>
      </c>
      <c r="I63" s="40">
        <v>1.1211111111111112</v>
      </c>
      <c r="J63" s="40">
        <v>0.83444444444444454</v>
      </c>
      <c r="K63" s="40">
        <v>0.81555555555555548</v>
      </c>
      <c r="L63" s="20"/>
    </row>
    <row r="64" spans="1:12" x14ac:dyDescent="0.35">
      <c r="A64" s="22" t="s">
        <v>178</v>
      </c>
      <c r="B64" s="40">
        <v>1.2833333333333334</v>
      </c>
      <c r="C64" s="40">
        <v>1.2833333333333334</v>
      </c>
      <c r="D64" s="40">
        <v>0.58666666666666667</v>
      </c>
      <c r="E64" s="40">
        <v>0.57666666666666666</v>
      </c>
      <c r="F64" s="40">
        <v>0.79666666666666663</v>
      </c>
      <c r="G64" s="40">
        <v>1.2833333333333334</v>
      </c>
      <c r="H64" s="40">
        <v>0.81277777777777771</v>
      </c>
      <c r="I64" s="40">
        <v>1.2322222222222223</v>
      </c>
      <c r="J64" s="40">
        <v>0.73055555555555562</v>
      </c>
      <c r="K64" s="40">
        <v>0.75444444444444447</v>
      </c>
      <c r="L64" s="20"/>
    </row>
    <row r="65" spans="1:12" x14ac:dyDescent="0.35">
      <c r="A65" s="22" t="s">
        <v>45</v>
      </c>
      <c r="B65" s="40">
        <v>0.74555555555555553</v>
      </c>
      <c r="C65" s="40">
        <v>0.60722222222222222</v>
      </c>
      <c r="D65" s="40">
        <v>0.66222222222222227</v>
      </c>
      <c r="E65" s="40">
        <v>0.64722222222222225</v>
      </c>
      <c r="F65" s="40">
        <v>1.0594444444444444</v>
      </c>
      <c r="G65" s="40">
        <v>0.88388888888888884</v>
      </c>
      <c r="H65" s="40">
        <v>0.81388888888888888</v>
      </c>
      <c r="I65" s="40">
        <v>1.0144444444444445</v>
      </c>
      <c r="J65" s="40">
        <v>0.42222222222222222</v>
      </c>
      <c r="K65" s="40">
        <v>0.69500000000000006</v>
      </c>
      <c r="L65" s="20"/>
    </row>
    <row r="66" spans="1:12" x14ac:dyDescent="0.35">
      <c r="A66" s="22" t="s">
        <v>46</v>
      </c>
      <c r="B66" s="40">
        <v>0.99527777777777782</v>
      </c>
      <c r="C66" s="40">
        <v>0.90499999999999992</v>
      </c>
      <c r="D66" s="40">
        <v>1.01</v>
      </c>
      <c r="E66" s="40">
        <v>0.62111111111111106</v>
      </c>
      <c r="F66" s="40">
        <v>0.89333333333333331</v>
      </c>
      <c r="G66" s="40">
        <v>1.0855555555555556</v>
      </c>
      <c r="H66" s="40">
        <v>0.68944444444444442</v>
      </c>
      <c r="I66" s="40">
        <v>0.65444444444444438</v>
      </c>
      <c r="J66" s="40">
        <v>0.99888888888888883</v>
      </c>
      <c r="K66" s="40">
        <v>0.71111111111111103</v>
      </c>
      <c r="L66" s="20"/>
    </row>
    <row r="67" spans="1:12" x14ac:dyDescent="0.35">
      <c r="A67" s="22" t="s">
        <v>47</v>
      </c>
      <c r="B67" s="40">
        <v>0.70194444444444448</v>
      </c>
      <c r="C67" s="40">
        <v>0.57611111111111113</v>
      </c>
      <c r="D67" s="40">
        <v>1.2172222222222222</v>
      </c>
      <c r="E67" s="40">
        <v>0.87777777777777777</v>
      </c>
      <c r="F67" s="40">
        <v>0.7844444444444445</v>
      </c>
      <c r="G67" s="40">
        <v>0.82777777777777772</v>
      </c>
      <c r="H67" s="40">
        <v>1.2738888888888888</v>
      </c>
      <c r="I67" s="40">
        <v>0.94</v>
      </c>
      <c r="J67" s="40">
        <v>1.0538888888888889</v>
      </c>
      <c r="K67" s="40">
        <v>0.89</v>
      </c>
      <c r="L67" s="20"/>
    </row>
    <row r="68" spans="1:12" x14ac:dyDescent="0.35">
      <c r="A68" s="22" t="s">
        <v>48</v>
      </c>
      <c r="B68" s="40">
        <v>1.5833333333333333</v>
      </c>
      <c r="C68" s="40">
        <v>1.5833333333333333</v>
      </c>
      <c r="D68" s="40">
        <v>0.77222222222222225</v>
      </c>
      <c r="E68" s="40">
        <v>0.71944444444444444</v>
      </c>
      <c r="F68" s="40">
        <v>1.2288888888888889</v>
      </c>
      <c r="G68" s="40">
        <v>1.5833333333333333</v>
      </c>
      <c r="H68" s="40">
        <v>0.88277777777777777</v>
      </c>
      <c r="I68" s="40">
        <v>0.64055555555555554</v>
      </c>
      <c r="J68" s="40">
        <v>0.55833333333333335</v>
      </c>
      <c r="K68" s="40">
        <v>0.84</v>
      </c>
      <c r="L68" s="20"/>
    </row>
    <row r="69" spans="1:12" x14ac:dyDescent="0.35">
      <c r="A69" s="22" t="s">
        <v>179</v>
      </c>
      <c r="B69" s="40">
        <v>0.32722222222222219</v>
      </c>
      <c r="C69" s="40">
        <v>0.73444444444444446</v>
      </c>
      <c r="D69" s="40">
        <v>1.0916666666666666</v>
      </c>
      <c r="E69" s="40">
        <v>1.4200000000000002</v>
      </c>
      <c r="F69" s="40">
        <v>0.93444444444444452</v>
      </c>
      <c r="G69" s="40">
        <v>0.89277777777777778</v>
      </c>
      <c r="H69" s="40">
        <v>0.6972222222222223</v>
      </c>
      <c r="I69" s="40">
        <v>0.95</v>
      </c>
      <c r="J69" s="40">
        <v>0.87166666666666659</v>
      </c>
      <c r="K69" s="40">
        <v>0.78111111111111109</v>
      </c>
      <c r="L69" s="20"/>
    </row>
    <row r="70" spans="1:12" x14ac:dyDescent="0.35">
      <c r="A70" s="22" t="s">
        <v>49</v>
      </c>
      <c r="B70" s="40">
        <v>0.45944444444444443</v>
      </c>
      <c r="C70" s="40">
        <v>1.1088888888888888</v>
      </c>
      <c r="D70" s="40">
        <v>1.0216666666666667</v>
      </c>
      <c r="E70" s="40">
        <v>0.60555555555555562</v>
      </c>
      <c r="F70" s="40">
        <v>1.0522222222222222</v>
      </c>
      <c r="G70" s="40">
        <v>1.1633333333333333</v>
      </c>
      <c r="H70" s="40">
        <v>0.66055555555555556</v>
      </c>
      <c r="I70" s="40">
        <v>1.1872222222222222</v>
      </c>
      <c r="J70" s="40">
        <v>0.63722222222222225</v>
      </c>
      <c r="K70" s="40">
        <v>0.86</v>
      </c>
      <c r="L70" s="20"/>
    </row>
    <row r="71" spans="1:12" x14ac:dyDescent="0.35">
      <c r="A71" s="22" t="s">
        <v>50</v>
      </c>
      <c r="B71" s="40">
        <v>0.44666666666666666</v>
      </c>
      <c r="C71" s="40">
        <v>1.046111111111111</v>
      </c>
      <c r="D71" s="40">
        <v>0.72555555555555551</v>
      </c>
      <c r="E71" s="40">
        <v>1.0733333333333335</v>
      </c>
      <c r="F71" s="40">
        <v>1.175</v>
      </c>
      <c r="G71" s="40">
        <v>0.65388888888888885</v>
      </c>
      <c r="H71" s="40">
        <v>0.69777777777777783</v>
      </c>
      <c r="I71" s="40">
        <v>1.1166666666666667</v>
      </c>
      <c r="J71" s="40">
        <v>1.4488888888888889</v>
      </c>
      <c r="K71" s="40">
        <v>0.72499999999999998</v>
      </c>
      <c r="L71" s="20"/>
    </row>
    <row r="72" spans="1:12" x14ac:dyDescent="0.35">
      <c r="A72" s="22" t="s">
        <v>51</v>
      </c>
      <c r="B72" s="40">
        <v>0.97333333333333327</v>
      </c>
      <c r="C72" s="40">
        <v>0.77500000000000002</v>
      </c>
      <c r="D72" s="40">
        <v>0.91833333333333333</v>
      </c>
      <c r="E72" s="40">
        <v>0.81333333333333324</v>
      </c>
      <c r="F72" s="40">
        <v>0.81555555555555548</v>
      </c>
      <c r="G72" s="40">
        <v>1.1716666666666666</v>
      </c>
      <c r="H72" s="40">
        <v>1.076111111111111</v>
      </c>
      <c r="I72" s="40">
        <v>0.73555555555555552</v>
      </c>
      <c r="J72" s="40">
        <v>0.83777777777777773</v>
      </c>
      <c r="K72" s="40">
        <v>0.70166666666666666</v>
      </c>
      <c r="L72" s="20"/>
    </row>
    <row r="73" spans="1:12" x14ac:dyDescent="0.35">
      <c r="A73" s="22" t="s">
        <v>52</v>
      </c>
      <c r="B73" s="40">
        <v>1.028888888888889</v>
      </c>
      <c r="C73" s="40">
        <v>1.028888888888889</v>
      </c>
      <c r="D73" s="40">
        <v>1.3888888888888888</v>
      </c>
      <c r="E73" s="40">
        <v>0.87611111111111117</v>
      </c>
      <c r="F73" s="40">
        <v>0.8338888888888889</v>
      </c>
      <c r="G73" s="40">
        <v>1.028888888888889</v>
      </c>
      <c r="H73" s="40">
        <v>0.9094444444444445</v>
      </c>
      <c r="I73" s="40">
        <v>0.58888888888888891</v>
      </c>
      <c r="J73" s="40">
        <v>0.48833333333333334</v>
      </c>
      <c r="K73" s="40">
        <v>0.88666666666666671</v>
      </c>
      <c r="L73" s="20"/>
    </row>
    <row r="74" spans="1:12" x14ac:dyDescent="0.35">
      <c r="A74" s="22" t="s">
        <v>53</v>
      </c>
      <c r="B74" s="40">
        <v>0.96944444444444444</v>
      </c>
      <c r="C74" s="40">
        <v>1.2088888888888889</v>
      </c>
      <c r="D74" s="40">
        <v>0.81944444444444442</v>
      </c>
      <c r="E74" s="40">
        <v>1.0049999999999999</v>
      </c>
      <c r="F74" s="40">
        <v>1.0705555555555555</v>
      </c>
      <c r="G74" s="40">
        <v>0.73</v>
      </c>
      <c r="H74" s="40">
        <v>0.51666666666666672</v>
      </c>
      <c r="I74" s="40">
        <v>1.2861111111111112</v>
      </c>
      <c r="J74" s="40">
        <v>0.95777777777777784</v>
      </c>
      <c r="K74" s="40">
        <v>0.66555555555555546</v>
      </c>
      <c r="L74" s="20"/>
    </row>
    <row r="75" spans="1:12" x14ac:dyDescent="0.35">
      <c r="A75" s="22" t="s">
        <v>54</v>
      </c>
      <c r="B75" s="40">
        <v>0.80666666666666664</v>
      </c>
      <c r="C75" s="40">
        <v>0.80611111111111111</v>
      </c>
      <c r="D75" s="40">
        <v>1.306111111111111</v>
      </c>
      <c r="E75" s="40">
        <v>1.0105555555555557</v>
      </c>
      <c r="F75" s="40">
        <v>0.99722222222222223</v>
      </c>
      <c r="G75" s="40">
        <v>0.80722222222222217</v>
      </c>
      <c r="H75" s="40">
        <v>0.93388888888888888</v>
      </c>
      <c r="I75" s="40">
        <v>0.84333333333333338</v>
      </c>
      <c r="J75" s="40">
        <v>0.89388888888888884</v>
      </c>
      <c r="K75" s="40">
        <v>0.77277777777777779</v>
      </c>
      <c r="L75" s="20"/>
    </row>
    <row r="76" spans="1:12" x14ac:dyDescent="0.35">
      <c r="A76" s="22" t="s">
        <v>180</v>
      </c>
      <c r="B76" s="40">
        <v>0.45555555555555555</v>
      </c>
      <c r="C76" s="40">
        <v>0.77277777777777779</v>
      </c>
      <c r="D76" s="40">
        <v>0.89222222222222214</v>
      </c>
      <c r="E76" s="40">
        <v>1.1888888888888889</v>
      </c>
      <c r="F76" s="40">
        <v>0.72777777777777775</v>
      </c>
      <c r="G76" s="40">
        <v>0.80555555555555558</v>
      </c>
      <c r="H76" s="40">
        <v>0.65722222222222215</v>
      </c>
      <c r="I76" s="40">
        <v>0.81277777777777771</v>
      </c>
      <c r="J76" s="40">
        <v>0.53999999999999992</v>
      </c>
      <c r="K76" s="40">
        <v>0.67722222222222217</v>
      </c>
      <c r="L76" s="20"/>
    </row>
    <row r="77" spans="1:12" x14ac:dyDescent="0.35">
      <c r="A77" s="22" t="s">
        <v>55</v>
      </c>
      <c r="B77" s="40">
        <v>1.1050000000000002</v>
      </c>
      <c r="C77" s="40">
        <v>1.095</v>
      </c>
      <c r="D77" s="40">
        <v>0.75444444444444447</v>
      </c>
      <c r="E77" s="40">
        <v>0.85944444444444446</v>
      </c>
      <c r="F77" s="40">
        <v>0.5988888888888888</v>
      </c>
      <c r="G77" s="40">
        <v>1.115</v>
      </c>
      <c r="H77" s="40">
        <v>1.1038888888888889</v>
      </c>
      <c r="I77" s="40">
        <v>0.71166666666666667</v>
      </c>
      <c r="J77" s="40">
        <v>0.80481481481481487</v>
      </c>
      <c r="K77" s="40">
        <v>0.86166666666666669</v>
      </c>
      <c r="L77" s="20"/>
    </row>
    <row r="78" spans="1:12" x14ac:dyDescent="0.35">
      <c r="A78" s="22" t="s">
        <v>56</v>
      </c>
      <c r="B78" s="40">
        <v>0.7236111111111112</v>
      </c>
      <c r="C78" s="40">
        <v>0.61888888888888893</v>
      </c>
      <c r="D78" s="40">
        <v>0.93777777777777771</v>
      </c>
      <c r="E78" s="40">
        <v>0.95222222222222219</v>
      </c>
      <c r="F78" s="40">
        <v>1.3927777777777777</v>
      </c>
      <c r="G78" s="40">
        <v>0.82833333333333337</v>
      </c>
      <c r="H78" s="40">
        <v>0.71777777777777785</v>
      </c>
      <c r="I78" s="40">
        <v>0.88111111111111107</v>
      </c>
      <c r="J78" s="40">
        <v>0.55166666666666664</v>
      </c>
      <c r="K78" s="40">
        <v>0.71444444444444444</v>
      </c>
      <c r="L78" s="20"/>
    </row>
    <row r="79" spans="1:12" x14ac:dyDescent="0.35">
      <c r="A79" s="22" t="s">
        <v>57</v>
      </c>
      <c r="B79" s="40">
        <v>1.2255555555555555</v>
      </c>
      <c r="C79" s="40">
        <v>1.1527777777777779</v>
      </c>
      <c r="D79" s="40">
        <v>1.598888888888889</v>
      </c>
      <c r="E79" s="40">
        <v>0.59833333333333327</v>
      </c>
      <c r="F79" s="40">
        <v>0.70611111111111113</v>
      </c>
      <c r="G79" s="40">
        <v>1.2983333333333333</v>
      </c>
      <c r="H79" s="40">
        <v>0.93166666666666664</v>
      </c>
      <c r="I79" s="40">
        <v>1.1572222222222224</v>
      </c>
      <c r="J79" s="40">
        <v>0.62722222222222224</v>
      </c>
      <c r="K79" s="40">
        <v>0.84777777777777774</v>
      </c>
      <c r="L79" s="20"/>
    </row>
    <row r="80" spans="1:12" x14ac:dyDescent="0.35">
      <c r="A80" s="22" t="s">
        <v>58</v>
      </c>
      <c r="B80" s="40">
        <v>0.67416666666666669</v>
      </c>
      <c r="C80" s="40">
        <v>0.76222222222222225</v>
      </c>
      <c r="D80" s="40">
        <v>0.8027777777777777</v>
      </c>
      <c r="E80" s="40">
        <v>0.99277777777777787</v>
      </c>
      <c r="F80" s="40">
        <v>1.0338888888888889</v>
      </c>
      <c r="G80" s="40">
        <v>0.58611111111111103</v>
      </c>
      <c r="H80" s="40">
        <v>0.58888888888888891</v>
      </c>
      <c r="I80" s="40">
        <v>0.85722222222222222</v>
      </c>
      <c r="J80" s="40">
        <v>0.78055555555555556</v>
      </c>
      <c r="K80" s="40">
        <v>0.73944444444444446</v>
      </c>
      <c r="L80" s="20"/>
    </row>
    <row r="81" spans="1:12" x14ac:dyDescent="0.35">
      <c r="A81" s="22" t="s">
        <v>59</v>
      </c>
      <c r="B81" s="40">
        <v>1.1130555555555555</v>
      </c>
      <c r="C81" s="40">
        <v>1.0355555555555556</v>
      </c>
      <c r="D81" s="40">
        <v>0.60444444444444445</v>
      </c>
      <c r="E81" s="40">
        <v>0.91</v>
      </c>
      <c r="F81" s="40">
        <v>0.90777777777777779</v>
      </c>
      <c r="G81" s="40">
        <v>1.1905555555555556</v>
      </c>
      <c r="H81" s="40">
        <v>0.62166666666666659</v>
      </c>
      <c r="I81" s="40">
        <v>1.2633333333333332</v>
      </c>
      <c r="J81" s="40">
        <v>1.415</v>
      </c>
      <c r="K81" s="40">
        <v>0.73944444444444446</v>
      </c>
      <c r="L81" s="20"/>
    </row>
    <row r="82" spans="1:12" x14ac:dyDescent="0.35">
      <c r="A82" s="22" t="s">
        <v>181</v>
      </c>
      <c r="B82" s="40">
        <v>0.76527777777777783</v>
      </c>
      <c r="C82" s="40">
        <v>0.58666666666666667</v>
      </c>
      <c r="D82" s="40">
        <v>1.1316666666666668</v>
      </c>
      <c r="E82" s="40">
        <v>1.1483333333333334</v>
      </c>
      <c r="F82" s="40">
        <v>0.70222222222222219</v>
      </c>
      <c r="G82" s="40">
        <v>0.94388888888888889</v>
      </c>
      <c r="H82" s="40">
        <v>0.93888888888888888</v>
      </c>
      <c r="I82" s="40">
        <v>0.57555555555555549</v>
      </c>
      <c r="J82" s="40">
        <v>1.5388888888888888</v>
      </c>
      <c r="K82" s="40">
        <v>0.81666666666666665</v>
      </c>
      <c r="L82" s="20"/>
    </row>
    <row r="83" spans="1:12" x14ac:dyDescent="0.35">
      <c r="A83" s="22" t="s">
        <v>60</v>
      </c>
      <c r="B83" s="40">
        <v>0.6644444444444445</v>
      </c>
      <c r="C83" s="40">
        <v>0.6644444444444445</v>
      </c>
      <c r="D83" s="40">
        <v>0.98166666666666669</v>
      </c>
      <c r="E83" s="40">
        <v>0.58777777777777773</v>
      </c>
      <c r="F83" s="40">
        <v>0.73666666666666669</v>
      </c>
      <c r="G83" s="40">
        <v>0.6644444444444445</v>
      </c>
      <c r="H83" s="40">
        <v>0.94833333333333336</v>
      </c>
      <c r="I83" s="40">
        <v>0.69888888888888878</v>
      </c>
      <c r="J83" s="40">
        <v>0.50055555555555553</v>
      </c>
      <c r="K83" s="40">
        <v>0.87333333333333329</v>
      </c>
      <c r="L83" s="20"/>
    </row>
    <row r="84" spans="1:12" x14ac:dyDescent="0.35">
      <c r="A84" s="22" t="s">
        <v>61</v>
      </c>
      <c r="B84" s="40">
        <v>1.1047222222222222</v>
      </c>
      <c r="C84" s="40">
        <v>1.1633333333333333</v>
      </c>
      <c r="D84" s="40">
        <v>1.1700000000000002</v>
      </c>
      <c r="E84" s="40">
        <v>0.92833333333333334</v>
      </c>
      <c r="F84" s="40">
        <v>0.84166666666666667</v>
      </c>
      <c r="G84" s="40">
        <v>1.046111111111111</v>
      </c>
      <c r="H84" s="40">
        <v>0.85555555555555562</v>
      </c>
      <c r="I84" s="40">
        <v>1.0116666666666667</v>
      </c>
      <c r="J84" s="40">
        <v>0.74833333333333329</v>
      </c>
      <c r="K84" s="40">
        <v>0.69222222222222218</v>
      </c>
      <c r="L84" s="20"/>
    </row>
    <row r="85" spans="1:12" x14ac:dyDescent="0.35">
      <c r="A85" s="22" t="s">
        <v>62</v>
      </c>
      <c r="B85" s="40">
        <v>0.9275000000000001</v>
      </c>
      <c r="C85" s="40">
        <v>1.2161111111111111</v>
      </c>
      <c r="D85" s="40">
        <v>1.2433333333333332</v>
      </c>
      <c r="E85" s="40">
        <v>0.57444444444444442</v>
      </c>
      <c r="F85" s="40">
        <v>0.83888888888888891</v>
      </c>
      <c r="G85" s="40">
        <v>0.63888888888888895</v>
      </c>
      <c r="H85" s="40">
        <v>1.0616666666666668</v>
      </c>
      <c r="I85" s="40">
        <v>0.64222222222222214</v>
      </c>
      <c r="J85" s="40">
        <v>0.91833333333333333</v>
      </c>
      <c r="K85" s="40">
        <v>0.74722222222222223</v>
      </c>
      <c r="L85" s="20"/>
    </row>
    <row r="86" spans="1:12" x14ac:dyDescent="0.35">
      <c r="A86" s="22" t="s">
        <v>63</v>
      </c>
      <c r="B86" s="40">
        <v>1.1072222222222223</v>
      </c>
      <c r="C86" s="40">
        <v>1.1072222222222223</v>
      </c>
      <c r="D86" s="40">
        <v>0.85166666666666668</v>
      </c>
      <c r="E86" s="40">
        <v>0.82055555555555559</v>
      </c>
      <c r="F86" s="40">
        <v>0.98777777777777775</v>
      </c>
      <c r="G86" s="40">
        <v>1.1072222222222223</v>
      </c>
      <c r="H86" s="40">
        <v>1.2888888888888888</v>
      </c>
      <c r="I86" s="40">
        <v>1.0372222222222223</v>
      </c>
      <c r="J86" s="40">
        <v>0.63277777777777777</v>
      </c>
      <c r="K86" s="40">
        <v>0.94611111111111112</v>
      </c>
      <c r="L86" s="20"/>
    </row>
    <row r="87" spans="1:12" x14ac:dyDescent="0.35">
      <c r="A87" s="22" t="s">
        <v>64</v>
      </c>
      <c r="B87" s="40">
        <v>0.93904761904761913</v>
      </c>
      <c r="C87" s="40">
        <v>0.93904761904761913</v>
      </c>
      <c r="D87" s="40">
        <v>0.85166666666666668</v>
      </c>
      <c r="E87" s="40">
        <v>0.93944444444444442</v>
      </c>
      <c r="F87" s="40">
        <v>1.2005555555555556</v>
      </c>
      <c r="G87" s="40">
        <v>0.93904761904761913</v>
      </c>
      <c r="H87" s="40">
        <v>0.71833333333333338</v>
      </c>
      <c r="I87" s="40">
        <v>1.2366666666666668</v>
      </c>
      <c r="J87" s="40">
        <v>0.95</v>
      </c>
      <c r="K87" s="40">
        <v>0.67666666666666664</v>
      </c>
      <c r="L87" s="20"/>
    </row>
    <row r="88" spans="1:12" x14ac:dyDescent="0.35">
      <c r="A88" s="22" t="s">
        <v>182</v>
      </c>
      <c r="B88" s="40">
        <v>0.77444444444444449</v>
      </c>
      <c r="C88" s="40">
        <v>0.77444444444444449</v>
      </c>
      <c r="D88" s="40">
        <v>0.70222222222222219</v>
      </c>
      <c r="E88" s="40">
        <v>0.64666666666666661</v>
      </c>
      <c r="F88" s="40">
        <v>0.90611111111111109</v>
      </c>
      <c r="G88" s="40">
        <v>0.77444444444444449</v>
      </c>
      <c r="H88" s="40">
        <v>1.4933333333333332</v>
      </c>
      <c r="I88" s="40">
        <v>1.2588888888888889</v>
      </c>
      <c r="J88" s="40">
        <v>0.69666666666666666</v>
      </c>
      <c r="K88" s="40">
        <v>0.67444444444444451</v>
      </c>
      <c r="L88" s="20"/>
    </row>
    <row r="89" spans="1:12" x14ac:dyDescent="0.35">
      <c r="A89" s="22" t="s">
        <v>65</v>
      </c>
      <c r="B89" s="40">
        <v>0.89333333333333331</v>
      </c>
      <c r="C89" s="40">
        <v>0.8666666666666667</v>
      </c>
      <c r="D89" s="40">
        <v>1.2150000000000001</v>
      </c>
      <c r="E89" s="40">
        <v>1.306111111111111</v>
      </c>
      <c r="F89" s="40">
        <v>1.1994444444444445</v>
      </c>
      <c r="G89" s="40">
        <v>0.84</v>
      </c>
      <c r="H89" s="40">
        <v>0.98222222222222222</v>
      </c>
      <c r="I89" s="40">
        <v>0.63055555555555565</v>
      </c>
      <c r="J89" s="40">
        <v>0.72333333333333327</v>
      </c>
      <c r="K89" s="40">
        <v>0.65</v>
      </c>
      <c r="L89" s="20"/>
    </row>
    <row r="90" spans="1:12" x14ac:dyDescent="0.35">
      <c r="A90" s="22" t="s">
        <v>66</v>
      </c>
      <c r="B90" s="40">
        <v>1.0616666666666668</v>
      </c>
      <c r="C90" s="40">
        <v>1.0616666666666668</v>
      </c>
      <c r="D90" s="40">
        <v>0.65666666666666662</v>
      </c>
      <c r="E90" s="40">
        <v>0.77333333333333332</v>
      </c>
      <c r="F90" s="40">
        <v>1.0583333333333333</v>
      </c>
      <c r="G90" s="40">
        <v>1.0616666666666668</v>
      </c>
      <c r="H90" s="40">
        <v>0.8355555555555555</v>
      </c>
      <c r="I90" s="40">
        <v>0.69888888888888878</v>
      </c>
      <c r="J90" s="40">
        <v>0.77</v>
      </c>
      <c r="K90" s="40">
        <v>0.90444444444444438</v>
      </c>
      <c r="L90" s="20"/>
    </row>
    <row r="91" spans="1:12" x14ac:dyDescent="0.35">
      <c r="A91" s="22" t="s">
        <v>67</v>
      </c>
      <c r="B91" s="40">
        <v>0.83611111111111103</v>
      </c>
      <c r="C91" s="40">
        <v>0.85249999999999992</v>
      </c>
      <c r="D91" s="40">
        <v>0.70666666666666667</v>
      </c>
      <c r="E91" s="40">
        <v>0.78555555555555556</v>
      </c>
      <c r="F91" s="40">
        <v>1.2227777777777777</v>
      </c>
      <c r="G91" s="40">
        <v>0.86888888888888893</v>
      </c>
      <c r="H91" s="40">
        <v>0.6661111111111111</v>
      </c>
      <c r="I91" s="40">
        <v>1.4594444444444443</v>
      </c>
      <c r="J91" s="40">
        <v>0.62444444444444447</v>
      </c>
      <c r="K91" s="40">
        <v>0.88055555555555565</v>
      </c>
      <c r="L91" s="20"/>
    </row>
    <row r="92" spans="1:12" x14ac:dyDescent="0.35">
      <c r="A92" s="22" t="s">
        <v>68</v>
      </c>
      <c r="B92" s="40">
        <v>0.44944444444444442</v>
      </c>
      <c r="C92" s="40">
        <v>0.56027777777777776</v>
      </c>
      <c r="D92" s="40">
        <v>0.98277777777777786</v>
      </c>
      <c r="E92" s="40">
        <v>0.87277777777777776</v>
      </c>
      <c r="F92" s="40">
        <v>0.96444444444444444</v>
      </c>
      <c r="G92" s="40">
        <v>0.6711111111111111</v>
      </c>
      <c r="H92" s="40">
        <v>0.79222222222222216</v>
      </c>
      <c r="I92" s="40">
        <v>1.4855555555555557</v>
      </c>
      <c r="J92" s="40">
        <v>0.66666666666666663</v>
      </c>
      <c r="K92" s="40">
        <v>0.79555555555555557</v>
      </c>
      <c r="L92" s="20"/>
    </row>
    <row r="93" spans="1:12" x14ac:dyDescent="0.35">
      <c r="A93" s="22" t="s">
        <v>69</v>
      </c>
      <c r="B93" s="40">
        <v>0.66166666666666674</v>
      </c>
      <c r="C93" s="40">
        <v>0.66166666666666674</v>
      </c>
      <c r="D93" s="40">
        <v>0.5394444444444445</v>
      </c>
      <c r="E93" s="40">
        <v>1.0472222222222223</v>
      </c>
      <c r="F93" s="40">
        <v>0.69611111111111112</v>
      </c>
      <c r="G93" s="40">
        <v>0.66166666666666674</v>
      </c>
      <c r="H93" s="40">
        <v>0.77999999999999992</v>
      </c>
      <c r="I93" s="40">
        <v>0.68166666666666664</v>
      </c>
      <c r="J93" s="40">
        <v>0.99111111111111116</v>
      </c>
      <c r="K93" s="40">
        <v>0.78333333333333333</v>
      </c>
      <c r="L93" s="20"/>
    </row>
    <row r="94" spans="1:12" x14ac:dyDescent="0.35">
      <c r="A94" s="22" t="s">
        <v>70</v>
      </c>
      <c r="B94" s="40">
        <v>1.1616666666666666</v>
      </c>
      <c r="C94" s="40">
        <v>1.1616666666666666</v>
      </c>
      <c r="D94" s="40">
        <v>1.2483333333333335</v>
      </c>
      <c r="E94" s="40">
        <v>0.88388888888888884</v>
      </c>
      <c r="F94" s="40">
        <v>0.61555555555555552</v>
      </c>
      <c r="G94" s="40">
        <v>1.1616666666666666</v>
      </c>
      <c r="H94" s="40">
        <v>1.1727777777777777</v>
      </c>
      <c r="I94" s="40">
        <v>0.6594444444444445</v>
      </c>
      <c r="J94" s="40">
        <v>0.99111111111111116</v>
      </c>
      <c r="K94" s="40">
        <v>1.0244444444444445</v>
      </c>
      <c r="L94" s="20"/>
    </row>
    <row r="95" spans="1:12" x14ac:dyDescent="0.35">
      <c r="A95" s="22" t="s">
        <v>71</v>
      </c>
      <c r="B95" s="40">
        <v>0.75944444444444448</v>
      </c>
      <c r="C95" s="40">
        <v>0.75944444444444448</v>
      </c>
      <c r="D95" s="40">
        <v>1.0022222222222221</v>
      </c>
      <c r="E95" s="40">
        <v>0.70333333333333337</v>
      </c>
      <c r="F95" s="40">
        <v>0.9588888888888889</v>
      </c>
      <c r="G95" s="40">
        <v>0.75944444444444448</v>
      </c>
      <c r="H95" s="40">
        <v>1.1016666666666666</v>
      </c>
      <c r="I95" s="40">
        <v>1.26</v>
      </c>
      <c r="J95" s="40">
        <v>0.62</v>
      </c>
      <c r="K95" s="40">
        <v>0.84277777777777785</v>
      </c>
      <c r="L95" s="20"/>
    </row>
    <row r="96" spans="1:12" x14ac:dyDescent="0.35">
      <c r="A96" s="22" t="s">
        <v>72</v>
      </c>
      <c r="B96" s="40">
        <v>1.0277777777777777</v>
      </c>
      <c r="C96" s="40">
        <v>1.0277777777777777</v>
      </c>
      <c r="D96" s="40">
        <v>0.745</v>
      </c>
      <c r="E96" s="40">
        <v>0.73555555555555552</v>
      </c>
      <c r="F96" s="40">
        <v>0.79888888888888887</v>
      </c>
      <c r="G96" s="40">
        <v>1.0277777777777777</v>
      </c>
      <c r="H96" s="40">
        <v>0.69111111111111112</v>
      </c>
      <c r="I96" s="40">
        <v>0.89277777777777778</v>
      </c>
      <c r="J96" s="40">
        <v>0.79555555555555557</v>
      </c>
      <c r="K96" s="40">
        <v>0.75444444444444447</v>
      </c>
      <c r="L96" s="20"/>
    </row>
    <row r="97" spans="1:15" x14ac:dyDescent="0.35">
      <c r="A97" s="22" t="s">
        <v>73</v>
      </c>
      <c r="B97" s="40">
        <v>1.3099999999999998</v>
      </c>
      <c r="C97" s="40">
        <v>1.3099999999999998</v>
      </c>
      <c r="D97" s="40">
        <v>0.78666666666666674</v>
      </c>
      <c r="E97" s="40">
        <v>0.85611111111111116</v>
      </c>
      <c r="F97" s="40">
        <v>0.86055555555555552</v>
      </c>
      <c r="G97" s="40">
        <v>1.3099999999999998</v>
      </c>
      <c r="H97" s="40">
        <v>1.3411111111111111</v>
      </c>
      <c r="I97" s="40">
        <v>0.80833333333333335</v>
      </c>
      <c r="J97" s="40">
        <v>1.0294444444444444</v>
      </c>
      <c r="K97" s="40">
        <v>0.94444444444444442</v>
      </c>
      <c r="L97" s="20"/>
    </row>
    <row r="98" spans="1:15" x14ac:dyDescent="0.35">
      <c r="A98" s="22" t="s">
        <v>74</v>
      </c>
      <c r="B98" s="40">
        <v>0.24277777777777779</v>
      </c>
      <c r="C98" s="40">
        <v>0.61555555555555552</v>
      </c>
      <c r="D98" s="40">
        <v>1.6577777777777778</v>
      </c>
      <c r="E98" s="40">
        <v>0.995</v>
      </c>
      <c r="F98" s="40">
        <v>1.1683333333333332</v>
      </c>
      <c r="G98" s="40">
        <v>0.98833333333333329</v>
      </c>
      <c r="H98" s="40">
        <v>1.1855555555555557</v>
      </c>
      <c r="I98" s="40">
        <v>0.98277777777777786</v>
      </c>
      <c r="J98" s="40">
        <v>0.90888888888888886</v>
      </c>
      <c r="K98" s="40">
        <v>0.82444444444444442</v>
      </c>
      <c r="L98" s="20"/>
    </row>
    <row r="99" spans="1:15" x14ac:dyDescent="0.35">
      <c r="A99" s="22" t="s">
        <v>75</v>
      </c>
      <c r="B99" s="40">
        <v>0.51888888888888884</v>
      </c>
      <c r="C99" s="40">
        <v>0.89277777777777778</v>
      </c>
      <c r="D99" s="40">
        <v>0.75444444444444447</v>
      </c>
      <c r="E99" s="40">
        <v>0.56388888888888888</v>
      </c>
      <c r="F99" s="40">
        <v>0.66499999999999992</v>
      </c>
      <c r="G99" s="40">
        <v>1.0333333333333334</v>
      </c>
      <c r="H99" s="40">
        <v>0.63722222222222225</v>
      </c>
      <c r="I99" s="40">
        <v>0.81444444444444442</v>
      </c>
      <c r="J99" s="40">
        <v>0.70499999999999996</v>
      </c>
      <c r="K99" s="40">
        <v>0.745</v>
      </c>
      <c r="L99" s="20"/>
    </row>
    <row r="100" spans="1:15" x14ac:dyDescent="0.35">
      <c r="A100" s="22" t="s">
        <v>76</v>
      </c>
      <c r="B100" s="40">
        <v>0.75888888888888884</v>
      </c>
      <c r="C100" s="40">
        <v>1.5472222222222221</v>
      </c>
      <c r="D100" s="40">
        <v>0.9277777777777777</v>
      </c>
      <c r="E100" s="40">
        <v>1.5705555555555555</v>
      </c>
      <c r="F100" s="40">
        <v>0.85444444444444445</v>
      </c>
      <c r="G100" s="40">
        <v>0.75</v>
      </c>
      <c r="H100" s="40">
        <v>1.0627777777777778</v>
      </c>
      <c r="I100" s="40">
        <v>1.5338888888888889</v>
      </c>
      <c r="J100" s="40">
        <v>1.1422222222222222</v>
      </c>
      <c r="K100" s="40">
        <v>0.85611111111111116</v>
      </c>
      <c r="L100" s="20"/>
    </row>
    <row r="101" spans="1:15" x14ac:dyDescent="0.35">
      <c r="A101" s="22" t="s">
        <v>77</v>
      </c>
      <c r="B101" s="40">
        <v>0.36777777777777776</v>
      </c>
      <c r="C101" s="40">
        <v>1.2588888888888889</v>
      </c>
      <c r="D101" s="40">
        <v>1.0488888888888888</v>
      </c>
      <c r="E101" s="40">
        <v>1.1116666666666668</v>
      </c>
      <c r="F101" s="40">
        <v>0.82666666666666666</v>
      </c>
      <c r="G101" s="40">
        <v>0.93277777777777782</v>
      </c>
      <c r="H101" s="40">
        <v>0.91314814814814815</v>
      </c>
      <c r="I101" s="40">
        <v>1.3527777777777779</v>
      </c>
      <c r="J101" s="40">
        <v>0.56000000000000005</v>
      </c>
      <c r="K101" s="40">
        <v>0.75222222222222224</v>
      </c>
      <c r="L101" s="20"/>
    </row>
    <row r="102" spans="1:15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5" ht="13.15" x14ac:dyDescent="0.35">
      <c r="A103" s="41" t="s">
        <v>266</v>
      </c>
      <c r="B103" s="42">
        <v>98.665999999999997</v>
      </c>
      <c r="C103" s="42">
        <v>94</v>
      </c>
      <c r="D103" s="42">
        <v>55.58</v>
      </c>
      <c r="E103" s="42">
        <v>60</v>
      </c>
      <c r="F103" s="42">
        <v>19.45</v>
      </c>
      <c r="G103" s="42">
        <v>72.5</v>
      </c>
      <c r="H103" s="42">
        <v>14.65</v>
      </c>
      <c r="I103" s="42">
        <v>14.65</v>
      </c>
      <c r="J103" s="42">
        <v>33</v>
      </c>
      <c r="K103" s="42">
        <v>85</v>
      </c>
    </row>
    <row r="104" spans="1:15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5" ht="15" x14ac:dyDescent="0.4">
      <c r="A105" s="44" t="s">
        <v>267</v>
      </c>
      <c r="B105" s="45">
        <f>(SUMPRODUCT($B$109:$K$207,$B$3:$K$101))+(SUMPRODUCT($B$103:$K$103,$B$209:$K$209))</f>
        <v>13694.062185185183</v>
      </c>
      <c r="C105" s="1" t="s">
        <v>274</v>
      </c>
    </row>
    <row r="107" spans="1:15" ht="13.15" thickBot="1" x14ac:dyDescent="0.4"/>
    <row r="108" spans="1:15" ht="13.15" x14ac:dyDescent="0.4">
      <c r="A108" s="21" t="s">
        <v>0</v>
      </c>
      <c r="B108" s="21" t="s">
        <v>249</v>
      </c>
      <c r="C108" s="21" t="s">
        <v>250</v>
      </c>
      <c r="D108" s="21" t="s">
        <v>251</v>
      </c>
      <c r="E108" s="21" t="s">
        <v>252</v>
      </c>
      <c r="F108" s="21" t="s">
        <v>253</v>
      </c>
      <c r="G108" s="21" t="s">
        <v>254</v>
      </c>
      <c r="H108" s="21" t="s">
        <v>255</v>
      </c>
      <c r="I108" s="21" t="s">
        <v>256</v>
      </c>
      <c r="J108" s="21" t="s">
        <v>257</v>
      </c>
      <c r="K108" s="47" t="s">
        <v>258</v>
      </c>
      <c r="L108" s="48" t="s">
        <v>269</v>
      </c>
      <c r="M108" s="49"/>
      <c r="N108" s="50" t="s">
        <v>270</v>
      </c>
    </row>
    <row r="109" spans="1:15" x14ac:dyDescent="0.35">
      <c r="A109" s="22" t="s">
        <v>210</v>
      </c>
      <c r="B109" s="59"/>
      <c r="C109" s="59"/>
      <c r="D109" s="59"/>
      <c r="E109" s="59"/>
      <c r="F109" s="59"/>
      <c r="G109" s="59"/>
      <c r="H109" s="59">
        <v>1618</v>
      </c>
      <c r="I109" s="59"/>
      <c r="J109" s="59"/>
      <c r="K109" s="60"/>
      <c r="L109" s="51">
        <f>SUM(B109:K109)</f>
        <v>1618</v>
      </c>
      <c r="M109" s="52" t="s">
        <v>264</v>
      </c>
      <c r="N109" s="53">
        <v>1618</v>
      </c>
      <c r="O109" s="46">
        <f>+N109-L109</f>
        <v>0</v>
      </c>
    </row>
    <row r="110" spans="1:15" x14ac:dyDescent="0.35">
      <c r="A110" s="22" t="s">
        <v>166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60">
        <v>1337</v>
      </c>
      <c r="L110" s="51">
        <f t="shared" ref="L110:L173" si="0">SUM(B110:K110)</f>
        <v>1337</v>
      </c>
      <c r="M110" s="52" t="s">
        <v>264</v>
      </c>
      <c r="N110" s="53">
        <v>1337</v>
      </c>
      <c r="O110" s="46">
        <f t="shared" ref="O110:O173" si="1">+N110-L110</f>
        <v>0</v>
      </c>
    </row>
    <row r="111" spans="1:15" x14ac:dyDescent="0.35">
      <c r="A111" s="22" t="s">
        <v>167</v>
      </c>
      <c r="B111" s="59">
        <v>1244</v>
      </c>
      <c r="C111" s="59"/>
      <c r="D111" s="59"/>
      <c r="E111" s="59"/>
      <c r="F111" s="59"/>
      <c r="G111" s="59"/>
      <c r="H111" s="59"/>
      <c r="I111" s="59"/>
      <c r="J111" s="59"/>
      <c r="K111" s="60"/>
      <c r="L111" s="51">
        <f t="shared" si="0"/>
        <v>1244</v>
      </c>
      <c r="M111" s="52" t="s">
        <v>264</v>
      </c>
      <c r="N111" s="53">
        <v>1244</v>
      </c>
      <c r="O111" s="46">
        <f t="shared" si="1"/>
        <v>0</v>
      </c>
    </row>
    <row r="112" spans="1:15" x14ac:dyDescent="0.35">
      <c r="A112" s="22" t="s">
        <v>211</v>
      </c>
      <c r="B112" s="59">
        <v>815</v>
      </c>
      <c r="C112" s="59"/>
      <c r="D112" s="59">
        <v>350</v>
      </c>
      <c r="E112" s="59"/>
      <c r="F112" s="59"/>
      <c r="G112" s="59"/>
      <c r="H112" s="59"/>
      <c r="I112" s="59"/>
      <c r="J112" s="59"/>
      <c r="K112" s="60"/>
      <c r="L112" s="51">
        <f t="shared" si="0"/>
        <v>1165</v>
      </c>
      <c r="M112" s="52" t="s">
        <v>264</v>
      </c>
      <c r="N112" s="53">
        <v>1165</v>
      </c>
      <c r="O112" s="46">
        <f t="shared" si="1"/>
        <v>0</v>
      </c>
    </row>
    <row r="113" spans="1:15" x14ac:dyDescent="0.35">
      <c r="A113" s="22" t="s">
        <v>168</v>
      </c>
      <c r="B113" s="59"/>
      <c r="C113" s="59"/>
      <c r="D113" s="59"/>
      <c r="E113" s="59"/>
      <c r="F113" s="59"/>
      <c r="G113" s="59"/>
      <c r="H113" s="59"/>
      <c r="I113" s="59">
        <v>1044</v>
      </c>
      <c r="J113" s="59"/>
      <c r="K113" s="60"/>
      <c r="L113" s="51">
        <f t="shared" si="0"/>
        <v>1044</v>
      </c>
      <c r="M113" s="52" t="s">
        <v>264</v>
      </c>
      <c r="N113" s="53">
        <v>1044</v>
      </c>
      <c r="O113" s="46">
        <f t="shared" si="1"/>
        <v>0</v>
      </c>
    </row>
    <row r="114" spans="1:15" x14ac:dyDescent="0.35">
      <c r="A114" s="22" t="s">
        <v>169</v>
      </c>
      <c r="B114" s="59"/>
      <c r="C114" s="59"/>
      <c r="D114" s="59"/>
      <c r="E114" s="59">
        <v>344</v>
      </c>
      <c r="F114" s="59">
        <v>303</v>
      </c>
      <c r="G114" s="59"/>
      <c r="H114" s="59"/>
      <c r="I114" s="59"/>
      <c r="J114" s="59"/>
      <c r="K114" s="60"/>
      <c r="L114" s="51">
        <f t="shared" si="0"/>
        <v>647</v>
      </c>
      <c r="M114" s="52" t="s">
        <v>264</v>
      </c>
      <c r="N114" s="53">
        <v>647</v>
      </c>
      <c r="O114" s="46">
        <f t="shared" si="1"/>
        <v>0</v>
      </c>
    </row>
    <row r="115" spans="1:15" x14ac:dyDescent="0.35">
      <c r="A115" s="22" t="s">
        <v>170</v>
      </c>
      <c r="B115" s="59"/>
      <c r="C115" s="59">
        <v>335</v>
      </c>
      <c r="D115" s="59"/>
      <c r="E115" s="59"/>
      <c r="F115" s="59">
        <v>90</v>
      </c>
      <c r="G115" s="59"/>
      <c r="H115" s="59"/>
      <c r="I115" s="59"/>
      <c r="J115" s="59"/>
      <c r="K115" s="60"/>
      <c r="L115" s="51">
        <f t="shared" si="0"/>
        <v>425</v>
      </c>
      <c r="M115" s="52" t="s">
        <v>264</v>
      </c>
      <c r="N115" s="53">
        <v>425</v>
      </c>
      <c r="O115" s="46">
        <f t="shared" si="1"/>
        <v>0</v>
      </c>
    </row>
    <row r="116" spans="1:15" x14ac:dyDescent="0.35">
      <c r="A116" s="22" t="s">
        <v>4</v>
      </c>
      <c r="B116" s="59">
        <v>300</v>
      </c>
      <c r="C116" s="59"/>
      <c r="D116" s="59"/>
      <c r="E116" s="59"/>
      <c r="F116" s="59"/>
      <c r="G116" s="59">
        <v>109</v>
      </c>
      <c r="H116" s="59"/>
      <c r="I116" s="59"/>
      <c r="J116" s="59"/>
      <c r="K116" s="60"/>
      <c r="L116" s="51">
        <f t="shared" si="0"/>
        <v>409</v>
      </c>
      <c r="M116" s="52" t="s">
        <v>264</v>
      </c>
      <c r="N116" s="53">
        <v>409</v>
      </c>
      <c r="O116" s="46">
        <f t="shared" si="1"/>
        <v>0</v>
      </c>
    </row>
    <row r="117" spans="1:15" x14ac:dyDescent="0.35">
      <c r="A117" s="22" t="s">
        <v>5</v>
      </c>
      <c r="B117" s="59"/>
      <c r="C117" s="59"/>
      <c r="D117" s="59"/>
      <c r="E117" s="59"/>
      <c r="F117" s="59">
        <v>205</v>
      </c>
      <c r="G117" s="59"/>
      <c r="H117" s="59">
        <v>168</v>
      </c>
      <c r="I117" s="59"/>
      <c r="J117" s="59"/>
      <c r="K117" s="60"/>
      <c r="L117" s="51">
        <f t="shared" si="0"/>
        <v>373</v>
      </c>
      <c r="M117" s="52" t="s">
        <v>264</v>
      </c>
      <c r="N117" s="53">
        <v>373</v>
      </c>
      <c r="O117" s="46">
        <f t="shared" si="1"/>
        <v>0</v>
      </c>
    </row>
    <row r="118" spans="1:15" x14ac:dyDescent="0.35">
      <c r="A118" s="22" t="s">
        <v>161</v>
      </c>
      <c r="B118" s="59"/>
      <c r="C118" s="59"/>
      <c r="D118" s="59"/>
      <c r="E118" s="59"/>
      <c r="F118" s="59"/>
      <c r="G118" s="59"/>
      <c r="H118" s="59"/>
      <c r="I118" s="59"/>
      <c r="J118" s="59">
        <v>348</v>
      </c>
      <c r="K118" s="60"/>
      <c r="L118" s="51">
        <f t="shared" si="0"/>
        <v>348</v>
      </c>
      <c r="M118" s="52" t="s">
        <v>264</v>
      </c>
      <c r="N118" s="53">
        <v>348</v>
      </c>
      <c r="O118" s="46">
        <f t="shared" si="1"/>
        <v>0</v>
      </c>
    </row>
    <row r="119" spans="1:15" x14ac:dyDescent="0.35">
      <c r="A119" s="22" t="s">
        <v>212</v>
      </c>
      <c r="B119" s="59"/>
      <c r="C119" s="59"/>
      <c r="D119" s="59"/>
      <c r="E119" s="59"/>
      <c r="F119" s="59"/>
      <c r="G119" s="59"/>
      <c r="H119" s="59"/>
      <c r="I119" s="59"/>
      <c r="J119" s="59">
        <v>278</v>
      </c>
      <c r="K119" s="60"/>
      <c r="L119" s="51">
        <f t="shared" si="0"/>
        <v>278</v>
      </c>
      <c r="M119" s="52" t="s">
        <v>264</v>
      </c>
      <c r="N119" s="53">
        <v>278</v>
      </c>
      <c r="O119" s="46">
        <f t="shared" si="1"/>
        <v>0</v>
      </c>
    </row>
    <row r="120" spans="1:15" x14ac:dyDescent="0.35">
      <c r="A120" s="22" t="s">
        <v>6</v>
      </c>
      <c r="B120" s="59"/>
      <c r="C120" s="59"/>
      <c r="D120" s="59"/>
      <c r="E120" s="59"/>
      <c r="F120" s="59"/>
      <c r="G120" s="59"/>
      <c r="H120" s="59"/>
      <c r="I120" s="59">
        <v>276</v>
      </c>
      <c r="J120" s="59"/>
      <c r="K120" s="60"/>
      <c r="L120" s="51">
        <f t="shared" si="0"/>
        <v>276</v>
      </c>
      <c r="M120" s="52" t="s">
        <v>264</v>
      </c>
      <c r="N120" s="53">
        <v>276</v>
      </c>
      <c r="O120" s="46">
        <f t="shared" si="1"/>
        <v>0</v>
      </c>
    </row>
    <row r="121" spans="1:15" x14ac:dyDescent="0.35">
      <c r="A121" s="22" t="s">
        <v>7</v>
      </c>
      <c r="B121" s="59"/>
      <c r="C121" s="59"/>
      <c r="D121" s="59"/>
      <c r="E121" s="59"/>
      <c r="F121" s="59">
        <v>275</v>
      </c>
      <c r="G121" s="59"/>
      <c r="H121" s="59"/>
      <c r="I121" s="59"/>
      <c r="J121" s="59"/>
      <c r="K121" s="60"/>
      <c r="L121" s="51">
        <f t="shared" si="0"/>
        <v>275</v>
      </c>
      <c r="M121" s="52" t="s">
        <v>264</v>
      </c>
      <c r="N121" s="53">
        <v>275</v>
      </c>
      <c r="O121" s="46">
        <f t="shared" si="1"/>
        <v>0</v>
      </c>
    </row>
    <row r="122" spans="1:15" x14ac:dyDescent="0.35">
      <c r="A122" s="22" t="s">
        <v>8</v>
      </c>
      <c r="B122" s="59"/>
      <c r="C122" s="59"/>
      <c r="D122" s="59"/>
      <c r="E122" s="59"/>
      <c r="F122" s="59"/>
      <c r="G122" s="59">
        <v>265</v>
      </c>
      <c r="H122" s="59"/>
      <c r="I122" s="59"/>
      <c r="J122" s="59"/>
      <c r="K122" s="60"/>
      <c r="L122" s="51">
        <f t="shared" si="0"/>
        <v>265</v>
      </c>
      <c r="M122" s="52" t="s">
        <v>264</v>
      </c>
      <c r="N122" s="53">
        <v>265</v>
      </c>
      <c r="O122" s="46">
        <f t="shared" si="1"/>
        <v>0</v>
      </c>
    </row>
    <row r="123" spans="1:15" x14ac:dyDescent="0.35">
      <c r="A123" s="22" t="s">
        <v>9</v>
      </c>
      <c r="B123" s="59"/>
      <c r="C123" s="59"/>
      <c r="D123" s="59">
        <v>260</v>
      </c>
      <c r="E123" s="59"/>
      <c r="F123" s="59"/>
      <c r="G123" s="59"/>
      <c r="H123" s="59"/>
      <c r="I123" s="59"/>
      <c r="J123" s="59"/>
      <c r="K123" s="60"/>
      <c r="L123" s="51">
        <f t="shared" si="0"/>
        <v>260</v>
      </c>
      <c r="M123" s="52" t="s">
        <v>264</v>
      </c>
      <c r="N123" s="53">
        <v>260</v>
      </c>
      <c r="O123" s="46">
        <f t="shared" si="1"/>
        <v>0</v>
      </c>
    </row>
    <row r="124" spans="1:15" x14ac:dyDescent="0.35">
      <c r="A124" s="22" t="s">
        <v>213</v>
      </c>
      <c r="B124" s="59"/>
      <c r="C124" s="59"/>
      <c r="D124" s="59"/>
      <c r="E124" s="59"/>
      <c r="F124" s="59"/>
      <c r="G124" s="59"/>
      <c r="H124" s="59"/>
      <c r="I124" s="59">
        <v>175</v>
      </c>
      <c r="J124" s="59"/>
      <c r="K124" s="60"/>
      <c r="L124" s="51">
        <f t="shared" si="0"/>
        <v>175</v>
      </c>
      <c r="M124" s="52" t="s">
        <v>264</v>
      </c>
      <c r="N124" s="53">
        <v>175</v>
      </c>
      <c r="O124" s="46">
        <f t="shared" si="1"/>
        <v>0</v>
      </c>
    </row>
    <row r="125" spans="1:15" x14ac:dyDescent="0.35">
      <c r="A125" s="22" t="s">
        <v>171</v>
      </c>
      <c r="B125" s="59"/>
      <c r="C125" s="59">
        <v>162</v>
      </c>
      <c r="D125" s="59"/>
      <c r="E125" s="59"/>
      <c r="F125" s="59"/>
      <c r="G125" s="59"/>
      <c r="H125" s="59"/>
      <c r="I125" s="59"/>
      <c r="J125" s="59"/>
      <c r="K125" s="60"/>
      <c r="L125" s="51">
        <f t="shared" si="0"/>
        <v>162</v>
      </c>
      <c r="M125" s="52" t="s">
        <v>264</v>
      </c>
      <c r="N125" s="53">
        <v>162</v>
      </c>
      <c r="O125" s="46">
        <f t="shared" si="1"/>
        <v>0</v>
      </c>
    </row>
    <row r="126" spans="1:15" x14ac:dyDescent="0.35">
      <c r="A126" s="22" t="s">
        <v>214</v>
      </c>
      <c r="B126" s="59"/>
      <c r="C126" s="59"/>
      <c r="D126" s="59"/>
      <c r="E126" s="59"/>
      <c r="F126" s="59"/>
      <c r="G126" s="59"/>
      <c r="H126" s="59">
        <v>150</v>
      </c>
      <c r="I126" s="59"/>
      <c r="J126" s="59"/>
      <c r="K126" s="60"/>
      <c r="L126" s="51">
        <f t="shared" si="0"/>
        <v>150</v>
      </c>
      <c r="M126" s="52" t="s">
        <v>264</v>
      </c>
      <c r="N126" s="53">
        <v>150</v>
      </c>
      <c r="O126" s="46">
        <f t="shared" si="1"/>
        <v>0</v>
      </c>
    </row>
    <row r="127" spans="1:15" x14ac:dyDescent="0.35">
      <c r="A127" s="22" t="s">
        <v>10</v>
      </c>
      <c r="B127" s="59"/>
      <c r="C127" s="59"/>
      <c r="D127" s="59"/>
      <c r="E127" s="59"/>
      <c r="F127" s="59"/>
      <c r="G127" s="59"/>
      <c r="H127" s="59"/>
      <c r="I127" s="59">
        <v>138</v>
      </c>
      <c r="J127" s="59"/>
      <c r="K127" s="60"/>
      <c r="L127" s="51">
        <f t="shared" si="0"/>
        <v>138</v>
      </c>
      <c r="M127" s="52" t="s">
        <v>264</v>
      </c>
      <c r="N127" s="53">
        <v>138</v>
      </c>
      <c r="O127" s="46">
        <f t="shared" si="1"/>
        <v>0</v>
      </c>
    </row>
    <row r="128" spans="1:15" x14ac:dyDescent="0.35">
      <c r="A128" s="22" t="s">
        <v>11</v>
      </c>
      <c r="B128" s="59"/>
      <c r="C128" s="59">
        <v>128</v>
      </c>
      <c r="D128" s="59"/>
      <c r="E128" s="59"/>
      <c r="F128" s="59"/>
      <c r="G128" s="59"/>
      <c r="H128" s="59"/>
      <c r="I128" s="59"/>
      <c r="J128" s="59"/>
      <c r="K128" s="60"/>
      <c r="L128" s="51">
        <f t="shared" si="0"/>
        <v>128</v>
      </c>
      <c r="M128" s="52" t="s">
        <v>264</v>
      </c>
      <c r="N128" s="53">
        <v>128</v>
      </c>
      <c r="O128" s="46">
        <f t="shared" si="1"/>
        <v>0</v>
      </c>
    </row>
    <row r="129" spans="1:15" x14ac:dyDescent="0.35">
      <c r="A129" s="22" t="s">
        <v>12</v>
      </c>
      <c r="B129" s="59"/>
      <c r="C129" s="59"/>
      <c r="D129" s="59">
        <v>101</v>
      </c>
      <c r="E129" s="59"/>
      <c r="F129" s="59"/>
      <c r="G129" s="59"/>
      <c r="H129" s="59"/>
      <c r="I129" s="59"/>
      <c r="J129" s="59"/>
      <c r="K129" s="60"/>
      <c r="L129" s="51">
        <f t="shared" si="0"/>
        <v>101</v>
      </c>
      <c r="M129" s="52" t="s">
        <v>264</v>
      </c>
      <c r="N129" s="53">
        <v>101</v>
      </c>
      <c r="O129" s="46">
        <f t="shared" si="1"/>
        <v>0</v>
      </c>
    </row>
    <row r="130" spans="1:15" x14ac:dyDescent="0.35">
      <c r="A130" s="22" t="s">
        <v>13</v>
      </c>
      <c r="B130" s="59"/>
      <c r="C130" s="59"/>
      <c r="D130" s="59"/>
      <c r="E130" s="59">
        <v>97</v>
      </c>
      <c r="F130" s="59"/>
      <c r="G130" s="59"/>
      <c r="H130" s="59"/>
      <c r="I130" s="59"/>
      <c r="J130" s="59"/>
      <c r="K130" s="60"/>
      <c r="L130" s="51">
        <f t="shared" si="0"/>
        <v>97</v>
      </c>
      <c r="M130" s="52" t="s">
        <v>264</v>
      </c>
      <c r="N130" s="53">
        <v>97</v>
      </c>
      <c r="O130" s="46">
        <f t="shared" si="1"/>
        <v>0</v>
      </c>
    </row>
    <row r="131" spans="1:15" x14ac:dyDescent="0.35">
      <c r="A131" s="22" t="s">
        <v>14</v>
      </c>
      <c r="B131" s="59"/>
      <c r="C131" s="59"/>
      <c r="D131" s="59"/>
      <c r="E131" s="59">
        <v>86</v>
      </c>
      <c r="F131" s="59"/>
      <c r="G131" s="59"/>
      <c r="H131" s="59"/>
      <c r="I131" s="59"/>
      <c r="J131" s="59"/>
      <c r="K131" s="60"/>
      <c r="L131" s="51">
        <f t="shared" si="0"/>
        <v>86</v>
      </c>
      <c r="M131" s="52" t="s">
        <v>264</v>
      </c>
      <c r="N131" s="53">
        <v>86</v>
      </c>
      <c r="O131" s="46">
        <f t="shared" si="1"/>
        <v>0</v>
      </c>
    </row>
    <row r="132" spans="1:15" x14ac:dyDescent="0.35">
      <c r="A132" s="22" t="s">
        <v>15</v>
      </c>
      <c r="B132" s="59"/>
      <c r="C132" s="59"/>
      <c r="D132" s="59"/>
      <c r="E132" s="59"/>
      <c r="F132" s="59"/>
      <c r="G132" s="59"/>
      <c r="H132" s="59"/>
      <c r="I132" s="59"/>
      <c r="J132" s="59">
        <v>86</v>
      </c>
      <c r="K132" s="60"/>
      <c r="L132" s="51">
        <f t="shared" si="0"/>
        <v>86</v>
      </c>
      <c r="M132" s="52" t="s">
        <v>264</v>
      </c>
      <c r="N132" s="53">
        <v>86</v>
      </c>
      <c r="O132" s="46">
        <f t="shared" si="1"/>
        <v>0</v>
      </c>
    </row>
    <row r="133" spans="1:15" x14ac:dyDescent="0.35">
      <c r="A133" s="22" t="s">
        <v>172</v>
      </c>
      <c r="B133" s="59"/>
      <c r="C133" s="59"/>
      <c r="D133" s="59"/>
      <c r="E133" s="59"/>
      <c r="F133" s="59"/>
      <c r="G133" s="59"/>
      <c r="H133" s="59"/>
      <c r="I133" s="59"/>
      <c r="J133" s="59">
        <v>82</v>
      </c>
      <c r="K133" s="60"/>
      <c r="L133" s="51">
        <f t="shared" si="0"/>
        <v>82</v>
      </c>
      <c r="M133" s="52" t="s">
        <v>264</v>
      </c>
      <c r="N133" s="53">
        <v>82</v>
      </c>
      <c r="O133" s="46">
        <f t="shared" si="1"/>
        <v>0</v>
      </c>
    </row>
    <row r="134" spans="1:15" x14ac:dyDescent="0.35">
      <c r="A134" s="22" t="s">
        <v>16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60">
        <v>81</v>
      </c>
      <c r="L134" s="51">
        <f t="shared" si="0"/>
        <v>81</v>
      </c>
      <c r="M134" s="52" t="s">
        <v>264</v>
      </c>
      <c r="N134" s="53">
        <v>81</v>
      </c>
      <c r="O134" s="46">
        <f t="shared" si="1"/>
        <v>0</v>
      </c>
    </row>
    <row r="135" spans="1:15" x14ac:dyDescent="0.35">
      <c r="A135" s="22" t="s">
        <v>195</v>
      </c>
      <c r="B135" s="59"/>
      <c r="C135" s="59"/>
      <c r="D135" s="59"/>
      <c r="E135" s="59"/>
      <c r="F135" s="59"/>
      <c r="G135" s="59"/>
      <c r="H135" s="59"/>
      <c r="I135" s="59"/>
      <c r="J135" s="59">
        <v>80</v>
      </c>
      <c r="K135" s="60"/>
      <c r="L135" s="51">
        <f t="shared" si="0"/>
        <v>80</v>
      </c>
      <c r="M135" s="52" t="s">
        <v>264</v>
      </c>
      <c r="N135" s="53">
        <v>80</v>
      </c>
      <c r="O135" s="46">
        <f t="shared" si="1"/>
        <v>0</v>
      </c>
    </row>
    <row r="136" spans="1:15" x14ac:dyDescent="0.35">
      <c r="A136" s="22" t="s">
        <v>173</v>
      </c>
      <c r="B136" s="59"/>
      <c r="C136" s="59">
        <v>77</v>
      </c>
      <c r="D136" s="59"/>
      <c r="E136" s="59"/>
      <c r="F136" s="59"/>
      <c r="G136" s="59"/>
      <c r="H136" s="59"/>
      <c r="I136" s="59"/>
      <c r="J136" s="59"/>
      <c r="K136" s="60"/>
      <c r="L136" s="51">
        <f t="shared" si="0"/>
        <v>77</v>
      </c>
      <c r="M136" s="52" t="s">
        <v>264</v>
      </c>
      <c r="N136" s="53">
        <v>77</v>
      </c>
      <c r="O136" s="46">
        <f t="shared" si="1"/>
        <v>0</v>
      </c>
    </row>
    <row r="137" spans="1:15" x14ac:dyDescent="0.35">
      <c r="A137" s="22" t="s">
        <v>17</v>
      </c>
      <c r="B137" s="59"/>
      <c r="C137" s="59"/>
      <c r="D137" s="59"/>
      <c r="E137" s="59"/>
      <c r="F137" s="59"/>
      <c r="G137" s="59">
        <v>75</v>
      </c>
      <c r="H137" s="59"/>
      <c r="I137" s="59"/>
      <c r="J137" s="59"/>
      <c r="K137" s="60"/>
      <c r="L137" s="51">
        <f t="shared" si="0"/>
        <v>75</v>
      </c>
      <c r="M137" s="52" t="s">
        <v>264</v>
      </c>
      <c r="N137" s="53">
        <v>75</v>
      </c>
      <c r="O137" s="46">
        <f t="shared" si="1"/>
        <v>0</v>
      </c>
    </row>
    <row r="138" spans="1:15" x14ac:dyDescent="0.35">
      <c r="A138" s="22" t="s">
        <v>18</v>
      </c>
      <c r="B138" s="59"/>
      <c r="C138" s="59"/>
      <c r="D138" s="59">
        <v>73</v>
      </c>
      <c r="E138" s="59"/>
      <c r="F138" s="59"/>
      <c r="G138" s="59"/>
      <c r="H138" s="59"/>
      <c r="I138" s="59"/>
      <c r="J138" s="59"/>
      <c r="K138" s="60"/>
      <c r="L138" s="51">
        <f t="shared" si="0"/>
        <v>73</v>
      </c>
      <c r="M138" s="52" t="s">
        <v>264</v>
      </c>
      <c r="N138" s="53">
        <v>73</v>
      </c>
      <c r="O138" s="46">
        <f t="shared" si="1"/>
        <v>0</v>
      </c>
    </row>
    <row r="139" spans="1:15" x14ac:dyDescent="0.35">
      <c r="A139" s="22" t="s">
        <v>19</v>
      </c>
      <c r="B139" s="59"/>
      <c r="C139" s="59"/>
      <c r="D139" s="59"/>
      <c r="E139" s="59"/>
      <c r="F139" s="59"/>
      <c r="G139" s="59"/>
      <c r="H139" s="59"/>
      <c r="I139" s="59"/>
      <c r="J139" s="59">
        <v>70</v>
      </c>
      <c r="K139" s="60"/>
      <c r="L139" s="51">
        <f t="shared" si="0"/>
        <v>70</v>
      </c>
      <c r="M139" s="52" t="s">
        <v>264</v>
      </c>
      <c r="N139" s="53">
        <v>70</v>
      </c>
      <c r="O139" s="46">
        <f t="shared" si="1"/>
        <v>0</v>
      </c>
    </row>
    <row r="140" spans="1:15" x14ac:dyDescent="0.35">
      <c r="A140" s="22" t="s">
        <v>174</v>
      </c>
      <c r="B140" s="59"/>
      <c r="C140" s="59"/>
      <c r="D140" s="59"/>
      <c r="E140" s="59"/>
      <c r="F140" s="59"/>
      <c r="G140" s="59"/>
      <c r="H140" s="59">
        <v>70</v>
      </c>
      <c r="I140" s="59"/>
      <c r="J140" s="59"/>
      <c r="K140" s="60"/>
      <c r="L140" s="51">
        <f t="shared" si="0"/>
        <v>70</v>
      </c>
      <c r="M140" s="52" t="s">
        <v>264</v>
      </c>
      <c r="N140" s="53">
        <v>70</v>
      </c>
      <c r="O140" s="46">
        <f t="shared" si="1"/>
        <v>0</v>
      </c>
    </row>
    <row r="141" spans="1:15" x14ac:dyDescent="0.35">
      <c r="A141" s="22" t="s">
        <v>20</v>
      </c>
      <c r="B141" s="59"/>
      <c r="C141" s="59"/>
      <c r="D141" s="59"/>
      <c r="E141" s="59"/>
      <c r="F141" s="59"/>
      <c r="G141" s="59">
        <v>69</v>
      </c>
      <c r="H141" s="59"/>
      <c r="I141" s="59"/>
      <c r="J141" s="59"/>
      <c r="K141" s="60"/>
      <c r="L141" s="51">
        <f t="shared" si="0"/>
        <v>69</v>
      </c>
      <c r="M141" s="52" t="s">
        <v>264</v>
      </c>
      <c r="N141" s="53">
        <v>69</v>
      </c>
      <c r="O141" s="46">
        <f t="shared" si="1"/>
        <v>0</v>
      </c>
    </row>
    <row r="142" spans="1:15" x14ac:dyDescent="0.35">
      <c r="A142" s="22" t="s">
        <v>21</v>
      </c>
      <c r="B142" s="59"/>
      <c r="C142" s="59">
        <v>68</v>
      </c>
      <c r="D142" s="59"/>
      <c r="E142" s="59"/>
      <c r="F142" s="59"/>
      <c r="G142" s="59"/>
      <c r="H142" s="59"/>
      <c r="I142" s="59"/>
      <c r="J142" s="59"/>
      <c r="K142" s="60"/>
      <c r="L142" s="51">
        <f t="shared" si="0"/>
        <v>68</v>
      </c>
      <c r="M142" s="52" t="s">
        <v>264</v>
      </c>
      <c r="N142" s="53">
        <v>68</v>
      </c>
      <c r="O142" s="46">
        <f t="shared" si="1"/>
        <v>0</v>
      </c>
    </row>
    <row r="143" spans="1:15" x14ac:dyDescent="0.35">
      <c r="A143" s="22" t="s">
        <v>22</v>
      </c>
      <c r="B143" s="59"/>
      <c r="C143" s="59"/>
      <c r="D143" s="59"/>
      <c r="E143" s="59">
        <v>68</v>
      </c>
      <c r="F143" s="59"/>
      <c r="G143" s="59"/>
      <c r="H143" s="59"/>
      <c r="I143" s="59"/>
      <c r="J143" s="59"/>
      <c r="K143" s="60"/>
      <c r="L143" s="51">
        <f t="shared" si="0"/>
        <v>68</v>
      </c>
      <c r="M143" s="52" t="s">
        <v>264</v>
      </c>
      <c r="N143" s="53">
        <v>68</v>
      </c>
      <c r="O143" s="46">
        <f t="shared" si="1"/>
        <v>0</v>
      </c>
    </row>
    <row r="144" spans="1:15" x14ac:dyDescent="0.35">
      <c r="A144" s="22" t="s">
        <v>23</v>
      </c>
      <c r="B144" s="59"/>
      <c r="C144" s="59"/>
      <c r="D144" s="59"/>
      <c r="E144" s="59"/>
      <c r="F144" s="59">
        <v>66</v>
      </c>
      <c r="G144" s="59"/>
      <c r="H144" s="59"/>
      <c r="I144" s="59"/>
      <c r="J144" s="59"/>
      <c r="K144" s="60"/>
      <c r="L144" s="51">
        <f t="shared" si="0"/>
        <v>66</v>
      </c>
      <c r="M144" s="52" t="s">
        <v>264</v>
      </c>
      <c r="N144" s="53">
        <v>66</v>
      </c>
      <c r="O144" s="46">
        <f t="shared" si="1"/>
        <v>0</v>
      </c>
    </row>
    <row r="145" spans="1:15" x14ac:dyDescent="0.35">
      <c r="A145" s="22" t="s">
        <v>24</v>
      </c>
      <c r="B145" s="59"/>
      <c r="C145" s="59"/>
      <c r="D145" s="59"/>
      <c r="E145" s="59"/>
      <c r="F145" s="59"/>
      <c r="G145" s="59"/>
      <c r="H145" s="59"/>
      <c r="I145" s="59"/>
      <c r="J145" s="59">
        <v>62</v>
      </c>
      <c r="K145" s="60"/>
      <c r="L145" s="51">
        <f t="shared" si="0"/>
        <v>62</v>
      </c>
      <c r="M145" s="52" t="s">
        <v>264</v>
      </c>
      <c r="N145" s="53">
        <v>62</v>
      </c>
      <c r="O145" s="46">
        <f t="shared" si="1"/>
        <v>0</v>
      </c>
    </row>
    <row r="146" spans="1:15" x14ac:dyDescent="0.35">
      <c r="A146" s="22" t="s">
        <v>25</v>
      </c>
      <c r="B146" s="59"/>
      <c r="C146" s="59"/>
      <c r="D146" s="59"/>
      <c r="E146" s="59"/>
      <c r="F146" s="59"/>
      <c r="G146" s="59">
        <v>60</v>
      </c>
      <c r="H146" s="59"/>
      <c r="I146" s="59"/>
      <c r="J146" s="59"/>
      <c r="K146" s="60"/>
      <c r="L146" s="51">
        <f t="shared" si="0"/>
        <v>60</v>
      </c>
      <c r="M146" s="52" t="s">
        <v>264</v>
      </c>
      <c r="N146" s="53">
        <v>60</v>
      </c>
      <c r="O146" s="46">
        <f t="shared" si="1"/>
        <v>0</v>
      </c>
    </row>
    <row r="147" spans="1:15" x14ac:dyDescent="0.35">
      <c r="A147" s="22" t="s">
        <v>26</v>
      </c>
      <c r="B147" s="59"/>
      <c r="C147" s="59"/>
      <c r="D147" s="59"/>
      <c r="E147" s="59"/>
      <c r="F147" s="59"/>
      <c r="G147" s="59"/>
      <c r="H147" s="59">
        <v>59</v>
      </c>
      <c r="I147" s="59"/>
      <c r="J147" s="59"/>
      <c r="K147" s="60"/>
      <c r="L147" s="51">
        <f t="shared" si="0"/>
        <v>59</v>
      </c>
      <c r="M147" s="52" t="s">
        <v>264</v>
      </c>
      <c r="N147" s="53">
        <v>59</v>
      </c>
      <c r="O147" s="46">
        <f t="shared" si="1"/>
        <v>0</v>
      </c>
    </row>
    <row r="148" spans="1:15" x14ac:dyDescent="0.35">
      <c r="A148" s="22" t="s">
        <v>27</v>
      </c>
      <c r="B148" s="59"/>
      <c r="C148" s="59"/>
      <c r="D148" s="59"/>
      <c r="E148" s="59"/>
      <c r="F148" s="59"/>
      <c r="G148" s="59"/>
      <c r="H148" s="59"/>
      <c r="I148" s="59">
        <v>59</v>
      </c>
      <c r="J148" s="59"/>
      <c r="K148" s="60"/>
      <c r="L148" s="51">
        <f t="shared" si="0"/>
        <v>59</v>
      </c>
      <c r="M148" s="52" t="s">
        <v>264</v>
      </c>
      <c r="N148" s="53">
        <v>59</v>
      </c>
      <c r="O148" s="46">
        <f t="shared" si="1"/>
        <v>0</v>
      </c>
    </row>
    <row r="149" spans="1:15" x14ac:dyDescent="0.35">
      <c r="A149" s="22" t="s">
        <v>164</v>
      </c>
      <c r="B149" s="59"/>
      <c r="C149" s="59"/>
      <c r="D149" s="59"/>
      <c r="E149" s="59"/>
      <c r="F149" s="59"/>
      <c r="G149" s="59"/>
      <c r="H149" s="59"/>
      <c r="I149" s="59"/>
      <c r="J149" s="59">
        <v>57</v>
      </c>
      <c r="K149" s="60"/>
      <c r="L149" s="51">
        <f t="shared" si="0"/>
        <v>57</v>
      </c>
      <c r="M149" s="52" t="s">
        <v>264</v>
      </c>
      <c r="N149" s="53">
        <v>57</v>
      </c>
      <c r="O149" s="46">
        <f t="shared" si="1"/>
        <v>0</v>
      </c>
    </row>
    <row r="150" spans="1:15" x14ac:dyDescent="0.35">
      <c r="A150" s="22" t="s">
        <v>28</v>
      </c>
      <c r="B150" s="59"/>
      <c r="C150" s="59"/>
      <c r="D150" s="59"/>
      <c r="E150" s="59"/>
      <c r="F150" s="59"/>
      <c r="G150" s="59">
        <v>56</v>
      </c>
      <c r="H150" s="59"/>
      <c r="I150" s="59"/>
      <c r="J150" s="59"/>
      <c r="K150" s="60"/>
      <c r="L150" s="51">
        <f t="shared" si="0"/>
        <v>56</v>
      </c>
      <c r="M150" s="52" t="s">
        <v>264</v>
      </c>
      <c r="N150" s="53">
        <v>56</v>
      </c>
      <c r="O150" s="46">
        <f t="shared" si="1"/>
        <v>0</v>
      </c>
    </row>
    <row r="151" spans="1:15" x14ac:dyDescent="0.35">
      <c r="A151" s="22" t="s">
        <v>29</v>
      </c>
      <c r="B151" s="59"/>
      <c r="C151" s="59"/>
      <c r="D151" s="59"/>
      <c r="E151" s="59"/>
      <c r="F151" s="59"/>
      <c r="G151" s="59"/>
      <c r="H151" s="59"/>
      <c r="I151" s="59">
        <v>55</v>
      </c>
      <c r="J151" s="59"/>
      <c r="K151" s="60"/>
      <c r="L151" s="51">
        <f t="shared" si="0"/>
        <v>55</v>
      </c>
      <c r="M151" s="52" t="s">
        <v>264</v>
      </c>
      <c r="N151" s="53">
        <v>55</v>
      </c>
      <c r="O151" s="46">
        <f t="shared" si="1"/>
        <v>0</v>
      </c>
    </row>
    <row r="152" spans="1:15" x14ac:dyDescent="0.35">
      <c r="A152" s="22" t="s">
        <v>30</v>
      </c>
      <c r="B152" s="59"/>
      <c r="C152" s="59"/>
      <c r="D152" s="59">
        <v>54</v>
      </c>
      <c r="E152" s="59"/>
      <c r="F152" s="59"/>
      <c r="G152" s="59"/>
      <c r="H152" s="59"/>
      <c r="I152" s="59"/>
      <c r="J152" s="59"/>
      <c r="K152" s="60"/>
      <c r="L152" s="51">
        <f t="shared" si="0"/>
        <v>54</v>
      </c>
      <c r="M152" s="52" t="s">
        <v>264</v>
      </c>
      <c r="N152" s="53">
        <v>54</v>
      </c>
      <c r="O152" s="46">
        <f t="shared" si="1"/>
        <v>0</v>
      </c>
    </row>
    <row r="153" spans="1:15" x14ac:dyDescent="0.35">
      <c r="A153" s="22" t="s">
        <v>175</v>
      </c>
      <c r="B153" s="59"/>
      <c r="C153" s="59"/>
      <c r="D153" s="59"/>
      <c r="E153" s="59"/>
      <c r="F153" s="59"/>
      <c r="G153" s="59">
        <v>54</v>
      </c>
      <c r="H153" s="59"/>
      <c r="I153" s="59"/>
      <c r="J153" s="59"/>
      <c r="K153" s="60"/>
      <c r="L153" s="51">
        <f t="shared" si="0"/>
        <v>54</v>
      </c>
      <c r="M153" s="52" t="s">
        <v>264</v>
      </c>
      <c r="N153" s="53">
        <v>54</v>
      </c>
      <c r="O153" s="46">
        <f t="shared" si="1"/>
        <v>0</v>
      </c>
    </row>
    <row r="154" spans="1:15" x14ac:dyDescent="0.35">
      <c r="A154" s="22" t="s">
        <v>31</v>
      </c>
      <c r="B154" s="59"/>
      <c r="C154" s="59"/>
      <c r="D154" s="59"/>
      <c r="E154" s="59"/>
      <c r="F154" s="59"/>
      <c r="G154" s="59">
        <v>53</v>
      </c>
      <c r="H154" s="59"/>
      <c r="I154" s="59"/>
      <c r="J154" s="59"/>
      <c r="K154" s="60"/>
      <c r="L154" s="51">
        <f t="shared" si="0"/>
        <v>53</v>
      </c>
      <c r="M154" s="52" t="s">
        <v>264</v>
      </c>
      <c r="N154" s="53">
        <v>53</v>
      </c>
      <c r="O154" s="46">
        <f t="shared" si="1"/>
        <v>0</v>
      </c>
    </row>
    <row r="155" spans="1:15" x14ac:dyDescent="0.35">
      <c r="A155" s="22" t="s">
        <v>32</v>
      </c>
      <c r="B155" s="59"/>
      <c r="C155" s="59">
        <v>52</v>
      </c>
      <c r="D155" s="59"/>
      <c r="E155" s="59"/>
      <c r="F155" s="59"/>
      <c r="G155" s="59"/>
      <c r="H155" s="59"/>
      <c r="I155" s="59"/>
      <c r="J155" s="59"/>
      <c r="K155" s="60"/>
      <c r="L155" s="51">
        <f t="shared" si="0"/>
        <v>52</v>
      </c>
      <c r="M155" s="52" t="s">
        <v>264</v>
      </c>
      <c r="N155" s="53">
        <v>52</v>
      </c>
      <c r="O155" s="46">
        <f t="shared" si="1"/>
        <v>0</v>
      </c>
    </row>
    <row r="156" spans="1:15" x14ac:dyDescent="0.35">
      <c r="A156" s="22" t="s">
        <v>33</v>
      </c>
      <c r="B156" s="59"/>
      <c r="C156" s="59"/>
      <c r="D156" s="59">
        <v>50</v>
      </c>
      <c r="E156" s="59"/>
      <c r="F156" s="59"/>
      <c r="G156" s="59"/>
      <c r="H156" s="59"/>
      <c r="I156" s="59"/>
      <c r="J156" s="59"/>
      <c r="K156" s="60"/>
      <c r="L156" s="51">
        <f t="shared" si="0"/>
        <v>50</v>
      </c>
      <c r="M156" s="52" t="s">
        <v>264</v>
      </c>
      <c r="N156" s="53">
        <v>50</v>
      </c>
      <c r="O156" s="46">
        <f t="shared" si="1"/>
        <v>0</v>
      </c>
    </row>
    <row r="157" spans="1:15" x14ac:dyDescent="0.35">
      <c r="A157" s="22" t="s">
        <v>34</v>
      </c>
      <c r="B157" s="59"/>
      <c r="C157" s="59">
        <v>49</v>
      </c>
      <c r="D157" s="59"/>
      <c r="E157" s="59"/>
      <c r="F157" s="59"/>
      <c r="G157" s="59"/>
      <c r="H157" s="59"/>
      <c r="I157" s="59"/>
      <c r="J157" s="59"/>
      <c r="K157" s="60"/>
      <c r="L157" s="51">
        <f t="shared" si="0"/>
        <v>49</v>
      </c>
      <c r="M157" s="52" t="s">
        <v>264</v>
      </c>
      <c r="N157" s="53">
        <v>49</v>
      </c>
      <c r="O157" s="46">
        <f t="shared" si="1"/>
        <v>0</v>
      </c>
    </row>
    <row r="158" spans="1:15" x14ac:dyDescent="0.35">
      <c r="A158" s="22" t="s">
        <v>35</v>
      </c>
      <c r="B158" s="59"/>
      <c r="C158" s="59"/>
      <c r="D158" s="59"/>
      <c r="E158" s="59"/>
      <c r="F158" s="59">
        <v>49</v>
      </c>
      <c r="G158" s="59"/>
      <c r="H158" s="59"/>
      <c r="I158" s="59"/>
      <c r="J158" s="59"/>
      <c r="K158" s="60"/>
      <c r="L158" s="51">
        <f t="shared" si="0"/>
        <v>49</v>
      </c>
      <c r="M158" s="52" t="s">
        <v>264</v>
      </c>
      <c r="N158" s="53">
        <v>49</v>
      </c>
      <c r="O158" s="46">
        <f t="shared" si="1"/>
        <v>0</v>
      </c>
    </row>
    <row r="159" spans="1:15" x14ac:dyDescent="0.35">
      <c r="A159" s="22" t="s">
        <v>36</v>
      </c>
      <c r="B159" s="59"/>
      <c r="C159" s="59"/>
      <c r="D159" s="59"/>
      <c r="E159" s="59"/>
      <c r="F159" s="59">
        <v>47</v>
      </c>
      <c r="G159" s="59"/>
      <c r="H159" s="59"/>
      <c r="I159" s="59"/>
      <c r="J159" s="59"/>
      <c r="K159" s="60"/>
      <c r="L159" s="51">
        <f t="shared" si="0"/>
        <v>47</v>
      </c>
      <c r="M159" s="52" t="s">
        <v>264</v>
      </c>
      <c r="N159" s="53">
        <v>47</v>
      </c>
      <c r="O159" s="46">
        <f t="shared" si="1"/>
        <v>0</v>
      </c>
    </row>
    <row r="160" spans="1:15" x14ac:dyDescent="0.35">
      <c r="A160" s="22" t="s">
        <v>37</v>
      </c>
      <c r="B160" s="59"/>
      <c r="C160" s="59">
        <v>46</v>
      </c>
      <c r="D160" s="59"/>
      <c r="E160" s="59"/>
      <c r="F160" s="59"/>
      <c r="G160" s="59"/>
      <c r="H160" s="59"/>
      <c r="I160" s="59"/>
      <c r="J160" s="59"/>
      <c r="K160" s="60"/>
      <c r="L160" s="51">
        <f t="shared" si="0"/>
        <v>46</v>
      </c>
      <c r="M160" s="52" t="s">
        <v>264</v>
      </c>
      <c r="N160" s="53">
        <v>46</v>
      </c>
      <c r="O160" s="46">
        <f t="shared" si="1"/>
        <v>0</v>
      </c>
    </row>
    <row r="161" spans="1:15" x14ac:dyDescent="0.35">
      <c r="A161" s="22" t="s">
        <v>38</v>
      </c>
      <c r="B161" s="59"/>
      <c r="C161" s="59"/>
      <c r="D161" s="59">
        <v>45</v>
      </c>
      <c r="E161" s="59"/>
      <c r="F161" s="59"/>
      <c r="G161" s="59"/>
      <c r="H161" s="59"/>
      <c r="I161" s="59"/>
      <c r="J161" s="59"/>
      <c r="K161" s="60"/>
      <c r="L161" s="51">
        <f t="shared" si="0"/>
        <v>45</v>
      </c>
      <c r="M161" s="52" t="s">
        <v>264</v>
      </c>
      <c r="N161" s="53">
        <v>45</v>
      </c>
      <c r="O161" s="46">
        <f t="shared" si="1"/>
        <v>0</v>
      </c>
    </row>
    <row r="162" spans="1:15" x14ac:dyDescent="0.35">
      <c r="A162" s="22" t="s">
        <v>39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60">
        <v>42</v>
      </c>
      <c r="L162" s="51">
        <f t="shared" si="0"/>
        <v>42</v>
      </c>
      <c r="M162" s="52" t="s">
        <v>264</v>
      </c>
      <c r="N162" s="53">
        <v>42</v>
      </c>
      <c r="O162" s="46">
        <f t="shared" si="1"/>
        <v>0</v>
      </c>
    </row>
    <row r="163" spans="1:15" x14ac:dyDescent="0.35">
      <c r="A163" s="22" t="s">
        <v>176</v>
      </c>
      <c r="B163" s="59"/>
      <c r="C163" s="59"/>
      <c r="D163" s="59"/>
      <c r="E163" s="59"/>
      <c r="F163" s="59">
        <v>42</v>
      </c>
      <c r="G163" s="59"/>
      <c r="H163" s="59"/>
      <c r="I163" s="59"/>
      <c r="J163" s="59"/>
      <c r="K163" s="60"/>
      <c r="L163" s="51">
        <f t="shared" si="0"/>
        <v>42</v>
      </c>
      <c r="M163" s="52" t="s">
        <v>264</v>
      </c>
      <c r="N163" s="53">
        <v>42</v>
      </c>
      <c r="O163" s="46">
        <f t="shared" si="1"/>
        <v>0</v>
      </c>
    </row>
    <row r="164" spans="1:15" x14ac:dyDescent="0.35">
      <c r="A164" s="22" t="s">
        <v>40</v>
      </c>
      <c r="B164" s="59"/>
      <c r="C164" s="59">
        <v>39</v>
      </c>
      <c r="D164" s="59"/>
      <c r="E164" s="59"/>
      <c r="F164" s="59"/>
      <c r="G164" s="59"/>
      <c r="H164" s="59"/>
      <c r="I164" s="59"/>
      <c r="J164" s="59"/>
      <c r="K164" s="60"/>
      <c r="L164" s="51">
        <f t="shared" si="0"/>
        <v>39</v>
      </c>
      <c r="M164" s="52" t="s">
        <v>264</v>
      </c>
      <c r="N164" s="53">
        <v>39</v>
      </c>
      <c r="O164" s="46">
        <f t="shared" si="1"/>
        <v>0</v>
      </c>
    </row>
    <row r="165" spans="1:15" x14ac:dyDescent="0.35">
      <c r="A165" s="22" t="s">
        <v>41</v>
      </c>
      <c r="B165" s="59"/>
      <c r="C165" s="59"/>
      <c r="D165" s="59"/>
      <c r="E165" s="59">
        <v>38</v>
      </c>
      <c r="F165" s="59"/>
      <c r="G165" s="59"/>
      <c r="H165" s="59"/>
      <c r="I165" s="59"/>
      <c r="J165" s="59"/>
      <c r="K165" s="60"/>
      <c r="L165" s="51">
        <f t="shared" si="0"/>
        <v>38</v>
      </c>
      <c r="M165" s="52" t="s">
        <v>264</v>
      </c>
      <c r="N165" s="53">
        <v>38</v>
      </c>
      <c r="O165" s="46">
        <f t="shared" si="1"/>
        <v>0</v>
      </c>
    </row>
    <row r="166" spans="1:15" x14ac:dyDescent="0.35">
      <c r="A166" s="22" t="s">
        <v>42</v>
      </c>
      <c r="B166" s="59"/>
      <c r="C166" s="59"/>
      <c r="D166" s="59"/>
      <c r="E166" s="59"/>
      <c r="F166" s="59"/>
      <c r="G166" s="59"/>
      <c r="H166" s="59">
        <v>37</v>
      </c>
      <c r="I166" s="59"/>
      <c r="J166" s="59"/>
      <c r="K166" s="60"/>
      <c r="L166" s="51">
        <f t="shared" si="0"/>
        <v>37</v>
      </c>
      <c r="M166" s="52" t="s">
        <v>264</v>
      </c>
      <c r="N166" s="53">
        <v>37</v>
      </c>
      <c r="O166" s="46">
        <f t="shared" si="1"/>
        <v>0</v>
      </c>
    </row>
    <row r="167" spans="1:15" x14ac:dyDescent="0.35">
      <c r="A167" s="22" t="s">
        <v>43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60">
        <v>36</v>
      </c>
      <c r="L167" s="51">
        <f t="shared" si="0"/>
        <v>36</v>
      </c>
      <c r="M167" s="52" t="s">
        <v>264</v>
      </c>
      <c r="N167" s="53">
        <v>36</v>
      </c>
      <c r="O167" s="46">
        <f t="shared" si="1"/>
        <v>0</v>
      </c>
    </row>
    <row r="168" spans="1:15" x14ac:dyDescent="0.35">
      <c r="A168" s="22" t="s">
        <v>44</v>
      </c>
      <c r="B168" s="59"/>
      <c r="C168" s="59"/>
      <c r="D168" s="59"/>
      <c r="E168" s="59"/>
      <c r="F168" s="59"/>
      <c r="G168" s="59"/>
      <c r="H168" s="59"/>
      <c r="I168" s="59"/>
      <c r="J168" s="59">
        <v>36</v>
      </c>
      <c r="K168" s="60"/>
      <c r="L168" s="51">
        <f t="shared" si="0"/>
        <v>36</v>
      </c>
      <c r="M168" s="52" t="s">
        <v>264</v>
      </c>
      <c r="N168" s="53">
        <v>36</v>
      </c>
      <c r="O168" s="46">
        <f t="shared" si="1"/>
        <v>0</v>
      </c>
    </row>
    <row r="169" spans="1:15" x14ac:dyDescent="0.35">
      <c r="A169" s="22" t="s">
        <v>177</v>
      </c>
      <c r="B169" s="59"/>
      <c r="C169" s="59"/>
      <c r="D169" s="59">
        <v>35</v>
      </c>
      <c r="E169" s="59"/>
      <c r="F169" s="59"/>
      <c r="G169" s="59"/>
      <c r="H169" s="59"/>
      <c r="I169" s="59"/>
      <c r="J169" s="59"/>
      <c r="K169" s="60"/>
      <c r="L169" s="51">
        <f t="shared" si="0"/>
        <v>35</v>
      </c>
      <c r="M169" s="52" t="s">
        <v>264</v>
      </c>
      <c r="N169" s="53">
        <v>35</v>
      </c>
      <c r="O169" s="46">
        <f t="shared" si="1"/>
        <v>0</v>
      </c>
    </row>
    <row r="170" spans="1:15" x14ac:dyDescent="0.35">
      <c r="A170" s="22" t="s">
        <v>178</v>
      </c>
      <c r="B170" s="59"/>
      <c r="C170" s="59"/>
      <c r="D170" s="59"/>
      <c r="E170" s="59">
        <v>34</v>
      </c>
      <c r="F170" s="59"/>
      <c r="G170" s="59"/>
      <c r="H170" s="59"/>
      <c r="I170" s="59"/>
      <c r="J170" s="59"/>
      <c r="K170" s="60"/>
      <c r="L170" s="51">
        <f t="shared" si="0"/>
        <v>34</v>
      </c>
      <c r="M170" s="52" t="s">
        <v>264</v>
      </c>
      <c r="N170" s="53">
        <v>34</v>
      </c>
      <c r="O170" s="46">
        <f t="shared" si="1"/>
        <v>0</v>
      </c>
    </row>
    <row r="171" spans="1:15" x14ac:dyDescent="0.35">
      <c r="A171" s="22" t="s">
        <v>45</v>
      </c>
      <c r="B171" s="59"/>
      <c r="C171" s="59"/>
      <c r="D171" s="59"/>
      <c r="E171" s="59"/>
      <c r="F171" s="59"/>
      <c r="G171" s="59"/>
      <c r="H171" s="59"/>
      <c r="I171" s="59"/>
      <c r="J171" s="59">
        <v>33</v>
      </c>
      <c r="K171" s="60"/>
      <c r="L171" s="51">
        <f t="shared" si="0"/>
        <v>33</v>
      </c>
      <c r="M171" s="52" t="s">
        <v>264</v>
      </c>
      <c r="N171" s="53">
        <v>33</v>
      </c>
      <c r="O171" s="46">
        <f t="shared" si="1"/>
        <v>0</v>
      </c>
    </row>
    <row r="172" spans="1:15" x14ac:dyDescent="0.35">
      <c r="A172" s="22" t="s">
        <v>46</v>
      </c>
      <c r="B172" s="59"/>
      <c r="C172" s="59"/>
      <c r="D172" s="59"/>
      <c r="E172" s="59">
        <v>33</v>
      </c>
      <c r="F172" s="59"/>
      <c r="G172" s="59"/>
      <c r="H172" s="59"/>
      <c r="I172" s="59"/>
      <c r="J172" s="59"/>
      <c r="K172" s="60"/>
      <c r="L172" s="51">
        <f t="shared" si="0"/>
        <v>33</v>
      </c>
      <c r="M172" s="52" t="s">
        <v>264</v>
      </c>
      <c r="N172" s="53">
        <v>33</v>
      </c>
      <c r="O172" s="46">
        <f t="shared" si="1"/>
        <v>0</v>
      </c>
    </row>
    <row r="173" spans="1:15" x14ac:dyDescent="0.35">
      <c r="A173" s="22" t="s">
        <v>47</v>
      </c>
      <c r="B173" s="59"/>
      <c r="C173" s="59"/>
      <c r="D173" s="59"/>
      <c r="E173" s="59"/>
      <c r="F173" s="59">
        <v>32</v>
      </c>
      <c r="G173" s="59"/>
      <c r="H173" s="59"/>
      <c r="I173" s="59"/>
      <c r="J173" s="59"/>
      <c r="K173" s="60"/>
      <c r="L173" s="51">
        <f t="shared" si="0"/>
        <v>32</v>
      </c>
      <c r="M173" s="52" t="s">
        <v>264</v>
      </c>
      <c r="N173" s="53">
        <v>32</v>
      </c>
      <c r="O173" s="46">
        <f t="shared" si="1"/>
        <v>0</v>
      </c>
    </row>
    <row r="174" spans="1:15" x14ac:dyDescent="0.35">
      <c r="A174" s="22" t="s">
        <v>48</v>
      </c>
      <c r="B174" s="59"/>
      <c r="C174" s="59"/>
      <c r="D174" s="59"/>
      <c r="E174" s="59"/>
      <c r="F174" s="59"/>
      <c r="G174" s="59"/>
      <c r="H174" s="59"/>
      <c r="I174" s="59"/>
      <c r="J174" s="59">
        <v>32</v>
      </c>
      <c r="K174" s="60"/>
      <c r="L174" s="51">
        <f t="shared" ref="L174:L207" si="2">SUM(B174:K174)</f>
        <v>32</v>
      </c>
      <c r="M174" s="52" t="s">
        <v>264</v>
      </c>
      <c r="N174" s="53">
        <v>32</v>
      </c>
      <c r="O174" s="46">
        <f t="shared" ref="O174:O207" si="3">+N174-L174</f>
        <v>0</v>
      </c>
    </row>
    <row r="175" spans="1:15" x14ac:dyDescent="0.35">
      <c r="A175" s="22" t="s">
        <v>179</v>
      </c>
      <c r="B175" s="59"/>
      <c r="C175" s="59"/>
      <c r="D175" s="59"/>
      <c r="E175" s="59"/>
      <c r="F175" s="59"/>
      <c r="G175" s="59"/>
      <c r="H175" s="59">
        <v>32</v>
      </c>
      <c r="I175" s="59"/>
      <c r="J175" s="59"/>
      <c r="K175" s="60"/>
      <c r="L175" s="51">
        <f t="shared" si="2"/>
        <v>32</v>
      </c>
      <c r="M175" s="52" t="s">
        <v>264</v>
      </c>
      <c r="N175" s="53">
        <v>32</v>
      </c>
      <c r="O175" s="46">
        <f t="shared" si="3"/>
        <v>0</v>
      </c>
    </row>
    <row r="176" spans="1:15" x14ac:dyDescent="0.35">
      <c r="A176" s="22" t="s">
        <v>49</v>
      </c>
      <c r="B176" s="59"/>
      <c r="C176" s="59"/>
      <c r="D176" s="59"/>
      <c r="E176" s="59">
        <v>31</v>
      </c>
      <c r="F176" s="59"/>
      <c r="G176" s="59"/>
      <c r="H176" s="59"/>
      <c r="I176" s="59"/>
      <c r="J176" s="59"/>
      <c r="K176" s="60"/>
      <c r="L176" s="51">
        <f t="shared" si="2"/>
        <v>31</v>
      </c>
      <c r="M176" s="52" t="s">
        <v>264</v>
      </c>
      <c r="N176" s="53">
        <v>31</v>
      </c>
      <c r="O176" s="46">
        <f t="shared" si="3"/>
        <v>0</v>
      </c>
    </row>
    <row r="177" spans="1:15" x14ac:dyDescent="0.35">
      <c r="A177" s="22" t="s">
        <v>50</v>
      </c>
      <c r="B177" s="59"/>
      <c r="C177" s="59"/>
      <c r="D177" s="59"/>
      <c r="E177" s="59"/>
      <c r="F177" s="59"/>
      <c r="G177" s="59">
        <v>31</v>
      </c>
      <c r="H177" s="59"/>
      <c r="I177" s="59"/>
      <c r="J177" s="59"/>
      <c r="K177" s="60"/>
      <c r="L177" s="51">
        <f t="shared" si="2"/>
        <v>31</v>
      </c>
      <c r="M177" s="52" t="s">
        <v>264</v>
      </c>
      <c r="N177" s="53">
        <v>31</v>
      </c>
      <c r="O177" s="46">
        <f t="shared" si="3"/>
        <v>0</v>
      </c>
    </row>
    <row r="178" spans="1:15" x14ac:dyDescent="0.35">
      <c r="A178" s="22" t="s">
        <v>51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60">
        <v>31</v>
      </c>
      <c r="L178" s="51">
        <f t="shared" si="2"/>
        <v>31</v>
      </c>
      <c r="M178" s="52" t="s">
        <v>264</v>
      </c>
      <c r="N178" s="53">
        <v>31</v>
      </c>
      <c r="O178" s="46">
        <f t="shared" si="3"/>
        <v>0</v>
      </c>
    </row>
    <row r="179" spans="1:15" x14ac:dyDescent="0.35">
      <c r="A179" s="22" t="s">
        <v>52</v>
      </c>
      <c r="B179" s="59"/>
      <c r="C179" s="59"/>
      <c r="D179" s="59"/>
      <c r="E179" s="59"/>
      <c r="F179" s="59"/>
      <c r="G179" s="59"/>
      <c r="H179" s="59"/>
      <c r="I179" s="59"/>
      <c r="J179" s="59">
        <v>30</v>
      </c>
      <c r="K179" s="60"/>
      <c r="L179" s="51">
        <f t="shared" si="2"/>
        <v>30</v>
      </c>
      <c r="M179" s="52" t="s">
        <v>264</v>
      </c>
      <c r="N179" s="53">
        <v>30</v>
      </c>
      <c r="O179" s="46">
        <f t="shared" si="3"/>
        <v>0</v>
      </c>
    </row>
    <row r="180" spans="1:15" x14ac:dyDescent="0.35">
      <c r="A180" s="22" t="s">
        <v>53</v>
      </c>
      <c r="B180" s="59"/>
      <c r="C180" s="59"/>
      <c r="D180" s="59"/>
      <c r="E180" s="59"/>
      <c r="F180" s="59"/>
      <c r="G180" s="59"/>
      <c r="H180" s="59">
        <v>30</v>
      </c>
      <c r="I180" s="59"/>
      <c r="J180" s="59"/>
      <c r="K180" s="60"/>
      <c r="L180" s="51">
        <f t="shared" si="2"/>
        <v>30</v>
      </c>
      <c r="M180" s="52" t="s">
        <v>264</v>
      </c>
      <c r="N180" s="53">
        <v>30</v>
      </c>
      <c r="O180" s="46">
        <f t="shared" si="3"/>
        <v>0</v>
      </c>
    </row>
    <row r="181" spans="1:15" x14ac:dyDescent="0.35">
      <c r="A181" s="22" t="s">
        <v>54</v>
      </c>
      <c r="B181" s="59"/>
      <c r="C181" s="59"/>
      <c r="D181" s="59"/>
      <c r="E181" s="59"/>
      <c r="F181" s="59">
        <v>29</v>
      </c>
      <c r="G181" s="59"/>
      <c r="H181" s="59"/>
      <c r="I181" s="59"/>
      <c r="J181" s="59"/>
      <c r="K181" s="60"/>
      <c r="L181" s="51">
        <f t="shared" si="2"/>
        <v>29</v>
      </c>
      <c r="M181" s="52" t="s">
        <v>264</v>
      </c>
      <c r="N181" s="53">
        <v>29</v>
      </c>
      <c r="O181" s="46">
        <f t="shared" si="3"/>
        <v>0</v>
      </c>
    </row>
    <row r="182" spans="1:15" x14ac:dyDescent="0.35">
      <c r="A182" s="22" t="s">
        <v>180</v>
      </c>
      <c r="B182" s="59"/>
      <c r="C182" s="59"/>
      <c r="D182" s="59"/>
      <c r="E182" s="59"/>
      <c r="F182" s="59"/>
      <c r="G182" s="59"/>
      <c r="H182" s="59"/>
      <c r="I182" s="59"/>
      <c r="J182" s="59">
        <v>28</v>
      </c>
      <c r="K182" s="60"/>
      <c r="L182" s="51">
        <f t="shared" si="2"/>
        <v>28</v>
      </c>
      <c r="M182" s="52" t="s">
        <v>264</v>
      </c>
      <c r="N182" s="53">
        <v>28</v>
      </c>
      <c r="O182" s="46">
        <f t="shared" si="3"/>
        <v>0</v>
      </c>
    </row>
    <row r="183" spans="1:15" x14ac:dyDescent="0.35">
      <c r="A183" s="22" t="s">
        <v>55</v>
      </c>
      <c r="B183" s="59"/>
      <c r="C183" s="59"/>
      <c r="D183" s="59"/>
      <c r="E183" s="59"/>
      <c r="F183" s="59">
        <v>28</v>
      </c>
      <c r="G183" s="59"/>
      <c r="H183" s="59"/>
      <c r="I183" s="59"/>
      <c r="J183" s="59"/>
      <c r="K183" s="60"/>
      <c r="L183" s="51">
        <f t="shared" si="2"/>
        <v>28</v>
      </c>
      <c r="M183" s="52" t="s">
        <v>264</v>
      </c>
      <c r="N183" s="53">
        <v>28</v>
      </c>
      <c r="O183" s="46">
        <f t="shared" si="3"/>
        <v>0</v>
      </c>
    </row>
    <row r="184" spans="1:15" x14ac:dyDescent="0.35">
      <c r="A184" s="22" t="s">
        <v>56</v>
      </c>
      <c r="B184" s="59"/>
      <c r="C184" s="59"/>
      <c r="D184" s="59"/>
      <c r="E184" s="59"/>
      <c r="F184" s="59"/>
      <c r="G184" s="59"/>
      <c r="H184" s="59"/>
      <c r="I184" s="59"/>
      <c r="J184" s="59">
        <v>28</v>
      </c>
      <c r="K184" s="60"/>
      <c r="L184" s="51">
        <f t="shared" si="2"/>
        <v>28</v>
      </c>
      <c r="M184" s="52" t="s">
        <v>264</v>
      </c>
      <c r="N184" s="53">
        <v>28</v>
      </c>
      <c r="O184" s="46">
        <f t="shared" si="3"/>
        <v>0</v>
      </c>
    </row>
    <row r="185" spans="1:15" x14ac:dyDescent="0.35">
      <c r="A185" s="22" t="s">
        <v>57</v>
      </c>
      <c r="B185" s="59"/>
      <c r="C185" s="59"/>
      <c r="D185" s="59"/>
      <c r="E185" s="59">
        <v>28</v>
      </c>
      <c r="F185" s="59"/>
      <c r="G185" s="59"/>
      <c r="H185" s="59"/>
      <c r="I185" s="59"/>
      <c r="J185" s="59"/>
      <c r="K185" s="60"/>
      <c r="L185" s="51">
        <f t="shared" si="2"/>
        <v>28</v>
      </c>
      <c r="M185" s="52" t="s">
        <v>264</v>
      </c>
      <c r="N185" s="53">
        <v>28</v>
      </c>
      <c r="O185" s="46">
        <f t="shared" si="3"/>
        <v>0</v>
      </c>
    </row>
    <row r="186" spans="1:15" x14ac:dyDescent="0.35">
      <c r="A186" s="22" t="s">
        <v>58</v>
      </c>
      <c r="B186" s="59"/>
      <c r="C186" s="59"/>
      <c r="D186" s="59"/>
      <c r="E186" s="59">
        <v>28</v>
      </c>
      <c r="F186" s="59"/>
      <c r="G186" s="59"/>
      <c r="H186" s="59"/>
      <c r="I186" s="59"/>
      <c r="J186" s="59"/>
      <c r="K186" s="60"/>
      <c r="L186" s="51">
        <f t="shared" si="2"/>
        <v>28</v>
      </c>
      <c r="M186" s="52" t="s">
        <v>264</v>
      </c>
      <c r="N186" s="53">
        <v>28</v>
      </c>
      <c r="O186" s="46">
        <f t="shared" si="3"/>
        <v>0</v>
      </c>
    </row>
    <row r="187" spans="1:15" x14ac:dyDescent="0.35">
      <c r="A187" s="22" t="s">
        <v>59</v>
      </c>
      <c r="B187" s="59"/>
      <c r="C187" s="59"/>
      <c r="D187" s="59">
        <v>26</v>
      </c>
      <c r="E187" s="59"/>
      <c r="F187" s="59"/>
      <c r="G187" s="59"/>
      <c r="H187" s="59"/>
      <c r="I187" s="59"/>
      <c r="J187" s="59"/>
      <c r="K187" s="60"/>
      <c r="L187" s="51">
        <f t="shared" si="2"/>
        <v>26</v>
      </c>
      <c r="M187" s="52" t="s">
        <v>264</v>
      </c>
      <c r="N187" s="53">
        <v>26</v>
      </c>
      <c r="O187" s="46">
        <f t="shared" si="3"/>
        <v>0</v>
      </c>
    </row>
    <row r="188" spans="1:15" x14ac:dyDescent="0.35">
      <c r="A188" s="22" t="s">
        <v>181</v>
      </c>
      <c r="B188" s="59"/>
      <c r="C188" s="59"/>
      <c r="D188" s="59"/>
      <c r="E188" s="59"/>
      <c r="F188" s="59"/>
      <c r="G188" s="59"/>
      <c r="H188" s="59"/>
      <c r="I188" s="59">
        <v>26</v>
      </c>
      <c r="J188" s="59"/>
      <c r="K188" s="60"/>
      <c r="L188" s="51">
        <f t="shared" si="2"/>
        <v>26</v>
      </c>
      <c r="M188" s="52" t="s">
        <v>264</v>
      </c>
      <c r="N188" s="53">
        <v>26</v>
      </c>
      <c r="O188" s="46">
        <f t="shared" si="3"/>
        <v>0</v>
      </c>
    </row>
    <row r="189" spans="1:15" x14ac:dyDescent="0.35">
      <c r="A189" s="22" t="s">
        <v>60</v>
      </c>
      <c r="B189" s="59"/>
      <c r="C189" s="59"/>
      <c r="D189" s="59"/>
      <c r="E189" s="59"/>
      <c r="F189" s="59"/>
      <c r="G189" s="59"/>
      <c r="H189" s="59"/>
      <c r="I189" s="59"/>
      <c r="J189" s="59">
        <v>26</v>
      </c>
      <c r="K189" s="60"/>
      <c r="L189" s="51">
        <f t="shared" si="2"/>
        <v>26</v>
      </c>
      <c r="M189" s="52" t="s">
        <v>264</v>
      </c>
      <c r="N189" s="53">
        <v>26</v>
      </c>
      <c r="O189" s="46">
        <f t="shared" si="3"/>
        <v>0</v>
      </c>
    </row>
    <row r="190" spans="1:15" x14ac:dyDescent="0.35">
      <c r="A190" s="22" t="s">
        <v>61</v>
      </c>
      <c r="B190" s="59"/>
      <c r="C190" s="59"/>
      <c r="D190" s="59"/>
      <c r="E190" s="59"/>
      <c r="F190" s="59"/>
      <c r="G190" s="59"/>
      <c r="H190" s="59"/>
      <c r="I190" s="59">
        <v>26</v>
      </c>
      <c r="J190" s="59"/>
      <c r="K190" s="60"/>
      <c r="L190" s="51">
        <f t="shared" si="2"/>
        <v>26</v>
      </c>
      <c r="M190" s="52" t="s">
        <v>264</v>
      </c>
      <c r="N190" s="53">
        <v>26</v>
      </c>
      <c r="O190" s="46">
        <f t="shared" si="3"/>
        <v>0</v>
      </c>
    </row>
    <row r="191" spans="1:15" x14ac:dyDescent="0.35">
      <c r="A191" s="22" t="s">
        <v>62</v>
      </c>
      <c r="B191" s="59"/>
      <c r="C191" s="59"/>
      <c r="D191" s="59"/>
      <c r="E191" s="59">
        <v>26</v>
      </c>
      <c r="F191" s="59"/>
      <c r="G191" s="59"/>
      <c r="H191" s="59"/>
      <c r="I191" s="59"/>
      <c r="J191" s="59"/>
      <c r="K191" s="60"/>
      <c r="L191" s="51">
        <f t="shared" si="2"/>
        <v>26</v>
      </c>
      <c r="M191" s="52" t="s">
        <v>264</v>
      </c>
      <c r="N191" s="53">
        <v>26</v>
      </c>
      <c r="O191" s="46">
        <f t="shared" si="3"/>
        <v>0</v>
      </c>
    </row>
    <row r="192" spans="1:15" x14ac:dyDescent="0.35">
      <c r="A192" s="22" t="s">
        <v>63</v>
      </c>
      <c r="B192" s="59"/>
      <c r="C192" s="59"/>
      <c r="D192" s="59"/>
      <c r="E192" s="59"/>
      <c r="F192" s="59"/>
      <c r="G192" s="59"/>
      <c r="H192" s="59"/>
      <c r="I192" s="59"/>
      <c r="J192" s="59">
        <v>25</v>
      </c>
      <c r="K192" s="60"/>
      <c r="L192" s="51">
        <f t="shared" si="2"/>
        <v>25</v>
      </c>
      <c r="M192" s="52" t="s">
        <v>264</v>
      </c>
      <c r="N192" s="53">
        <v>25</v>
      </c>
      <c r="O192" s="46">
        <f t="shared" si="3"/>
        <v>0</v>
      </c>
    </row>
    <row r="193" spans="1:15" x14ac:dyDescent="0.35">
      <c r="A193" s="22" t="s">
        <v>64</v>
      </c>
      <c r="B193" s="59"/>
      <c r="C193" s="59"/>
      <c r="D193" s="59"/>
      <c r="E193" s="59"/>
      <c r="F193" s="59"/>
      <c r="G193" s="59"/>
      <c r="H193" s="59"/>
      <c r="I193" s="59"/>
      <c r="J193" s="59">
        <v>25</v>
      </c>
      <c r="K193" s="60"/>
      <c r="L193" s="51">
        <f t="shared" si="2"/>
        <v>25</v>
      </c>
      <c r="M193" s="52" t="s">
        <v>264</v>
      </c>
      <c r="N193" s="53">
        <v>25</v>
      </c>
      <c r="O193" s="46">
        <f t="shared" si="3"/>
        <v>0</v>
      </c>
    </row>
    <row r="194" spans="1:15" x14ac:dyDescent="0.35">
      <c r="A194" s="22" t="s">
        <v>182</v>
      </c>
      <c r="B194" s="59"/>
      <c r="C194" s="59"/>
      <c r="D194" s="59"/>
      <c r="E194" s="59">
        <v>24</v>
      </c>
      <c r="F194" s="59"/>
      <c r="G194" s="59"/>
      <c r="H194" s="59"/>
      <c r="I194" s="59"/>
      <c r="J194" s="59"/>
      <c r="K194" s="60"/>
      <c r="L194" s="51">
        <f t="shared" si="2"/>
        <v>24</v>
      </c>
      <c r="M194" s="52" t="s">
        <v>264</v>
      </c>
      <c r="N194" s="53">
        <v>24</v>
      </c>
      <c r="O194" s="46">
        <f t="shared" si="3"/>
        <v>0</v>
      </c>
    </row>
    <row r="195" spans="1:15" x14ac:dyDescent="0.35">
      <c r="A195" s="22" t="s">
        <v>65</v>
      </c>
      <c r="B195" s="59"/>
      <c r="C195" s="59"/>
      <c r="D195" s="59"/>
      <c r="E195" s="59"/>
      <c r="F195" s="59"/>
      <c r="G195" s="59"/>
      <c r="H195" s="59"/>
      <c r="I195" s="59">
        <v>24</v>
      </c>
      <c r="J195" s="59"/>
      <c r="K195" s="60"/>
      <c r="L195" s="51">
        <f t="shared" si="2"/>
        <v>24</v>
      </c>
      <c r="M195" s="52" t="s">
        <v>264</v>
      </c>
      <c r="N195" s="53">
        <v>24</v>
      </c>
      <c r="O195" s="46">
        <f t="shared" si="3"/>
        <v>0</v>
      </c>
    </row>
    <row r="196" spans="1:15" x14ac:dyDescent="0.35">
      <c r="A196" s="22" t="s">
        <v>66</v>
      </c>
      <c r="B196" s="59"/>
      <c r="C196" s="59"/>
      <c r="D196" s="59">
        <v>24</v>
      </c>
      <c r="E196" s="59"/>
      <c r="F196" s="59"/>
      <c r="G196" s="59"/>
      <c r="H196" s="59"/>
      <c r="I196" s="59"/>
      <c r="J196" s="59"/>
      <c r="K196" s="60"/>
      <c r="L196" s="51">
        <f t="shared" si="2"/>
        <v>24</v>
      </c>
      <c r="M196" s="52" t="s">
        <v>264</v>
      </c>
      <c r="N196" s="53">
        <v>24</v>
      </c>
      <c r="O196" s="46">
        <f t="shared" si="3"/>
        <v>0</v>
      </c>
    </row>
    <row r="197" spans="1:15" x14ac:dyDescent="0.35">
      <c r="A197" s="22" t="s">
        <v>67</v>
      </c>
      <c r="B197" s="59"/>
      <c r="C197" s="59"/>
      <c r="D197" s="59"/>
      <c r="E197" s="59"/>
      <c r="F197" s="59"/>
      <c r="G197" s="59"/>
      <c r="H197" s="59"/>
      <c r="I197" s="59"/>
      <c r="J197" s="59">
        <v>23</v>
      </c>
      <c r="K197" s="60"/>
      <c r="L197" s="51">
        <f t="shared" si="2"/>
        <v>23</v>
      </c>
      <c r="M197" s="52" t="s">
        <v>264</v>
      </c>
      <c r="N197" s="53">
        <v>23</v>
      </c>
      <c r="O197" s="46">
        <f t="shared" si="3"/>
        <v>0</v>
      </c>
    </row>
    <row r="198" spans="1:15" x14ac:dyDescent="0.35">
      <c r="A198" s="22" t="s">
        <v>68</v>
      </c>
      <c r="B198" s="59"/>
      <c r="C198" s="59"/>
      <c r="D198" s="59"/>
      <c r="E198" s="59"/>
      <c r="F198" s="59">
        <v>22</v>
      </c>
      <c r="G198" s="59"/>
      <c r="H198" s="59"/>
      <c r="I198" s="59"/>
      <c r="J198" s="59"/>
      <c r="K198" s="60"/>
      <c r="L198" s="51">
        <f t="shared" si="2"/>
        <v>22</v>
      </c>
      <c r="M198" s="52" t="s">
        <v>264</v>
      </c>
      <c r="N198" s="53">
        <v>22</v>
      </c>
      <c r="O198" s="46">
        <f t="shared" si="3"/>
        <v>0</v>
      </c>
    </row>
    <row r="199" spans="1:15" x14ac:dyDescent="0.35">
      <c r="A199" s="22" t="s">
        <v>69</v>
      </c>
      <c r="B199" s="59"/>
      <c r="C199" s="59"/>
      <c r="D199" s="59">
        <v>22</v>
      </c>
      <c r="E199" s="59"/>
      <c r="F199" s="59"/>
      <c r="G199" s="59"/>
      <c r="H199" s="59"/>
      <c r="I199" s="59"/>
      <c r="J199" s="59"/>
      <c r="K199" s="60"/>
      <c r="L199" s="51">
        <f t="shared" si="2"/>
        <v>22</v>
      </c>
      <c r="M199" s="52" t="s">
        <v>264</v>
      </c>
      <c r="N199" s="53">
        <v>22</v>
      </c>
      <c r="O199" s="46">
        <f t="shared" si="3"/>
        <v>0</v>
      </c>
    </row>
    <row r="200" spans="1:15" x14ac:dyDescent="0.35">
      <c r="A200" s="22" t="s">
        <v>70</v>
      </c>
      <c r="B200" s="59"/>
      <c r="C200" s="59"/>
      <c r="D200" s="59"/>
      <c r="E200" s="59"/>
      <c r="F200" s="59">
        <v>22</v>
      </c>
      <c r="G200" s="59"/>
      <c r="H200" s="59"/>
      <c r="I200" s="59"/>
      <c r="J200" s="59"/>
      <c r="K200" s="60"/>
      <c r="L200" s="51">
        <f t="shared" si="2"/>
        <v>22</v>
      </c>
      <c r="M200" s="52" t="s">
        <v>264</v>
      </c>
      <c r="N200" s="53">
        <v>22</v>
      </c>
      <c r="O200" s="46">
        <f t="shared" si="3"/>
        <v>0</v>
      </c>
    </row>
    <row r="201" spans="1:15" x14ac:dyDescent="0.35">
      <c r="A201" s="22" t="s">
        <v>71</v>
      </c>
      <c r="B201" s="59"/>
      <c r="C201" s="59"/>
      <c r="D201" s="59"/>
      <c r="E201" s="59"/>
      <c r="F201" s="59"/>
      <c r="G201" s="59"/>
      <c r="H201" s="59"/>
      <c r="I201" s="59"/>
      <c r="J201" s="59">
        <v>22</v>
      </c>
      <c r="K201" s="60"/>
      <c r="L201" s="51">
        <f t="shared" si="2"/>
        <v>22</v>
      </c>
      <c r="M201" s="52" t="s">
        <v>264</v>
      </c>
      <c r="N201" s="53">
        <v>22</v>
      </c>
      <c r="O201" s="46">
        <f t="shared" si="3"/>
        <v>0</v>
      </c>
    </row>
    <row r="202" spans="1:15" x14ac:dyDescent="0.35">
      <c r="A202" s="22" t="s">
        <v>72</v>
      </c>
      <c r="B202" s="59"/>
      <c r="C202" s="59"/>
      <c r="D202" s="59"/>
      <c r="E202" s="59"/>
      <c r="F202" s="59">
        <v>22</v>
      </c>
      <c r="G202" s="59"/>
      <c r="H202" s="59"/>
      <c r="I202" s="59"/>
      <c r="J202" s="59"/>
      <c r="K202" s="60"/>
      <c r="L202" s="51">
        <f t="shared" si="2"/>
        <v>22</v>
      </c>
      <c r="M202" s="52" t="s">
        <v>264</v>
      </c>
      <c r="N202" s="53">
        <v>22</v>
      </c>
      <c r="O202" s="46">
        <f t="shared" si="3"/>
        <v>0</v>
      </c>
    </row>
    <row r="203" spans="1:15" x14ac:dyDescent="0.35">
      <c r="A203" s="22" t="s">
        <v>73</v>
      </c>
      <c r="B203" s="59"/>
      <c r="C203" s="59"/>
      <c r="D203" s="59">
        <v>22</v>
      </c>
      <c r="E203" s="59"/>
      <c r="F203" s="59"/>
      <c r="G203" s="59"/>
      <c r="H203" s="59"/>
      <c r="I203" s="59"/>
      <c r="J203" s="59"/>
      <c r="K203" s="60"/>
      <c r="L203" s="51">
        <f t="shared" si="2"/>
        <v>22</v>
      </c>
      <c r="M203" s="52" t="s">
        <v>264</v>
      </c>
      <c r="N203" s="53">
        <v>22</v>
      </c>
      <c r="O203" s="46">
        <f t="shared" si="3"/>
        <v>0</v>
      </c>
    </row>
    <row r="204" spans="1:15" x14ac:dyDescent="0.35">
      <c r="A204" s="22" t="s">
        <v>74</v>
      </c>
      <c r="B204" s="59"/>
      <c r="C204" s="59"/>
      <c r="D204" s="59"/>
      <c r="E204" s="59"/>
      <c r="F204" s="59"/>
      <c r="G204" s="59">
        <v>22</v>
      </c>
      <c r="H204" s="59"/>
      <c r="I204" s="59"/>
      <c r="J204" s="59"/>
      <c r="K204" s="60"/>
      <c r="L204" s="51">
        <f t="shared" si="2"/>
        <v>22</v>
      </c>
      <c r="M204" s="52" t="s">
        <v>264</v>
      </c>
      <c r="N204" s="53">
        <v>22</v>
      </c>
      <c r="O204" s="46">
        <f t="shared" si="3"/>
        <v>0</v>
      </c>
    </row>
    <row r="205" spans="1:15" x14ac:dyDescent="0.35">
      <c r="A205" s="22" t="s">
        <v>75</v>
      </c>
      <c r="B205" s="59"/>
      <c r="C205" s="59"/>
      <c r="D205" s="59"/>
      <c r="E205" s="59">
        <v>21</v>
      </c>
      <c r="F205" s="59"/>
      <c r="G205" s="59"/>
      <c r="H205" s="59"/>
      <c r="I205" s="59"/>
      <c r="J205" s="59"/>
      <c r="K205" s="60"/>
      <c r="L205" s="51">
        <f t="shared" si="2"/>
        <v>21</v>
      </c>
      <c r="M205" s="52" t="s">
        <v>264</v>
      </c>
      <c r="N205" s="53">
        <v>21</v>
      </c>
      <c r="O205" s="46">
        <f t="shared" si="3"/>
        <v>0</v>
      </c>
    </row>
    <row r="206" spans="1:15" x14ac:dyDescent="0.35">
      <c r="A206" s="22" t="s">
        <v>76</v>
      </c>
      <c r="B206" s="59"/>
      <c r="C206" s="59"/>
      <c r="D206" s="59"/>
      <c r="E206" s="59"/>
      <c r="F206" s="59"/>
      <c r="G206" s="59">
        <v>21</v>
      </c>
      <c r="H206" s="59"/>
      <c r="I206" s="59"/>
      <c r="J206" s="59"/>
      <c r="K206" s="60"/>
      <c r="L206" s="51">
        <f t="shared" si="2"/>
        <v>21</v>
      </c>
      <c r="M206" s="52" t="s">
        <v>264</v>
      </c>
      <c r="N206" s="53">
        <v>21</v>
      </c>
      <c r="O206" s="46">
        <f t="shared" si="3"/>
        <v>0</v>
      </c>
    </row>
    <row r="207" spans="1:15" ht="13.15" thickBot="1" x14ac:dyDescent="0.4">
      <c r="A207" s="22" t="s">
        <v>77</v>
      </c>
      <c r="B207" s="59"/>
      <c r="C207" s="59"/>
      <c r="D207" s="59"/>
      <c r="E207" s="59"/>
      <c r="F207" s="59"/>
      <c r="G207" s="59"/>
      <c r="H207" s="59"/>
      <c r="I207" s="59"/>
      <c r="J207" s="59">
        <v>21</v>
      </c>
      <c r="K207" s="60"/>
      <c r="L207" s="54">
        <f t="shared" si="2"/>
        <v>21</v>
      </c>
      <c r="M207" s="55" t="s">
        <v>264</v>
      </c>
      <c r="N207" s="56">
        <v>21</v>
      </c>
      <c r="O207" s="46">
        <f t="shared" si="3"/>
        <v>0</v>
      </c>
    </row>
    <row r="209" spans="1:11" x14ac:dyDescent="0.35">
      <c r="A209" s="22" t="s">
        <v>268</v>
      </c>
      <c r="B209" s="43">
        <f>MAX(0,(COUNT(B109:B207)-1))</f>
        <v>2</v>
      </c>
      <c r="C209" s="43">
        <f t="shared" ref="C209:K209" si="4">MAX(0,(COUNT(C109:C207)-1))</f>
        <v>8</v>
      </c>
      <c r="D209" s="43">
        <f t="shared" si="4"/>
        <v>11</v>
      </c>
      <c r="E209" s="43">
        <f t="shared" si="4"/>
        <v>12</v>
      </c>
      <c r="F209" s="43">
        <f t="shared" si="4"/>
        <v>13</v>
      </c>
      <c r="G209" s="43">
        <f t="shared" si="4"/>
        <v>10</v>
      </c>
      <c r="H209" s="43">
        <f t="shared" si="4"/>
        <v>7</v>
      </c>
      <c r="I209" s="43">
        <f t="shared" si="4"/>
        <v>8</v>
      </c>
      <c r="J209" s="43">
        <f t="shared" si="4"/>
        <v>19</v>
      </c>
      <c r="K209" s="43">
        <f t="shared" si="4"/>
        <v>4</v>
      </c>
    </row>
    <row r="211" spans="1:11" ht="13.05" customHeight="1" x14ac:dyDescent="0.35">
      <c r="A211" s="65" t="s">
        <v>271</v>
      </c>
      <c r="B211" s="57">
        <f>SUMPRODUCT(B109:B207,B3:B101)+(B209*B103)</f>
        <v>1255.7308888888888</v>
      </c>
      <c r="C211" s="57">
        <f t="shared" ref="C211:K211" si="5">SUMPRODUCT(C109:C207,C3:C101)+(C209*C103)</f>
        <v>1351.8727777777776</v>
      </c>
      <c r="D211" s="57">
        <f t="shared" si="5"/>
        <v>1423.3838888888886</v>
      </c>
      <c r="E211" s="57">
        <f t="shared" si="5"/>
        <v>1438.2855555555557</v>
      </c>
      <c r="F211" s="57">
        <f t="shared" si="5"/>
        <v>1294.1640740740741</v>
      </c>
      <c r="G211" s="57">
        <f t="shared" si="5"/>
        <v>1435.0566666666668</v>
      </c>
      <c r="H211" s="57">
        <f t="shared" si="5"/>
        <v>1439.8633333333332</v>
      </c>
      <c r="I211" s="57">
        <f t="shared" si="5"/>
        <v>1348.2716666666668</v>
      </c>
      <c r="J211" s="57">
        <f t="shared" si="5"/>
        <v>1377.7272222222223</v>
      </c>
      <c r="K211" s="57">
        <f t="shared" si="5"/>
        <v>1329.7061111111111</v>
      </c>
    </row>
    <row r="212" spans="1:11" x14ac:dyDescent="0.35">
      <c r="A212" s="65"/>
      <c r="B212" s="57" t="s">
        <v>272</v>
      </c>
      <c r="C212" s="57" t="s">
        <v>272</v>
      </c>
      <c r="D212" s="57" t="s">
        <v>272</v>
      </c>
      <c r="E212" s="57" t="s">
        <v>272</v>
      </c>
      <c r="F212" s="57" t="s">
        <v>272</v>
      </c>
      <c r="G212" s="57" t="s">
        <v>272</v>
      </c>
      <c r="H212" s="57" t="s">
        <v>272</v>
      </c>
      <c r="I212" s="57" t="s">
        <v>272</v>
      </c>
      <c r="J212" s="57" t="s">
        <v>272</v>
      </c>
      <c r="K212" s="57" t="s">
        <v>272</v>
      </c>
    </row>
    <row r="213" spans="1:11" x14ac:dyDescent="0.35">
      <c r="A213" s="65"/>
      <c r="B213" s="57">
        <f>60*24</f>
        <v>1440</v>
      </c>
      <c r="C213" s="57">
        <f t="shared" ref="C213:K213" si="6">60*24</f>
        <v>1440</v>
      </c>
      <c r="D213" s="57">
        <f t="shared" si="6"/>
        <v>1440</v>
      </c>
      <c r="E213" s="57">
        <f t="shared" si="6"/>
        <v>1440</v>
      </c>
      <c r="F213" s="57">
        <f t="shared" si="6"/>
        <v>1440</v>
      </c>
      <c r="G213" s="57">
        <f t="shared" si="6"/>
        <v>1440</v>
      </c>
      <c r="H213" s="57">
        <f t="shared" si="6"/>
        <v>1440</v>
      </c>
      <c r="I213" s="57">
        <f t="shared" si="6"/>
        <v>1440</v>
      </c>
      <c r="J213" s="57">
        <f t="shared" si="6"/>
        <v>1440</v>
      </c>
      <c r="K213" s="57">
        <f t="shared" si="6"/>
        <v>1440</v>
      </c>
    </row>
    <row r="214" spans="1:11" ht="12.5" customHeight="1" x14ac:dyDescent="0.35">
      <c r="A214" s="65"/>
      <c r="B214" s="64" t="s">
        <v>273</v>
      </c>
      <c r="C214" s="64"/>
      <c r="D214" s="64"/>
      <c r="E214" s="64"/>
      <c r="F214" s="64"/>
      <c r="G214" s="64"/>
      <c r="H214" s="64"/>
      <c r="I214" s="64"/>
      <c r="J214" s="64"/>
      <c r="K214" s="64"/>
    </row>
    <row r="215" spans="1:11" x14ac:dyDescent="0.35">
      <c r="A215" s="65"/>
      <c r="B215" s="64"/>
      <c r="C215" s="64"/>
      <c r="D215" s="64"/>
      <c r="E215" s="64"/>
      <c r="F215" s="64"/>
      <c r="G215" s="64"/>
      <c r="H215" s="64"/>
      <c r="I215" s="64"/>
      <c r="J215" s="64"/>
      <c r="K215" s="64"/>
    </row>
    <row r="216" spans="1:11" x14ac:dyDescent="0.35">
      <c r="A216" s="65"/>
      <c r="B216" s="64"/>
      <c r="C216" s="64"/>
      <c r="D216" s="64"/>
      <c r="E216" s="64"/>
      <c r="F216" s="64"/>
      <c r="G216" s="64"/>
      <c r="H216" s="64"/>
      <c r="I216" s="64"/>
      <c r="J216" s="64"/>
      <c r="K216" s="64"/>
    </row>
    <row r="217" spans="1:11" x14ac:dyDescent="0.35">
      <c r="A217" s="65"/>
      <c r="B217" s="64"/>
      <c r="C217" s="64"/>
      <c r="D217" s="64"/>
      <c r="E217" s="64"/>
      <c r="F217" s="64"/>
      <c r="G217" s="64"/>
      <c r="H217" s="64"/>
      <c r="I217" s="64"/>
      <c r="J217" s="64"/>
      <c r="K217" s="64"/>
    </row>
    <row r="218" spans="1:1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35">
      <c r="B219" s="10">
        <f>+B211-B213</f>
        <v>-184.26911111111121</v>
      </c>
      <c r="C219" s="10">
        <f t="shared" ref="C219:K219" si="7">+C211-C213</f>
        <v>-88.127222222222372</v>
      </c>
      <c r="D219" s="10">
        <f t="shared" si="7"/>
        <v>-16.616111111111422</v>
      </c>
      <c r="E219" s="10">
        <f t="shared" si="7"/>
        <v>-1.7144444444443252</v>
      </c>
      <c r="F219" s="10">
        <f t="shared" si="7"/>
        <v>-145.83592592592595</v>
      </c>
      <c r="G219" s="10">
        <f t="shared" si="7"/>
        <v>-4.9433333333331575</v>
      </c>
      <c r="H219" s="10">
        <f t="shared" si="7"/>
        <v>-0.13666666666676974</v>
      </c>
      <c r="I219" s="10">
        <f t="shared" si="7"/>
        <v>-91.728333333333239</v>
      </c>
      <c r="J219" s="10">
        <f t="shared" si="7"/>
        <v>-62.272777777777719</v>
      </c>
      <c r="K219" s="10">
        <f t="shared" si="7"/>
        <v>-110.29388888888889</v>
      </c>
    </row>
    <row r="220" spans="1:1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="10" customFormat="1" x14ac:dyDescent="0.35"/>
    <row r="226" s="10" customFormat="1" x14ac:dyDescent="0.35"/>
    <row r="227" s="10" customFormat="1" x14ac:dyDescent="0.35"/>
    <row r="228" s="10" customFormat="1" x14ac:dyDescent="0.35"/>
  </sheetData>
  <autoFilter ref="A2:K101" xr:uid="{DE9C59C2-A7B9-410E-A8CA-E6BEDB77C32C}"/>
  <mergeCells count="3">
    <mergeCell ref="A1:K1"/>
    <mergeCell ref="B214:K217"/>
    <mergeCell ref="A211:A217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E194-0089-46C6-AF8F-3AFCAF2ACFB1}">
  <sheetPr>
    <tabColor theme="8" tint="0.39997558519241921"/>
  </sheetPr>
  <dimension ref="A1:L202"/>
  <sheetViews>
    <sheetView zoomScale="85" zoomScaleNormal="85" workbookViewId="0">
      <selection sqref="A1:K1"/>
    </sheetView>
  </sheetViews>
  <sheetFormatPr baseColWidth="10" defaultColWidth="11.46484375" defaultRowHeight="12.75" x14ac:dyDescent="0.35"/>
  <cols>
    <col min="1" max="1" width="66.73046875" style="10" bestFit="1" customWidth="1"/>
    <col min="2" max="11" width="11.46484375" style="1"/>
    <col min="12" max="16384" width="11.46484375" style="10"/>
  </cols>
  <sheetData>
    <row r="1" spans="1:12" ht="13.15" x14ac:dyDescent="0.4">
      <c r="A1" s="61" t="s">
        <v>263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2" ht="13.15" x14ac:dyDescent="0.4">
      <c r="A2" s="21" t="s">
        <v>0</v>
      </c>
      <c r="B2" s="21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1" t="s">
        <v>254</v>
      </c>
      <c r="H2" s="21" t="s">
        <v>255</v>
      </c>
      <c r="I2" s="21" t="s">
        <v>256</v>
      </c>
      <c r="J2" s="21" t="s">
        <v>257</v>
      </c>
      <c r="K2" s="21" t="s">
        <v>258</v>
      </c>
    </row>
    <row r="3" spans="1:12" ht="13.15" x14ac:dyDescent="0.4">
      <c r="A3" s="22" t="s">
        <v>210</v>
      </c>
      <c r="B3" s="23">
        <v>51</v>
      </c>
      <c r="C3" s="23">
        <v>39.233333333333334</v>
      </c>
      <c r="D3" s="23">
        <v>69.566666666666663</v>
      </c>
      <c r="E3" s="24">
        <v>62.033333333333331</v>
      </c>
      <c r="F3" s="24">
        <v>44.099999999999994</v>
      </c>
      <c r="G3" s="23">
        <v>44.43333333333333</v>
      </c>
      <c r="H3" s="23">
        <v>37.166666666666664</v>
      </c>
      <c r="I3" s="24">
        <v>44.099999999999994</v>
      </c>
      <c r="J3" s="23">
        <v>51.033333333333331</v>
      </c>
      <c r="K3" s="23">
        <v>54.5</v>
      </c>
      <c r="L3" s="20"/>
    </row>
    <row r="4" spans="1:12" ht="13.9" x14ac:dyDescent="0.4">
      <c r="A4" s="22" t="s">
        <v>166</v>
      </c>
      <c r="B4" s="39">
        <v>51.012698412698406</v>
      </c>
      <c r="C4" s="39">
        <v>51.012698412698406</v>
      </c>
      <c r="D4" s="23">
        <v>39.166666666666664</v>
      </c>
      <c r="E4" s="24">
        <v>38.599999999999994</v>
      </c>
      <c r="F4" s="24">
        <v>60.322222222222223</v>
      </c>
      <c r="G4" s="39">
        <v>51.012698412698406</v>
      </c>
      <c r="H4" s="23">
        <v>43.43333333333333</v>
      </c>
      <c r="I4" s="23">
        <v>59.133333333333333</v>
      </c>
      <c r="J4" s="23">
        <v>78.400000000000006</v>
      </c>
      <c r="K4" s="23">
        <v>38.033333333333331</v>
      </c>
      <c r="L4" s="20"/>
    </row>
    <row r="5" spans="1:12" ht="13.15" x14ac:dyDescent="0.4">
      <c r="A5" s="22" t="s">
        <v>167</v>
      </c>
      <c r="B5" s="23">
        <v>28.733333333333334</v>
      </c>
      <c r="C5" s="23">
        <v>51.6</v>
      </c>
      <c r="D5" s="23">
        <v>48.366666666666667</v>
      </c>
      <c r="E5" s="24">
        <v>51.05</v>
      </c>
      <c r="F5" s="24">
        <v>67.033333333333331</v>
      </c>
      <c r="G5" s="23">
        <v>49.033333333333331</v>
      </c>
      <c r="H5" s="23">
        <v>41.9</v>
      </c>
      <c r="I5" s="23">
        <v>92.166666666666671</v>
      </c>
      <c r="J5" s="24">
        <v>67.033333333333331</v>
      </c>
      <c r="K5" s="23">
        <v>53.733333333333334</v>
      </c>
      <c r="L5" s="20"/>
    </row>
    <row r="6" spans="1:12" ht="13.15" x14ac:dyDescent="0.4">
      <c r="A6" s="22" t="s">
        <v>211</v>
      </c>
      <c r="B6" s="23">
        <v>23.533333333333335</v>
      </c>
      <c r="C6" s="23">
        <v>51.6</v>
      </c>
      <c r="D6" s="23">
        <v>57.1</v>
      </c>
      <c r="E6" s="24">
        <v>49.983333333333334</v>
      </c>
      <c r="F6" s="24">
        <v>60.455555555555549</v>
      </c>
      <c r="G6" s="23">
        <v>58</v>
      </c>
      <c r="H6" s="23">
        <v>100.1</v>
      </c>
      <c r="I6" s="23">
        <v>48.666666666666664</v>
      </c>
      <c r="J6" s="23">
        <v>32.6</v>
      </c>
      <c r="K6" s="23">
        <v>42.866666666666667</v>
      </c>
      <c r="L6" s="20"/>
    </row>
    <row r="7" spans="1:12" ht="13.15" x14ac:dyDescent="0.4">
      <c r="A7" s="22" t="s">
        <v>168</v>
      </c>
      <c r="B7" s="24">
        <v>50.766666666666666</v>
      </c>
      <c r="C7" s="23">
        <v>55.766666666666666</v>
      </c>
      <c r="D7" s="23">
        <v>53.93333333333333</v>
      </c>
      <c r="E7" s="24">
        <v>50.216666666666669</v>
      </c>
      <c r="F7" s="24">
        <v>68.844444444444449</v>
      </c>
      <c r="G7" s="23">
        <v>45.766666666666666</v>
      </c>
      <c r="H7" s="23">
        <v>82.966666666666669</v>
      </c>
      <c r="I7" s="23">
        <v>38.43333333333333</v>
      </c>
      <c r="J7" s="23">
        <v>85.13333333333334</v>
      </c>
      <c r="K7" s="23">
        <v>46.5</v>
      </c>
      <c r="L7" s="20"/>
    </row>
    <row r="8" spans="1:12" ht="13.15" x14ac:dyDescent="0.4">
      <c r="A8" s="22" t="s">
        <v>169</v>
      </c>
      <c r="B8" s="24">
        <v>37.666666666666664</v>
      </c>
      <c r="C8" s="24">
        <v>37.666666666666664</v>
      </c>
      <c r="D8" s="23">
        <v>69.666666666666671</v>
      </c>
      <c r="E8" s="24">
        <v>62.88333333333334</v>
      </c>
      <c r="F8" s="24">
        <v>43.877777777777773</v>
      </c>
      <c r="G8" s="23">
        <v>37.666666666666664</v>
      </c>
      <c r="H8" s="23">
        <v>44.6</v>
      </c>
      <c r="I8" s="23">
        <v>39.466666666666669</v>
      </c>
      <c r="J8" s="23">
        <v>47.56666666666667</v>
      </c>
      <c r="K8" s="23">
        <v>56.1</v>
      </c>
      <c r="L8" s="20"/>
    </row>
    <row r="9" spans="1:12" ht="13.15" x14ac:dyDescent="0.4">
      <c r="A9" s="22" t="s">
        <v>170</v>
      </c>
      <c r="B9" s="24">
        <v>44.933333333333337</v>
      </c>
      <c r="C9" s="23">
        <v>35.466666666666669</v>
      </c>
      <c r="D9" s="23">
        <v>44.266666666666666</v>
      </c>
      <c r="E9" s="24">
        <v>44.066666666666663</v>
      </c>
      <c r="F9" s="24">
        <v>52.855555555555554</v>
      </c>
      <c r="G9" s="23">
        <v>54.4</v>
      </c>
      <c r="H9" s="23">
        <v>55.866666666666667</v>
      </c>
      <c r="I9" s="23">
        <v>64.900000000000006</v>
      </c>
      <c r="J9" s="23">
        <v>37.799999999999997</v>
      </c>
      <c r="K9" s="23">
        <v>43.866666666666667</v>
      </c>
      <c r="L9" s="20"/>
    </row>
    <row r="10" spans="1:12" ht="13.15" x14ac:dyDescent="0.4">
      <c r="A10" s="22" t="s">
        <v>4</v>
      </c>
      <c r="B10" s="23">
        <v>28.6</v>
      </c>
      <c r="C10" s="23">
        <v>71.233333333333334</v>
      </c>
      <c r="D10" s="23">
        <v>47.3</v>
      </c>
      <c r="E10" s="24">
        <v>53.266666666666666</v>
      </c>
      <c r="F10" s="24">
        <v>48.277777777777771</v>
      </c>
      <c r="G10" s="23">
        <v>67.833333333333329</v>
      </c>
      <c r="H10" s="23">
        <v>47.833333333333336</v>
      </c>
      <c r="I10" s="23">
        <v>57.733333333333334</v>
      </c>
      <c r="J10" s="23">
        <v>39.266666666666666</v>
      </c>
      <c r="K10" s="23">
        <v>59.233333333333334</v>
      </c>
      <c r="L10" s="20"/>
    </row>
    <row r="11" spans="1:12" ht="13.15" x14ac:dyDescent="0.4">
      <c r="A11" s="22" t="s">
        <v>5</v>
      </c>
      <c r="B11" s="23">
        <v>33.1</v>
      </c>
      <c r="C11" s="23">
        <v>52.766666666666666</v>
      </c>
      <c r="D11" s="23">
        <v>40.1</v>
      </c>
      <c r="E11" s="24">
        <v>43.233333333333334</v>
      </c>
      <c r="F11" s="24">
        <v>48.94444444444445</v>
      </c>
      <c r="G11" s="23">
        <v>65.900000000000006</v>
      </c>
      <c r="H11" s="23">
        <v>37.200000000000003</v>
      </c>
      <c r="I11" s="23">
        <v>61.133333333333333</v>
      </c>
      <c r="J11" s="23">
        <v>48.5</v>
      </c>
      <c r="K11" s="23">
        <v>46.366666666666667</v>
      </c>
      <c r="L11" s="20"/>
    </row>
    <row r="12" spans="1:12" ht="13.15" x14ac:dyDescent="0.4">
      <c r="A12" s="22" t="s">
        <v>161</v>
      </c>
      <c r="B12" s="24">
        <v>58.699999999999996</v>
      </c>
      <c r="C12" s="23">
        <v>42.533333333333331</v>
      </c>
      <c r="D12" s="23">
        <v>51.43333333333333</v>
      </c>
      <c r="E12" s="24">
        <v>52.983333333333334</v>
      </c>
      <c r="F12" s="24">
        <v>54.816666666666663</v>
      </c>
      <c r="G12" s="23">
        <v>74.86666666666666</v>
      </c>
      <c r="H12" s="23">
        <v>76.86666666666666</v>
      </c>
      <c r="I12" s="24">
        <v>54.816666666666663</v>
      </c>
      <c r="J12" s="23">
        <v>32.766666666666666</v>
      </c>
      <c r="K12" s="23">
        <v>54.533333333333331</v>
      </c>
      <c r="L12" s="20"/>
    </row>
    <row r="13" spans="1:12" ht="13.15" x14ac:dyDescent="0.4">
      <c r="A13" s="22" t="s">
        <v>212</v>
      </c>
      <c r="B13" s="24">
        <v>54</v>
      </c>
      <c r="C13" s="24">
        <v>54</v>
      </c>
      <c r="D13" s="23">
        <v>60.166666666666664</v>
      </c>
      <c r="E13" s="24">
        <v>51.366666666666667</v>
      </c>
      <c r="F13" s="24">
        <v>38.633333333333333</v>
      </c>
      <c r="G13" s="23">
        <v>54</v>
      </c>
      <c r="H13" s="23">
        <v>33.133333333333333</v>
      </c>
      <c r="I13" s="23">
        <v>53.133333333333333</v>
      </c>
      <c r="J13" s="23">
        <v>29.633333333333333</v>
      </c>
      <c r="K13" s="23">
        <v>42.56666666666667</v>
      </c>
      <c r="L13" s="20"/>
    </row>
    <row r="14" spans="1:12" ht="13.15" x14ac:dyDescent="0.4">
      <c r="A14" s="22" t="s">
        <v>6</v>
      </c>
      <c r="B14" s="24">
        <v>73.099999999999994</v>
      </c>
      <c r="C14" s="23">
        <v>58.466666666666669</v>
      </c>
      <c r="D14" s="23">
        <v>53.533333333333331</v>
      </c>
      <c r="E14" s="24">
        <v>50.866666666666667</v>
      </c>
      <c r="F14" s="24">
        <v>56.81111111111111</v>
      </c>
      <c r="G14" s="23">
        <v>87.733333333333334</v>
      </c>
      <c r="H14" s="23">
        <v>61.533333333333331</v>
      </c>
      <c r="I14" s="23">
        <v>44.8</v>
      </c>
      <c r="J14" s="23">
        <v>64.099999999999994</v>
      </c>
      <c r="K14" s="23">
        <v>48.2</v>
      </c>
      <c r="L14" s="20"/>
    </row>
    <row r="15" spans="1:12" ht="13.15" x14ac:dyDescent="0.4">
      <c r="A15" s="22" t="s">
        <v>7</v>
      </c>
      <c r="B15" s="24">
        <v>68.45</v>
      </c>
      <c r="C15" s="23">
        <v>79.733333333333334</v>
      </c>
      <c r="D15" s="23">
        <v>59.333333333333336</v>
      </c>
      <c r="E15" s="24">
        <v>48.283333333333331</v>
      </c>
      <c r="F15" s="24">
        <v>61.366666666666667</v>
      </c>
      <c r="G15" s="23">
        <v>57.166666666666664</v>
      </c>
      <c r="H15" s="23">
        <v>54.3</v>
      </c>
      <c r="I15" s="23">
        <v>67.666666666666671</v>
      </c>
      <c r="J15" s="23">
        <v>62.133333333333333</v>
      </c>
      <c r="K15" s="23">
        <v>37.233333333333334</v>
      </c>
      <c r="L15" s="20"/>
    </row>
    <row r="16" spans="1:12" ht="13.15" x14ac:dyDescent="0.4">
      <c r="A16" s="22" t="s">
        <v>8</v>
      </c>
      <c r="B16" s="24">
        <v>54.2</v>
      </c>
      <c r="C16" s="23">
        <v>53.633333333333333</v>
      </c>
      <c r="D16" s="23">
        <v>60.366666666666667</v>
      </c>
      <c r="E16" s="24">
        <v>51.883333333333333</v>
      </c>
      <c r="F16" s="24">
        <v>55.711111111111109</v>
      </c>
      <c r="G16" s="23">
        <v>54.766666666666666</v>
      </c>
      <c r="H16" s="23">
        <v>66.7</v>
      </c>
      <c r="I16" s="23">
        <v>60.233333333333334</v>
      </c>
      <c r="J16" s="23">
        <v>40.200000000000003</v>
      </c>
      <c r="K16" s="23">
        <v>43.4</v>
      </c>
      <c r="L16" s="20"/>
    </row>
    <row r="17" spans="1:12" ht="13.15" x14ac:dyDescent="0.4">
      <c r="A17" s="22" t="s">
        <v>9</v>
      </c>
      <c r="B17" s="24">
        <v>80.466666666666669</v>
      </c>
      <c r="C17" s="23">
        <v>80.466666666666669</v>
      </c>
      <c r="D17" s="23">
        <v>42.733333333333334</v>
      </c>
      <c r="E17" s="24">
        <v>43.066666666666663</v>
      </c>
      <c r="F17" s="23">
        <v>63.666666666666664</v>
      </c>
      <c r="G17" s="24">
        <v>80.466666666666669</v>
      </c>
      <c r="H17" s="23">
        <v>53.633333333333333</v>
      </c>
      <c r="I17" s="23">
        <v>58.366666666666667</v>
      </c>
      <c r="J17" s="23">
        <v>60.93333333333333</v>
      </c>
      <c r="K17" s="23">
        <v>43.4</v>
      </c>
      <c r="L17" s="20"/>
    </row>
    <row r="18" spans="1:12" ht="13.15" x14ac:dyDescent="0.4">
      <c r="A18" s="22" t="s">
        <v>213</v>
      </c>
      <c r="B18" s="24">
        <v>57.466666666666669</v>
      </c>
      <c r="C18" s="23">
        <v>57.466666666666669</v>
      </c>
      <c r="D18" s="23">
        <v>42.1</v>
      </c>
      <c r="E18" s="24">
        <v>48.983333333333334</v>
      </c>
      <c r="F18" s="23">
        <v>42.7</v>
      </c>
      <c r="G18" s="24">
        <v>57.466666666666669</v>
      </c>
      <c r="H18" s="23">
        <v>59.93333333333333</v>
      </c>
      <c r="I18" s="23">
        <v>38.6</v>
      </c>
      <c r="J18" s="23">
        <v>48.9</v>
      </c>
      <c r="K18" s="23">
        <v>55.866666666666667</v>
      </c>
      <c r="L18" s="20"/>
    </row>
    <row r="19" spans="1:12" ht="13.15" x14ac:dyDescent="0.4">
      <c r="A19" s="22" t="s">
        <v>171</v>
      </c>
      <c r="B19" s="24">
        <v>40.6</v>
      </c>
      <c r="C19" s="24">
        <v>40.6</v>
      </c>
      <c r="D19" s="23">
        <v>44.766666666666666</v>
      </c>
      <c r="E19" s="24">
        <v>46.566666666666663</v>
      </c>
      <c r="F19" s="24">
        <v>68.366666666666674</v>
      </c>
      <c r="G19" s="23">
        <v>40.6</v>
      </c>
      <c r="H19" s="23">
        <v>41.866666666666667</v>
      </c>
      <c r="I19" s="23">
        <v>85.033333333333331</v>
      </c>
      <c r="J19" s="23">
        <v>78.2</v>
      </c>
      <c r="K19" s="23">
        <v>48.366666666666667</v>
      </c>
      <c r="L19" s="20"/>
    </row>
    <row r="20" spans="1:12" ht="13.15" x14ac:dyDescent="0.4">
      <c r="A20" s="22" t="s">
        <v>214</v>
      </c>
      <c r="B20" s="24">
        <v>66.2</v>
      </c>
      <c r="C20" s="23">
        <v>91.166666666666671</v>
      </c>
      <c r="D20" s="23">
        <v>45.2</v>
      </c>
      <c r="E20" s="24">
        <v>51.583333333333336</v>
      </c>
      <c r="F20" s="23">
        <v>47.166666666666664</v>
      </c>
      <c r="G20" s="23">
        <v>41.233333333333334</v>
      </c>
      <c r="H20" s="23">
        <v>33</v>
      </c>
      <c r="I20" s="23">
        <v>37.9</v>
      </c>
      <c r="J20" s="23">
        <v>55.333333333333336</v>
      </c>
      <c r="K20" s="23">
        <v>57.966666666666669</v>
      </c>
      <c r="L20" s="20"/>
    </row>
    <row r="21" spans="1:12" ht="13.15" x14ac:dyDescent="0.4">
      <c r="A21" s="22" t="s">
        <v>10</v>
      </c>
      <c r="B21" s="24">
        <v>54.1</v>
      </c>
      <c r="C21" s="23">
        <v>54.733333333333334</v>
      </c>
      <c r="D21" s="24">
        <v>71.516666666666666</v>
      </c>
      <c r="E21" s="23">
        <v>82.966666666666669</v>
      </c>
      <c r="F21" s="23">
        <v>84.433333333333337</v>
      </c>
      <c r="G21" s="23">
        <v>53.466666666666669</v>
      </c>
      <c r="H21" s="23">
        <v>53.43333333333333</v>
      </c>
      <c r="I21" s="23">
        <v>51.633333333333333</v>
      </c>
      <c r="J21" s="23">
        <v>59.466666666666669</v>
      </c>
      <c r="K21" s="23">
        <v>60.06666666666667</v>
      </c>
      <c r="L21" s="20"/>
    </row>
    <row r="22" spans="1:12" ht="13.15" x14ac:dyDescent="0.4">
      <c r="A22" s="22" t="s">
        <v>11</v>
      </c>
      <c r="B22" s="24">
        <v>39.766666666666666</v>
      </c>
      <c r="C22" s="23">
        <v>29.9</v>
      </c>
      <c r="D22" s="23">
        <v>43.166666666666664</v>
      </c>
      <c r="E22" s="23">
        <v>57.366666666666667</v>
      </c>
      <c r="F22" s="24">
        <v>63.322222222222223</v>
      </c>
      <c r="G22" s="23">
        <v>49.633333333333333</v>
      </c>
      <c r="H22" s="23">
        <v>69.7</v>
      </c>
      <c r="I22" s="23">
        <v>43.766666666666666</v>
      </c>
      <c r="J22" s="23">
        <v>76.5</v>
      </c>
      <c r="K22" s="23">
        <v>55.133333333333333</v>
      </c>
      <c r="L22" s="20"/>
    </row>
    <row r="23" spans="1:12" ht="13.15" x14ac:dyDescent="0.4">
      <c r="A23" s="22" t="s">
        <v>12</v>
      </c>
      <c r="B23" s="24">
        <v>76.63333333333334</v>
      </c>
      <c r="C23" s="24">
        <v>76.63333333333334</v>
      </c>
      <c r="D23" s="23">
        <v>38.6</v>
      </c>
      <c r="E23" s="24">
        <v>39.650000000000006</v>
      </c>
      <c r="F23" s="23">
        <v>65.8</v>
      </c>
      <c r="G23" s="23">
        <v>76.63333333333334</v>
      </c>
      <c r="H23" s="23">
        <v>57.466666666666669</v>
      </c>
      <c r="I23" s="23">
        <v>46.466666666666669</v>
      </c>
      <c r="J23" s="23">
        <v>40.266666666666666</v>
      </c>
      <c r="K23" s="23">
        <v>40.700000000000003</v>
      </c>
      <c r="L23" s="20"/>
    </row>
    <row r="24" spans="1:12" ht="13.15" x14ac:dyDescent="0.4">
      <c r="A24" s="22" t="s">
        <v>13</v>
      </c>
      <c r="B24" s="24">
        <v>62.216666666666669</v>
      </c>
      <c r="C24" s="23">
        <v>58.266666666666666</v>
      </c>
      <c r="D24" s="23">
        <v>56.93333333333333</v>
      </c>
      <c r="E24" s="23">
        <v>36.966666666666669</v>
      </c>
      <c r="F24" s="23">
        <v>71.766666666666666</v>
      </c>
      <c r="G24" s="23">
        <v>66.166666666666671</v>
      </c>
      <c r="H24" s="23">
        <v>67.8</v>
      </c>
      <c r="I24" s="23">
        <v>59.43333333333333</v>
      </c>
      <c r="J24" s="23">
        <v>40.666666666666664</v>
      </c>
      <c r="K24" s="23">
        <v>46.93333333333333</v>
      </c>
      <c r="L24" s="20"/>
    </row>
    <row r="25" spans="1:12" ht="13.15" x14ac:dyDescent="0.4">
      <c r="A25" s="22" t="s">
        <v>14</v>
      </c>
      <c r="B25" s="24">
        <v>59.75</v>
      </c>
      <c r="C25" s="23">
        <v>70.5</v>
      </c>
      <c r="D25" s="24">
        <v>49.516666666666666</v>
      </c>
      <c r="E25" s="23">
        <v>45.56666666666667</v>
      </c>
      <c r="F25" s="23">
        <v>58.5</v>
      </c>
      <c r="G25" s="23">
        <v>49</v>
      </c>
      <c r="H25" s="23">
        <v>74.599999999999994</v>
      </c>
      <c r="I25" s="23">
        <v>77.599999999999994</v>
      </c>
      <c r="J25" s="23">
        <v>60.43333333333333</v>
      </c>
      <c r="K25" s="23">
        <v>53.466666666666669</v>
      </c>
      <c r="L25" s="20"/>
    </row>
    <row r="26" spans="1:12" ht="13.15" x14ac:dyDescent="0.4">
      <c r="A26" s="22" t="s">
        <v>15</v>
      </c>
      <c r="B26" s="24">
        <v>62.966666666666669</v>
      </c>
      <c r="C26" s="24">
        <v>62.966666666666669</v>
      </c>
      <c r="D26" s="24">
        <v>57</v>
      </c>
      <c r="E26" s="24">
        <v>57</v>
      </c>
      <c r="F26" s="23">
        <v>70.333333333333329</v>
      </c>
      <c r="G26" s="23">
        <v>62.966666666666669</v>
      </c>
      <c r="H26" s="23">
        <v>62.733333333333334</v>
      </c>
      <c r="I26" s="23">
        <v>71.566666666666663</v>
      </c>
      <c r="J26" s="23">
        <v>27.366666666666667</v>
      </c>
      <c r="K26" s="23">
        <v>57</v>
      </c>
      <c r="L26" s="20"/>
    </row>
    <row r="27" spans="1:12" ht="13.15" x14ac:dyDescent="0.4">
      <c r="A27" s="22" t="s">
        <v>172</v>
      </c>
      <c r="B27" s="24">
        <v>58.966666666666669</v>
      </c>
      <c r="C27" s="24">
        <v>58.966666666666669</v>
      </c>
      <c r="D27" s="24">
        <v>47.416666666666671</v>
      </c>
      <c r="E27" s="23">
        <v>33.833333333333336</v>
      </c>
      <c r="F27" s="23">
        <v>54.133333333333333</v>
      </c>
      <c r="G27" s="23">
        <v>58.966666666666669</v>
      </c>
      <c r="H27" s="23">
        <v>48.633333333333333</v>
      </c>
      <c r="I27" s="23">
        <v>40.666666666666664</v>
      </c>
      <c r="J27" s="23">
        <v>31.5</v>
      </c>
      <c r="K27" s="23">
        <v>61</v>
      </c>
      <c r="L27" s="20"/>
    </row>
    <row r="28" spans="1:12" ht="13.15" x14ac:dyDescent="0.4">
      <c r="A28" s="22" t="s">
        <v>16</v>
      </c>
      <c r="B28" s="24">
        <v>69.566666666666663</v>
      </c>
      <c r="C28" s="24">
        <v>69.566666666666663</v>
      </c>
      <c r="D28" s="23">
        <v>53.033333333333331</v>
      </c>
      <c r="E28" s="24">
        <v>51.233333333333334</v>
      </c>
      <c r="F28" s="23">
        <v>91.8</v>
      </c>
      <c r="G28" s="23">
        <v>69.566666666666663</v>
      </c>
      <c r="H28" s="23">
        <v>74.733333333333334</v>
      </c>
      <c r="I28" s="23">
        <v>69.3</v>
      </c>
      <c r="J28" s="23">
        <v>56.366666666666667</v>
      </c>
      <c r="K28" s="23">
        <v>49.43333333333333</v>
      </c>
      <c r="L28" s="20"/>
    </row>
    <row r="29" spans="1:12" ht="13.15" x14ac:dyDescent="0.4">
      <c r="A29" s="22" t="s">
        <v>195</v>
      </c>
      <c r="B29" s="24">
        <v>50.866666666666667</v>
      </c>
      <c r="C29" s="24">
        <v>50.866666666666667</v>
      </c>
      <c r="D29" s="23">
        <v>76.400000000000006</v>
      </c>
      <c r="E29" s="23">
        <v>71.099999999999994</v>
      </c>
      <c r="F29" s="23">
        <v>68</v>
      </c>
      <c r="G29" s="23">
        <v>50.866666666666667</v>
      </c>
      <c r="H29" s="23">
        <v>61.666666666666664</v>
      </c>
      <c r="I29" s="23">
        <v>49.133333333333333</v>
      </c>
      <c r="J29" s="23">
        <v>39.166666666666664</v>
      </c>
      <c r="K29" s="23">
        <v>45.333333333333336</v>
      </c>
      <c r="L29" s="20"/>
    </row>
    <row r="30" spans="1:12" ht="13.15" x14ac:dyDescent="0.4">
      <c r="A30" s="22" t="s">
        <v>173</v>
      </c>
      <c r="B30" s="24">
        <v>49.4</v>
      </c>
      <c r="C30" s="24">
        <v>49.4</v>
      </c>
      <c r="D30" s="23">
        <v>76.566666666666663</v>
      </c>
      <c r="E30" s="24">
        <v>67.45</v>
      </c>
      <c r="F30" s="23">
        <v>70.400000000000006</v>
      </c>
      <c r="G30" s="23">
        <v>49.4</v>
      </c>
      <c r="H30" s="23">
        <v>70.7</v>
      </c>
      <c r="I30" s="23">
        <v>50.866666666666667</v>
      </c>
      <c r="J30" s="23">
        <v>50.7</v>
      </c>
      <c r="K30" s="23">
        <v>58.333333333333336</v>
      </c>
      <c r="L30" s="20"/>
    </row>
    <row r="31" spans="1:12" ht="13.15" x14ac:dyDescent="0.4">
      <c r="A31" s="22" t="s">
        <v>17</v>
      </c>
      <c r="B31" s="24">
        <v>37.566666666666663</v>
      </c>
      <c r="C31" s="23">
        <v>38.166666666666664</v>
      </c>
      <c r="D31" s="24">
        <v>53.8</v>
      </c>
      <c r="E31" s="23">
        <v>58.466666666666669</v>
      </c>
      <c r="F31" s="23">
        <v>60.266666666666666</v>
      </c>
      <c r="G31" s="23">
        <v>36.966666666666669</v>
      </c>
      <c r="H31" s="23">
        <v>62.9</v>
      </c>
      <c r="I31" s="23">
        <v>56.6</v>
      </c>
      <c r="J31" s="23">
        <v>91.1</v>
      </c>
      <c r="K31" s="23">
        <v>49.133333333333333</v>
      </c>
      <c r="L31" s="20"/>
    </row>
    <row r="32" spans="1:12" ht="13.15" x14ac:dyDescent="0.4">
      <c r="A32" s="22" t="s">
        <v>18</v>
      </c>
      <c r="B32" s="24">
        <v>61.1</v>
      </c>
      <c r="C32" s="24">
        <v>61.1</v>
      </c>
      <c r="D32" s="23">
        <v>34.43333333333333</v>
      </c>
      <c r="E32" s="23">
        <v>101.6</v>
      </c>
      <c r="F32" s="23">
        <v>39.200000000000003</v>
      </c>
      <c r="G32" s="23">
        <v>61.1</v>
      </c>
      <c r="H32" s="23">
        <v>65.3</v>
      </c>
      <c r="I32" s="23">
        <v>58.533333333333331</v>
      </c>
      <c r="J32" s="23">
        <v>75.466666666666669</v>
      </c>
      <c r="K32" s="23">
        <v>42.633333333333333</v>
      </c>
      <c r="L32" s="20"/>
    </row>
    <row r="33" spans="1:12" ht="13.15" x14ac:dyDescent="0.4">
      <c r="A33" s="22" t="s">
        <v>19</v>
      </c>
      <c r="B33" s="24">
        <v>77.033333333333331</v>
      </c>
      <c r="C33" s="24">
        <v>77.033333333333331</v>
      </c>
      <c r="D33" s="23">
        <v>46.8</v>
      </c>
      <c r="E33" s="23">
        <v>48.466666666666669</v>
      </c>
      <c r="F33" s="23">
        <v>77.566666666666663</v>
      </c>
      <c r="G33" s="23">
        <v>77.033333333333331</v>
      </c>
      <c r="H33" s="23">
        <v>64.63333333333334</v>
      </c>
      <c r="I33" s="23">
        <v>50.4</v>
      </c>
      <c r="J33" s="23">
        <v>25.1</v>
      </c>
      <c r="K33" s="23">
        <v>45.06666666666667</v>
      </c>
      <c r="L33" s="20"/>
    </row>
    <row r="34" spans="1:12" ht="13.15" x14ac:dyDescent="0.4">
      <c r="A34" s="22" t="s">
        <v>174</v>
      </c>
      <c r="B34" s="23">
        <v>48.8</v>
      </c>
      <c r="C34" s="23">
        <v>74.900000000000006</v>
      </c>
      <c r="D34" s="23">
        <v>63.233333333333334</v>
      </c>
      <c r="E34" s="24">
        <v>54.1</v>
      </c>
      <c r="F34" s="23">
        <v>32.966666666666669</v>
      </c>
      <c r="G34" s="23">
        <v>67.7</v>
      </c>
      <c r="H34" s="23">
        <v>32.466666666666669</v>
      </c>
      <c r="I34" s="23">
        <v>66.966666666666669</v>
      </c>
      <c r="J34" s="23">
        <v>33.033333333333331</v>
      </c>
      <c r="K34" s="23">
        <v>44.966666666666669</v>
      </c>
      <c r="L34" s="20"/>
    </row>
    <row r="35" spans="1:12" ht="13.15" x14ac:dyDescent="0.4">
      <c r="A35" s="22" t="s">
        <v>20</v>
      </c>
      <c r="B35" s="23">
        <v>21.733333333333334</v>
      </c>
      <c r="C35" s="23">
        <v>54.133333333333333</v>
      </c>
      <c r="D35" s="23">
        <v>61.233333333333334</v>
      </c>
      <c r="E35" s="24">
        <v>62.466666666666669</v>
      </c>
      <c r="F35" s="23">
        <v>75.7</v>
      </c>
      <c r="G35" s="23">
        <v>51.3</v>
      </c>
      <c r="H35" s="23">
        <v>52.7</v>
      </c>
      <c r="I35" s="23">
        <v>59.033333333333331</v>
      </c>
      <c r="J35" s="23">
        <v>59.9</v>
      </c>
      <c r="K35" s="23">
        <v>63.7</v>
      </c>
      <c r="L35" s="20"/>
    </row>
    <row r="36" spans="1:12" ht="13.15" x14ac:dyDescent="0.4">
      <c r="A36" s="22" t="s">
        <v>21</v>
      </c>
      <c r="B36" s="23">
        <v>76.5</v>
      </c>
      <c r="C36" s="23">
        <v>44.93333333333333</v>
      </c>
      <c r="D36" s="23">
        <v>59.366666666666667</v>
      </c>
      <c r="E36" s="24">
        <v>59.366666666666667</v>
      </c>
      <c r="F36" s="24">
        <v>54.833333333333336</v>
      </c>
      <c r="G36" s="23">
        <v>65.3</v>
      </c>
      <c r="H36" s="23">
        <v>45.8</v>
      </c>
      <c r="I36" s="23">
        <v>72</v>
      </c>
      <c r="J36" s="23">
        <v>46.7</v>
      </c>
      <c r="K36" s="24">
        <v>59.366666666666667</v>
      </c>
      <c r="L36" s="20"/>
    </row>
    <row r="37" spans="1:12" ht="13.15" x14ac:dyDescent="0.4">
      <c r="A37" s="22" t="s">
        <v>22</v>
      </c>
      <c r="B37" s="23">
        <v>28.066666666666666</v>
      </c>
      <c r="C37" s="23">
        <v>49.033333333333331</v>
      </c>
      <c r="D37" s="23">
        <v>62.9</v>
      </c>
      <c r="E37" s="23">
        <v>42.6</v>
      </c>
      <c r="F37" s="23">
        <v>73.900000000000006</v>
      </c>
      <c r="G37" s="23">
        <v>47.166666666666664</v>
      </c>
      <c r="H37" s="23">
        <v>76.733333333333334</v>
      </c>
      <c r="I37" s="24">
        <v>68.344444444444449</v>
      </c>
      <c r="J37" s="23">
        <v>54.4</v>
      </c>
      <c r="K37" s="24">
        <v>52.75</v>
      </c>
      <c r="L37" s="20"/>
    </row>
    <row r="38" spans="1:12" ht="13.15" x14ac:dyDescent="0.4">
      <c r="A38" s="22" t="s">
        <v>23</v>
      </c>
      <c r="B38" s="23">
        <v>15.7</v>
      </c>
      <c r="C38" s="23">
        <v>38.233333333333334</v>
      </c>
      <c r="D38" s="23">
        <v>41.633333333333333</v>
      </c>
      <c r="E38" s="23">
        <v>72.333333333333329</v>
      </c>
      <c r="F38" s="23">
        <v>64.833333333333329</v>
      </c>
      <c r="G38" s="23">
        <v>64.5</v>
      </c>
      <c r="H38" s="23">
        <v>56.633333333333333</v>
      </c>
      <c r="I38" s="23">
        <v>44.633333333333333</v>
      </c>
      <c r="J38" s="23">
        <v>51.766666666666666</v>
      </c>
      <c r="K38" s="24">
        <v>56.983333333333334</v>
      </c>
      <c r="L38" s="20"/>
    </row>
    <row r="39" spans="1:12" ht="13.15" x14ac:dyDescent="0.4">
      <c r="A39" s="22" t="s">
        <v>24</v>
      </c>
      <c r="B39" s="23">
        <v>29.5</v>
      </c>
      <c r="C39" s="23">
        <v>44.733333333333334</v>
      </c>
      <c r="D39" s="23">
        <v>40.833333333333336</v>
      </c>
      <c r="E39" s="23">
        <v>59.366666666666667</v>
      </c>
      <c r="F39" s="23">
        <v>46.1</v>
      </c>
      <c r="G39" s="23">
        <v>65.833333333333329</v>
      </c>
      <c r="H39" s="23">
        <v>47.06666666666667</v>
      </c>
      <c r="I39" s="23">
        <v>67.63333333333334</v>
      </c>
      <c r="J39" s="23">
        <v>40.366666666666667</v>
      </c>
      <c r="K39" s="24">
        <v>50.1</v>
      </c>
      <c r="L39" s="20"/>
    </row>
    <row r="40" spans="1:12" ht="13.15" x14ac:dyDescent="0.4">
      <c r="A40" s="22" t="s">
        <v>25</v>
      </c>
      <c r="B40" s="23">
        <v>40.166666666666664</v>
      </c>
      <c r="C40" s="23">
        <v>62.56666666666667</v>
      </c>
      <c r="D40" s="23">
        <v>63.666666666666664</v>
      </c>
      <c r="E40" s="23">
        <v>83.13333333333334</v>
      </c>
      <c r="F40" s="23">
        <v>60.7</v>
      </c>
      <c r="G40" s="23">
        <v>51.3</v>
      </c>
      <c r="H40" s="23">
        <v>57.8</v>
      </c>
      <c r="I40" s="23">
        <v>58.6</v>
      </c>
      <c r="J40" s="23">
        <v>68.933333333333337</v>
      </c>
      <c r="K40" s="24">
        <v>73.400000000000006</v>
      </c>
      <c r="L40" s="20"/>
    </row>
    <row r="41" spans="1:12" ht="13.15" x14ac:dyDescent="0.4">
      <c r="A41" s="22" t="s">
        <v>26</v>
      </c>
      <c r="B41" s="23">
        <v>35.200000000000003</v>
      </c>
      <c r="C41" s="23">
        <v>64.966666666666669</v>
      </c>
      <c r="D41" s="24">
        <v>91.3</v>
      </c>
      <c r="E41" s="23">
        <v>91.3</v>
      </c>
      <c r="F41" s="23">
        <v>82.266666666666666</v>
      </c>
      <c r="G41" s="24">
        <v>50.083333333333336</v>
      </c>
      <c r="H41" s="23">
        <v>47.366666666666667</v>
      </c>
      <c r="I41" s="23">
        <v>84.433333333333337</v>
      </c>
      <c r="J41" s="23">
        <v>59.666666666666664</v>
      </c>
      <c r="K41" s="24">
        <v>91.3</v>
      </c>
      <c r="L41" s="20"/>
    </row>
    <row r="42" spans="1:12" ht="13.15" x14ac:dyDescent="0.4">
      <c r="A42" s="22" t="s">
        <v>27</v>
      </c>
      <c r="B42" s="24">
        <v>53.133333333333333</v>
      </c>
      <c r="C42" s="23">
        <v>65.533333333333331</v>
      </c>
      <c r="D42" s="23">
        <v>41.7</v>
      </c>
      <c r="E42" s="23">
        <v>40.033333333333331</v>
      </c>
      <c r="F42" s="23">
        <v>52.43333333333333</v>
      </c>
      <c r="G42" s="23">
        <v>40.733333333333334</v>
      </c>
      <c r="H42" s="23">
        <v>57.5</v>
      </c>
      <c r="I42" s="23">
        <v>35.366666666666667</v>
      </c>
      <c r="J42" s="23">
        <v>37.766666666666666</v>
      </c>
      <c r="K42" s="24">
        <v>40.866666666666667</v>
      </c>
      <c r="L42" s="20"/>
    </row>
    <row r="43" spans="1:12" ht="13.15" x14ac:dyDescent="0.4">
      <c r="A43" s="22" t="s">
        <v>164</v>
      </c>
      <c r="B43" s="23">
        <v>31.533333333333335</v>
      </c>
      <c r="C43" s="24">
        <v>49.083333333333336</v>
      </c>
      <c r="D43" s="23">
        <v>64.766666666666666</v>
      </c>
      <c r="E43" s="23">
        <v>56.633333333333333</v>
      </c>
      <c r="F43" s="23">
        <v>73</v>
      </c>
      <c r="G43" s="23">
        <v>66.63333333333334</v>
      </c>
      <c r="H43" s="23">
        <v>50.866666666666667</v>
      </c>
      <c r="I43" s="23">
        <v>32.633333333333333</v>
      </c>
      <c r="J43" s="23">
        <v>29.266666666666666</v>
      </c>
      <c r="K43" s="23">
        <v>38.06666666666667</v>
      </c>
      <c r="L43" s="20"/>
    </row>
    <row r="44" spans="1:12" x14ac:dyDescent="0.35">
      <c r="A44" s="22" t="s">
        <v>28</v>
      </c>
      <c r="B44" s="23">
        <v>33.766666666666666</v>
      </c>
      <c r="C44" s="23">
        <v>37.666666666666664</v>
      </c>
      <c r="D44" s="23">
        <v>61.6</v>
      </c>
      <c r="E44" s="23">
        <v>61.966666666666669</v>
      </c>
      <c r="F44" s="23">
        <v>61.4</v>
      </c>
      <c r="G44" s="23">
        <v>63.6</v>
      </c>
      <c r="H44" s="23">
        <v>66.766666666666666</v>
      </c>
      <c r="I44" s="23">
        <v>59.733333333333334</v>
      </c>
      <c r="J44" s="23">
        <v>38.633333333333333</v>
      </c>
      <c r="K44" s="23">
        <v>45.7</v>
      </c>
      <c r="L44" s="20"/>
    </row>
    <row r="45" spans="1:12" x14ac:dyDescent="0.35">
      <c r="A45" s="22" t="s">
        <v>29</v>
      </c>
      <c r="B45" s="23">
        <v>28.7</v>
      </c>
      <c r="C45" s="23">
        <v>44.833333333333336</v>
      </c>
      <c r="D45" s="23">
        <v>48.43333333333333</v>
      </c>
      <c r="E45" s="23">
        <v>49.366666666666667</v>
      </c>
      <c r="F45" s="23">
        <v>66.566666666666663</v>
      </c>
      <c r="G45" s="23">
        <v>49.6</v>
      </c>
      <c r="H45" s="23">
        <v>48.56666666666667</v>
      </c>
      <c r="I45" s="23">
        <v>36.799999999999997</v>
      </c>
      <c r="J45" s="23">
        <v>55.833333333333336</v>
      </c>
      <c r="K45" s="23">
        <v>36.866666666666667</v>
      </c>
      <c r="L45" s="20"/>
    </row>
    <row r="46" spans="1:12" x14ac:dyDescent="0.35">
      <c r="A46" s="22" t="s">
        <v>30</v>
      </c>
      <c r="B46" s="23">
        <v>37.299999999999997</v>
      </c>
      <c r="C46" s="23">
        <v>74</v>
      </c>
      <c r="D46" s="23">
        <v>37.333333333333336</v>
      </c>
      <c r="E46" s="23">
        <v>71.033333333333331</v>
      </c>
      <c r="F46" s="23">
        <v>65.233333333333334</v>
      </c>
      <c r="G46" s="23">
        <v>39.533333333333331</v>
      </c>
      <c r="H46" s="23">
        <v>53.833333333333336</v>
      </c>
      <c r="I46" s="23">
        <v>48.1</v>
      </c>
      <c r="J46" s="23">
        <v>55.7</v>
      </c>
      <c r="K46" s="23">
        <v>41.833333333333336</v>
      </c>
      <c r="L46" s="20"/>
    </row>
    <row r="47" spans="1:12" x14ac:dyDescent="0.35">
      <c r="A47" s="22" t="s">
        <v>175</v>
      </c>
      <c r="B47" s="23">
        <v>34.533333333333331</v>
      </c>
      <c r="C47" s="23">
        <v>41.2</v>
      </c>
      <c r="D47" s="23">
        <v>79.266666666666666</v>
      </c>
      <c r="E47" s="23">
        <v>75.433333333333337</v>
      </c>
      <c r="F47" s="23">
        <v>72.333333333333329</v>
      </c>
      <c r="G47" s="23">
        <v>40.533333333333331</v>
      </c>
      <c r="H47" s="23">
        <v>64.86666666666666</v>
      </c>
      <c r="I47" s="23">
        <v>71.36666666666666</v>
      </c>
      <c r="J47" s="23">
        <v>55.266666666666666</v>
      </c>
      <c r="K47" s="23">
        <v>49.43333333333333</v>
      </c>
      <c r="L47" s="20"/>
    </row>
    <row r="48" spans="1:12" ht="13.15" x14ac:dyDescent="0.4">
      <c r="A48" s="22" t="s">
        <v>31</v>
      </c>
      <c r="B48" s="24">
        <v>41.216666666666669</v>
      </c>
      <c r="C48" s="23">
        <v>43</v>
      </c>
      <c r="D48" s="23">
        <v>70.099999999999994</v>
      </c>
      <c r="E48" s="23">
        <v>49.033333333333331</v>
      </c>
      <c r="F48" s="23">
        <v>66.63333333333334</v>
      </c>
      <c r="G48" s="23">
        <v>39.43333333333333</v>
      </c>
      <c r="H48" s="23">
        <v>47.333333333333336</v>
      </c>
      <c r="I48" s="23">
        <v>47.3</v>
      </c>
      <c r="J48" s="23">
        <v>81.7</v>
      </c>
      <c r="K48" s="23">
        <v>45.466666666666669</v>
      </c>
      <c r="L48" s="20"/>
    </row>
    <row r="49" spans="1:12" x14ac:dyDescent="0.35">
      <c r="A49" s="22" t="s">
        <v>32</v>
      </c>
      <c r="B49" s="23">
        <v>40.93333333333333</v>
      </c>
      <c r="C49" s="23">
        <v>42.4</v>
      </c>
      <c r="D49" s="23">
        <v>60.633333333333333</v>
      </c>
      <c r="E49" s="23">
        <v>73.233333333333334</v>
      </c>
      <c r="F49" s="23">
        <v>51.4</v>
      </c>
      <c r="G49" s="23">
        <v>71.333333333333329</v>
      </c>
      <c r="H49" s="23">
        <v>48.833333333333336</v>
      </c>
      <c r="I49" s="23">
        <v>51.366666666666667</v>
      </c>
      <c r="J49" s="23">
        <v>80.36666666666666</v>
      </c>
      <c r="K49" s="23">
        <v>52.1</v>
      </c>
      <c r="L49" s="20"/>
    </row>
    <row r="50" spans="1:12" x14ac:dyDescent="0.35">
      <c r="A50" s="22" t="s">
        <v>33</v>
      </c>
      <c r="B50" s="23">
        <v>4.5</v>
      </c>
      <c r="C50" s="23">
        <v>83.5</v>
      </c>
      <c r="D50" s="23">
        <v>38</v>
      </c>
      <c r="E50" s="23">
        <v>78.099999999999994</v>
      </c>
      <c r="F50" s="23">
        <v>65.966666666666669</v>
      </c>
      <c r="G50" s="23">
        <v>57.166666666666664</v>
      </c>
      <c r="H50" s="23">
        <v>65.766666666666666</v>
      </c>
      <c r="I50" s="23">
        <v>40.1</v>
      </c>
      <c r="J50" s="23">
        <v>66.433333333333337</v>
      </c>
      <c r="K50" s="23">
        <v>45.6</v>
      </c>
      <c r="L50" s="20"/>
    </row>
    <row r="51" spans="1:12" ht="13.15" x14ac:dyDescent="0.4">
      <c r="A51" s="22" t="s">
        <v>34</v>
      </c>
      <c r="B51" s="23">
        <v>35.56666666666667</v>
      </c>
      <c r="C51" s="24">
        <v>40</v>
      </c>
      <c r="D51" s="23">
        <v>49.666666666666664</v>
      </c>
      <c r="E51" s="23">
        <v>66.099999999999994</v>
      </c>
      <c r="F51" s="23">
        <v>65.3</v>
      </c>
      <c r="G51" s="23">
        <v>44.43333333333333</v>
      </c>
      <c r="H51" s="23">
        <v>90.766666666666666</v>
      </c>
      <c r="I51" s="23">
        <v>43.93333333333333</v>
      </c>
      <c r="J51" s="23">
        <v>79.566666666666663</v>
      </c>
      <c r="K51" s="23">
        <v>54.93333333333333</v>
      </c>
      <c r="L51" s="20"/>
    </row>
    <row r="52" spans="1:12" ht="13.15" x14ac:dyDescent="0.4">
      <c r="A52" s="22" t="s">
        <v>35</v>
      </c>
      <c r="B52" s="24">
        <v>68.2</v>
      </c>
      <c r="C52" s="23">
        <v>68.433333333333337</v>
      </c>
      <c r="D52" s="23">
        <v>46.633333333333333</v>
      </c>
      <c r="E52" s="23">
        <v>38.833333333333336</v>
      </c>
      <c r="F52" s="23">
        <v>38.5</v>
      </c>
      <c r="G52" s="23">
        <v>67.966666666666669</v>
      </c>
      <c r="H52" s="23">
        <v>68.766666666666666</v>
      </c>
      <c r="I52" s="23">
        <v>63.2</v>
      </c>
      <c r="J52" s="23">
        <v>65.5</v>
      </c>
      <c r="K52" s="23">
        <v>43.1</v>
      </c>
      <c r="L52" s="20"/>
    </row>
    <row r="53" spans="1:12" ht="13.15" x14ac:dyDescent="0.4">
      <c r="A53" s="22" t="s">
        <v>36</v>
      </c>
      <c r="B53" s="24">
        <v>66.900000000000006</v>
      </c>
      <c r="C53" s="23">
        <v>75.433333333333337</v>
      </c>
      <c r="D53" s="23">
        <v>72.533333333333331</v>
      </c>
      <c r="E53" s="23">
        <v>48.666666666666664</v>
      </c>
      <c r="F53" s="23">
        <v>44.43333333333333</v>
      </c>
      <c r="G53" s="23">
        <v>58.366666666666667</v>
      </c>
      <c r="H53" s="23">
        <v>70.066666666666663</v>
      </c>
      <c r="I53" s="23">
        <v>46.133333333333333</v>
      </c>
      <c r="J53" s="23">
        <v>63.366666666666667</v>
      </c>
      <c r="K53" s="23">
        <v>50.733333333333334</v>
      </c>
      <c r="L53" s="20"/>
    </row>
    <row r="54" spans="1:12" ht="13.15" x14ac:dyDescent="0.4">
      <c r="A54" s="22" t="s">
        <v>37</v>
      </c>
      <c r="B54" s="24">
        <v>42.166666666666671</v>
      </c>
      <c r="C54" s="23">
        <v>30.366666666666667</v>
      </c>
      <c r="D54" s="23">
        <v>39.633333333333333</v>
      </c>
      <c r="E54" s="23">
        <v>46.233333333333334</v>
      </c>
      <c r="F54" s="23">
        <v>46.133333333333333</v>
      </c>
      <c r="G54" s="23">
        <v>53.966666666666669</v>
      </c>
      <c r="H54" s="23">
        <v>61.966666666666669</v>
      </c>
      <c r="I54" s="23">
        <v>46.6</v>
      </c>
      <c r="J54" s="23">
        <v>68</v>
      </c>
      <c r="K54" s="23">
        <v>41.466666666666669</v>
      </c>
      <c r="L54" s="20"/>
    </row>
    <row r="55" spans="1:12" ht="13.15" x14ac:dyDescent="0.4">
      <c r="A55" s="22" t="s">
        <v>38</v>
      </c>
      <c r="B55" s="24">
        <v>43.766666666666666</v>
      </c>
      <c r="C55" s="24">
        <v>43.766666666666666</v>
      </c>
      <c r="D55" s="23">
        <v>53.533333333333331</v>
      </c>
      <c r="E55" s="23">
        <v>65.8</v>
      </c>
      <c r="F55" s="23">
        <v>90.4</v>
      </c>
      <c r="G55" s="23">
        <v>43.766666666666666</v>
      </c>
      <c r="H55" s="23">
        <v>63.166666666666664</v>
      </c>
      <c r="I55" s="23">
        <v>44.833333333333336</v>
      </c>
      <c r="J55" s="23">
        <v>59</v>
      </c>
      <c r="K55" s="23">
        <v>47.6</v>
      </c>
      <c r="L55" s="20"/>
    </row>
    <row r="56" spans="1:12" ht="13.15" x14ac:dyDescent="0.4">
      <c r="A56" s="22" t="s">
        <v>39</v>
      </c>
      <c r="B56" s="24">
        <v>67.216666666666669</v>
      </c>
      <c r="C56" s="23">
        <v>74.566666666666663</v>
      </c>
      <c r="D56" s="23">
        <v>51.766666666666666</v>
      </c>
      <c r="E56" s="23">
        <v>59.466666666666669</v>
      </c>
      <c r="F56" s="23">
        <v>44.733333333333334</v>
      </c>
      <c r="G56" s="23">
        <v>59.866666666666667</v>
      </c>
      <c r="H56" s="23">
        <v>69.8</v>
      </c>
      <c r="I56" s="23">
        <v>67.333333333333329</v>
      </c>
      <c r="J56" s="23">
        <v>64.666666666666671</v>
      </c>
      <c r="K56" s="23">
        <v>41.3</v>
      </c>
      <c r="L56" s="20"/>
    </row>
    <row r="57" spans="1:12" ht="13.15" x14ac:dyDescent="0.4">
      <c r="A57" s="22" t="s">
        <v>176</v>
      </c>
      <c r="B57" s="24">
        <v>58.533333333333331</v>
      </c>
      <c r="C57" s="23">
        <v>67.599999999999994</v>
      </c>
      <c r="D57" s="23">
        <v>58</v>
      </c>
      <c r="E57" s="23">
        <v>58.93333333333333</v>
      </c>
      <c r="F57" s="23">
        <v>44.666666666666664</v>
      </c>
      <c r="G57" s="23">
        <v>49.466666666666669</v>
      </c>
      <c r="H57" s="23">
        <v>71.266666666666666</v>
      </c>
      <c r="I57" s="23">
        <v>51.333333333333336</v>
      </c>
      <c r="J57" s="23">
        <v>65.666666666666671</v>
      </c>
      <c r="K57" s="23">
        <v>51.466666666666669</v>
      </c>
      <c r="L57" s="20"/>
    </row>
    <row r="58" spans="1:12" ht="13.15" x14ac:dyDescent="0.4">
      <c r="A58" s="22" t="s">
        <v>40</v>
      </c>
      <c r="B58" s="24">
        <v>45.033333333333331</v>
      </c>
      <c r="C58" s="23">
        <v>32.966666666666669</v>
      </c>
      <c r="D58" s="23">
        <v>59.7</v>
      </c>
      <c r="E58" s="23">
        <v>64.233333333333334</v>
      </c>
      <c r="F58" s="23">
        <v>45.8</v>
      </c>
      <c r="G58" s="23">
        <v>57.1</v>
      </c>
      <c r="H58" s="23">
        <v>54.533333333333331</v>
      </c>
      <c r="I58" s="23">
        <v>70.7</v>
      </c>
      <c r="J58" s="23">
        <v>69.900000000000006</v>
      </c>
      <c r="K58" s="23">
        <v>41.6</v>
      </c>
      <c r="L58" s="20"/>
    </row>
    <row r="59" spans="1:12" ht="13.15" x14ac:dyDescent="0.4">
      <c r="A59" s="22" t="s">
        <v>41</v>
      </c>
      <c r="B59" s="24">
        <v>47.983333333333334</v>
      </c>
      <c r="C59" s="23">
        <v>41.3</v>
      </c>
      <c r="D59" s="24">
        <v>54.116666666666667</v>
      </c>
      <c r="E59" s="23">
        <v>61.06666666666667</v>
      </c>
      <c r="F59" s="23">
        <v>45.06666666666667</v>
      </c>
      <c r="G59" s="23">
        <v>54.666666666666664</v>
      </c>
      <c r="H59" s="23">
        <v>69</v>
      </c>
      <c r="I59" s="23">
        <v>59.2</v>
      </c>
      <c r="J59" s="24">
        <v>57.755555555555553</v>
      </c>
      <c r="K59" s="23">
        <v>47.166666666666664</v>
      </c>
      <c r="L59" s="20"/>
    </row>
    <row r="60" spans="1:12" ht="13.15" x14ac:dyDescent="0.4">
      <c r="A60" s="22" t="s">
        <v>42</v>
      </c>
      <c r="B60" s="24">
        <v>60.716666666666669</v>
      </c>
      <c r="C60" s="23">
        <v>63.1</v>
      </c>
      <c r="D60" s="24">
        <v>47.716666666666669</v>
      </c>
      <c r="E60" s="23">
        <v>52.93333333333333</v>
      </c>
      <c r="F60" s="23">
        <v>92.733333333333334</v>
      </c>
      <c r="G60" s="23">
        <v>58.333333333333336</v>
      </c>
      <c r="H60" s="23">
        <v>42.366666666666667</v>
      </c>
      <c r="I60" s="23">
        <v>65.5</v>
      </c>
      <c r="J60" s="23">
        <v>47.166666666666664</v>
      </c>
      <c r="K60" s="23">
        <v>42.5</v>
      </c>
      <c r="L60" s="20"/>
    </row>
    <row r="61" spans="1:12" ht="13.15" x14ac:dyDescent="0.4">
      <c r="A61" s="22" t="s">
        <v>43</v>
      </c>
      <c r="B61" s="23">
        <v>27.633333333333333</v>
      </c>
      <c r="C61" s="23">
        <v>77.966666666666669</v>
      </c>
      <c r="D61" s="24">
        <v>48.433333333333337</v>
      </c>
      <c r="E61" s="23">
        <v>55.533333333333331</v>
      </c>
      <c r="F61" s="23">
        <v>72.733333333333334</v>
      </c>
      <c r="G61" s="23">
        <v>69.666666666666671</v>
      </c>
      <c r="H61" s="23">
        <v>50.466666666666669</v>
      </c>
      <c r="I61" s="23">
        <v>46.6</v>
      </c>
      <c r="J61" s="23">
        <v>82.966666666666669</v>
      </c>
      <c r="K61" s="23">
        <v>41.333333333333336</v>
      </c>
      <c r="L61" s="20"/>
    </row>
    <row r="62" spans="1:12" ht="13.15" x14ac:dyDescent="0.4">
      <c r="A62" s="22" t="s">
        <v>44</v>
      </c>
      <c r="B62" s="23">
        <v>57.833333333333336</v>
      </c>
      <c r="C62" s="23">
        <v>42.6</v>
      </c>
      <c r="D62" s="23">
        <v>50.166666666666664</v>
      </c>
      <c r="E62" s="23">
        <v>73.400000000000006</v>
      </c>
      <c r="F62" s="23">
        <v>52.9</v>
      </c>
      <c r="G62" s="23">
        <v>80</v>
      </c>
      <c r="H62" s="23">
        <v>80.8</v>
      </c>
      <c r="I62" s="24">
        <v>56.077777777777776</v>
      </c>
      <c r="J62" s="23">
        <v>34.533333333333331</v>
      </c>
      <c r="K62" s="23">
        <v>43.333333333333336</v>
      </c>
      <c r="L62" s="20"/>
    </row>
    <row r="63" spans="1:12" ht="13.15" x14ac:dyDescent="0.4">
      <c r="A63" s="22" t="s">
        <v>177</v>
      </c>
      <c r="B63" s="23">
        <v>52.93333333333333</v>
      </c>
      <c r="C63" s="23">
        <v>43.233333333333334</v>
      </c>
      <c r="D63" s="23">
        <v>35.666666666666664</v>
      </c>
      <c r="E63" s="23">
        <v>69.733333333333334</v>
      </c>
      <c r="F63" s="23">
        <v>65.933333333333337</v>
      </c>
      <c r="G63" s="24">
        <v>48.083333333333329</v>
      </c>
      <c r="H63" s="23">
        <v>58.93333333333333</v>
      </c>
      <c r="I63" s="23">
        <v>67.266666666666666</v>
      </c>
      <c r="J63" s="23">
        <v>50.06666666666667</v>
      </c>
      <c r="K63" s="23">
        <v>48.93333333333333</v>
      </c>
      <c r="L63" s="20"/>
    </row>
    <row r="64" spans="1:12" ht="13.15" x14ac:dyDescent="0.4">
      <c r="A64" s="22" t="s">
        <v>178</v>
      </c>
      <c r="B64" s="24">
        <v>77</v>
      </c>
      <c r="C64" s="24">
        <v>77</v>
      </c>
      <c r="D64" s="23">
        <v>35.200000000000003</v>
      </c>
      <c r="E64" s="23">
        <v>34.6</v>
      </c>
      <c r="F64" s="23">
        <v>47.8</v>
      </c>
      <c r="G64" s="23">
        <v>77</v>
      </c>
      <c r="H64" s="23">
        <v>48.766666666666666</v>
      </c>
      <c r="I64" s="23">
        <v>73.933333333333337</v>
      </c>
      <c r="J64" s="23">
        <v>43.833333333333336</v>
      </c>
      <c r="K64" s="23">
        <v>45.266666666666666</v>
      </c>
      <c r="L64" s="20"/>
    </row>
    <row r="65" spans="1:12" ht="13.15" x14ac:dyDescent="0.4">
      <c r="A65" s="22" t="s">
        <v>45</v>
      </c>
      <c r="B65" s="24">
        <v>44.733333333333334</v>
      </c>
      <c r="C65" s="23">
        <v>36.43333333333333</v>
      </c>
      <c r="D65" s="23">
        <v>39.733333333333334</v>
      </c>
      <c r="E65" s="23">
        <v>38.833333333333336</v>
      </c>
      <c r="F65" s="23">
        <v>63.56666666666667</v>
      </c>
      <c r="G65" s="23">
        <v>53.033333333333331</v>
      </c>
      <c r="H65" s="23">
        <v>48.833333333333336</v>
      </c>
      <c r="I65" s="23">
        <v>60.866666666666667</v>
      </c>
      <c r="J65" s="23">
        <v>25.333333333333332</v>
      </c>
      <c r="K65" s="23">
        <v>41.7</v>
      </c>
      <c r="L65" s="20"/>
    </row>
    <row r="66" spans="1:12" ht="13.15" x14ac:dyDescent="0.4">
      <c r="A66" s="22" t="s">
        <v>46</v>
      </c>
      <c r="B66" s="24">
        <v>59.716666666666669</v>
      </c>
      <c r="C66" s="23">
        <v>54.3</v>
      </c>
      <c r="D66" s="23">
        <v>60.6</v>
      </c>
      <c r="E66" s="23">
        <v>37.266666666666666</v>
      </c>
      <c r="F66" s="23">
        <v>53.6</v>
      </c>
      <c r="G66" s="23">
        <v>65.13333333333334</v>
      </c>
      <c r="H66" s="23">
        <v>41.366666666666667</v>
      </c>
      <c r="I66" s="23">
        <v>39.266666666666666</v>
      </c>
      <c r="J66" s="23">
        <v>59.93333333333333</v>
      </c>
      <c r="K66" s="23">
        <v>42.666666666666664</v>
      </c>
      <c r="L66" s="20"/>
    </row>
    <row r="67" spans="1:12" ht="13.15" x14ac:dyDescent="0.4">
      <c r="A67" s="22" t="s">
        <v>47</v>
      </c>
      <c r="B67" s="24">
        <v>42.116666666666667</v>
      </c>
      <c r="C67" s="23">
        <v>34.56666666666667</v>
      </c>
      <c r="D67" s="23">
        <v>73.033333333333331</v>
      </c>
      <c r="E67" s="23">
        <v>52.666666666666664</v>
      </c>
      <c r="F67" s="23">
        <v>47.06666666666667</v>
      </c>
      <c r="G67" s="23">
        <v>49.666666666666664</v>
      </c>
      <c r="H67" s="23">
        <v>76.433333333333337</v>
      </c>
      <c r="I67" s="23">
        <v>56.4</v>
      </c>
      <c r="J67" s="23">
        <v>63.233333333333334</v>
      </c>
      <c r="K67" s="23">
        <v>53.4</v>
      </c>
      <c r="L67" s="20"/>
    </row>
    <row r="68" spans="1:12" ht="13.15" x14ac:dyDescent="0.4">
      <c r="A68" s="22" t="s">
        <v>48</v>
      </c>
      <c r="B68" s="24">
        <v>95</v>
      </c>
      <c r="C68" s="24">
        <v>95</v>
      </c>
      <c r="D68" s="23">
        <v>46.333333333333336</v>
      </c>
      <c r="E68" s="23">
        <v>43.166666666666664</v>
      </c>
      <c r="F68" s="23">
        <v>73.733333333333334</v>
      </c>
      <c r="G68" s="23">
        <v>95</v>
      </c>
      <c r="H68" s="23">
        <v>52.966666666666669</v>
      </c>
      <c r="I68" s="23">
        <v>38.43333333333333</v>
      </c>
      <c r="J68" s="23">
        <v>33.5</v>
      </c>
      <c r="K68" s="23">
        <v>50.4</v>
      </c>
      <c r="L68" s="20"/>
    </row>
    <row r="69" spans="1:12" x14ac:dyDescent="0.35">
      <c r="A69" s="22" t="s">
        <v>179</v>
      </c>
      <c r="B69" s="23">
        <v>19.633333333333333</v>
      </c>
      <c r="C69" s="23">
        <v>44.06666666666667</v>
      </c>
      <c r="D69" s="23">
        <v>65.5</v>
      </c>
      <c r="E69" s="23">
        <v>85.2</v>
      </c>
      <c r="F69" s="23">
        <v>56.06666666666667</v>
      </c>
      <c r="G69" s="23">
        <v>53.56666666666667</v>
      </c>
      <c r="H69" s="23">
        <v>41.833333333333336</v>
      </c>
      <c r="I69" s="23">
        <v>57</v>
      </c>
      <c r="J69" s="23">
        <v>52.3</v>
      </c>
      <c r="K69" s="23">
        <v>46.866666666666667</v>
      </c>
      <c r="L69" s="20"/>
    </row>
    <row r="70" spans="1:12" x14ac:dyDescent="0.35">
      <c r="A70" s="22" t="s">
        <v>49</v>
      </c>
      <c r="B70" s="23">
        <v>27.566666666666666</v>
      </c>
      <c r="C70" s="23">
        <v>66.533333333333331</v>
      </c>
      <c r="D70" s="23">
        <v>61.3</v>
      </c>
      <c r="E70" s="23">
        <v>36.333333333333336</v>
      </c>
      <c r="F70" s="23">
        <v>63.133333333333333</v>
      </c>
      <c r="G70" s="23">
        <v>69.8</v>
      </c>
      <c r="H70" s="23">
        <v>39.633333333333333</v>
      </c>
      <c r="I70" s="23">
        <v>71.233333333333334</v>
      </c>
      <c r="J70" s="23">
        <v>38.233333333333334</v>
      </c>
      <c r="K70" s="23">
        <v>51.6</v>
      </c>
      <c r="L70" s="20"/>
    </row>
    <row r="71" spans="1:12" x14ac:dyDescent="0.35">
      <c r="A71" s="22" t="s">
        <v>50</v>
      </c>
      <c r="B71" s="23">
        <v>26.8</v>
      </c>
      <c r="C71" s="23">
        <v>62.766666666666666</v>
      </c>
      <c r="D71" s="23">
        <v>43.533333333333331</v>
      </c>
      <c r="E71" s="23">
        <v>64.400000000000006</v>
      </c>
      <c r="F71" s="23">
        <v>70.5</v>
      </c>
      <c r="G71" s="23">
        <v>39.233333333333334</v>
      </c>
      <c r="H71" s="23">
        <v>41.866666666666667</v>
      </c>
      <c r="I71" s="23">
        <v>67</v>
      </c>
      <c r="J71" s="23">
        <v>86.933333333333337</v>
      </c>
      <c r="K71" s="23">
        <v>43.5</v>
      </c>
      <c r="L71" s="20"/>
    </row>
    <row r="72" spans="1:12" ht="13.15" x14ac:dyDescent="0.4">
      <c r="A72" s="22" t="s">
        <v>51</v>
      </c>
      <c r="B72" s="24">
        <v>58.4</v>
      </c>
      <c r="C72" s="23">
        <v>46.5</v>
      </c>
      <c r="D72" s="23">
        <v>55.1</v>
      </c>
      <c r="E72" s="23">
        <v>48.8</v>
      </c>
      <c r="F72" s="23">
        <v>48.93333333333333</v>
      </c>
      <c r="G72" s="23">
        <v>70.3</v>
      </c>
      <c r="H72" s="23">
        <v>64.566666666666663</v>
      </c>
      <c r="I72" s="23">
        <v>44.133333333333333</v>
      </c>
      <c r="J72" s="23">
        <v>50.266666666666666</v>
      </c>
      <c r="K72" s="23">
        <v>42.1</v>
      </c>
      <c r="L72" s="20"/>
    </row>
    <row r="73" spans="1:12" ht="13.15" x14ac:dyDescent="0.4">
      <c r="A73" s="22" t="s">
        <v>52</v>
      </c>
      <c r="B73" s="24">
        <v>61.733333333333334</v>
      </c>
      <c r="C73" s="24">
        <v>61.733333333333334</v>
      </c>
      <c r="D73" s="23">
        <v>83.333333333333329</v>
      </c>
      <c r="E73" s="23">
        <v>52.56666666666667</v>
      </c>
      <c r="F73" s="23">
        <v>50.033333333333331</v>
      </c>
      <c r="G73" s="23">
        <v>61.733333333333334</v>
      </c>
      <c r="H73" s="23">
        <v>54.56666666666667</v>
      </c>
      <c r="I73" s="23">
        <v>35.333333333333336</v>
      </c>
      <c r="J73" s="23">
        <v>29.3</v>
      </c>
      <c r="K73" s="23">
        <v>53.2</v>
      </c>
      <c r="L73" s="20"/>
    </row>
    <row r="74" spans="1:12" ht="13.15" x14ac:dyDescent="0.4">
      <c r="A74" s="22" t="s">
        <v>53</v>
      </c>
      <c r="B74" s="24">
        <v>58.166666666666664</v>
      </c>
      <c r="C74" s="23">
        <v>72.533333333333331</v>
      </c>
      <c r="D74" s="23">
        <v>49.166666666666664</v>
      </c>
      <c r="E74" s="23">
        <v>60.3</v>
      </c>
      <c r="F74" s="23">
        <v>64.233333333333334</v>
      </c>
      <c r="G74" s="23">
        <v>43.8</v>
      </c>
      <c r="H74" s="23">
        <v>31</v>
      </c>
      <c r="I74" s="23">
        <v>77.166666666666671</v>
      </c>
      <c r="J74" s="24">
        <v>57.466666666666669</v>
      </c>
      <c r="K74" s="23">
        <v>39.93333333333333</v>
      </c>
      <c r="L74" s="20"/>
    </row>
    <row r="75" spans="1:12" ht="13.15" x14ac:dyDescent="0.4">
      <c r="A75" s="22" t="s">
        <v>54</v>
      </c>
      <c r="B75" s="24">
        <v>48.4</v>
      </c>
      <c r="C75" s="23">
        <v>48.366666666666667</v>
      </c>
      <c r="D75" s="23">
        <v>78.36666666666666</v>
      </c>
      <c r="E75" s="23">
        <v>60.633333333333333</v>
      </c>
      <c r="F75" s="23">
        <v>59.833333333333336</v>
      </c>
      <c r="G75" s="23">
        <v>48.43333333333333</v>
      </c>
      <c r="H75" s="23">
        <v>56.033333333333331</v>
      </c>
      <c r="I75" s="23">
        <v>50.6</v>
      </c>
      <c r="J75" s="23">
        <v>53.633333333333333</v>
      </c>
      <c r="K75" s="23">
        <v>46.366666666666667</v>
      </c>
      <c r="L75" s="20"/>
    </row>
    <row r="76" spans="1:12" x14ac:dyDescent="0.35">
      <c r="A76" s="22" t="s">
        <v>180</v>
      </c>
      <c r="B76" s="23">
        <v>27.333333333333332</v>
      </c>
      <c r="C76" s="23">
        <v>46.366666666666667</v>
      </c>
      <c r="D76" s="23">
        <v>53.533333333333331</v>
      </c>
      <c r="E76" s="23">
        <v>71.333333333333329</v>
      </c>
      <c r="F76" s="23">
        <v>43.666666666666664</v>
      </c>
      <c r="G76" s="23">
        <v>48.333333333333336</v>
      </c>
      <c r="H76" s="23">
        <v>39.43333333333333</v>
      </c>
      <c r="I76" s="23">
        <v>48.766666666666666</v>
      </c>
      <c r="J76" s="23">
        <v>32.4</v>
      </c>
      <c r="K76" s="23">
        <v>40.633333333333333</v>
      </c>
      <c r="L76" s="20"/>
    </row>
    <row r="77" spans="1:12" ht="13.15" x14ac:dyDescent="0.4">
      <c r="A77" s="22" t="s">
        <v>55</v>
      </c>
      <c r="B77" s="24">
        <v>66.300000000000011</v>
      </c>
      <c r="C77" s="23">
        <v>65.7</v>
      </c>
      <c r="D77" s="23">
        <v>45.266666666666666</v>
      </c>
      <c r="E77" s="23">
        <v>51.56666666666667</v>
      </c>
      <c r="F77" s="23">
        <v>35.93333333333333</v>
      </c>
      <c r="G77" s="23">
        <v>66.900000000000006</v>
      </c>
      <c r="H77" s="23">
        <v>66.233333333333334</v>
      </c>
      <c r="I77" s="23">
        <v>42.7</v>
      </c>
      <c r="J77" s="24">
        <v>48.288888888888891</v>
      </c>
      <c r="K77" s="23">
        <v>51.7</v>
      </c>
      <c r="L77" s="20"/>
    </row>
    <row r="78" spans="1:12" ht="13.15" x14ac:dyDescent="0.4">
      <c r="A78" s="22" t="s">
        <v>56</v>
      </c>
      <c r="B78" s="24">
        <v>43.416666666666671</v>
      </c>
      <c r="C78" s="23">
        <v>37.133333333333333</v>
      </c>
      <c r="D78" s="23">
        <v>56.266666666666666</v>
      </c>
      <c r="E78" s="23">
        <v>57.133333333333333</v>
      </c>
      <c r="F78" s="23">
        <v>83.566666666666663</v>
      </c>
      <c r="G78" s="23">
        <v>49.7</v>
      </c>
      <c r="H78" s="23">
        <v>43.06666666666667</v>
      </c>
      <c r="I78" s="23">
        <v>52.866666666666667</v>
      </c>
      <c r="J78" s="23">
        <v>33.1</v>
      </c>
      <c r="K78" s="23">
        <v>42.866666666666667</v>
      </c>
      <c r="L78" s="20"/>
    </row>
    <row r="79" spans="1:12" ht="13.15" x14ac:dyDescent="0.4">
      <c r="A79" s="22" t="s">
        <v>57</v>
      </c>
      <c r="B79" s="24">
        <v>73.533333333333331</v>
      </c>
      <c r="C79" s="23">
        <v>69.166666666666671</v>
      </c>
      <c r="D79" s="23">
        <v>95.933333333333337</v>
      </c>
      <c r="E79" s="23">
        <v>35.9</v>
      </c>
      <c r="F79" s="23">
        <v>42.366666666666667</v>
      </c>
      <c r="G79" s="23">
        <v>77.900000000000006</v>
      </c>
      <c r="H79" s="23">
        <v>55.9</v>
      </c>
      <c r="I79" s="23">
        <v>69.433333333333337</v>
      </c>
      <c r="J79" s="23">
        <v>37.633333333333333</v>
      </c>
      <c r="K79" s="23">
        <v>50.866666666666667</v>
      </c>
      <c r="L79" s="20"/>
    </row>
    <row r="80" spans="1:12" ht="13.15" x14ac:dyDescent="0.4">
      <c r="A80" s="22" t="s">
        <v>58</v>
      </c>
      <c r="B80" s="24">
        <v>40.450000000000003</v>
      </c>
      <c r="C80" s="23">
        <v>45.733333333333334</v>
      </c>
      <c r="D80" s="23">
        <v>48.166666666666664</v>
      </c>
      <c r="E80" s="23">
        <v>59.56666666666667</v>
      </c>
      <c r="F80" s="23">
        <v>62.033333333333331</v>
      </c>
      <c r="G80" s="23">
        <v>35.166666666666664</v>
      </c>
      <c r="H80" s="23">
        <v>35.333333333333336</v>
      </c>
      <c r="I80" s="23">
        <v>51.43333333333333</v>
      </c>
      <c r="J80" s="23">
        <v>46.833333333333336</v>
      </c>
      <c r="K80" s="23">
        <v>44.366666666666667</v>
      </c>
      <c r="L80" s="20"/>
    </row>
    <row r="81" spans="1:12" ht="13.15" x14ac:dyDescent="0.4">
      <c r="A81" s="22" t="s">
        <v>59</v>
      </c>
      <c r="B81" s="24">
        <v>66.783333333333331</v>
      </c>
      <c r="C81" s="23">
        <v>62.133333333333333</v>
      </c>
      <c r="D81" s="23">
        <v>36.266666666666666</v>
      </c>
      <c r="E81" s="23">
        <v>54.6</v>
      </c>
      <c r="F81" s="23">
        <v>54.466666666666669</v>
      </c>
      <c r="G81" s="23">
        <v>71.433333333333337</v>
      </c>
      <c r="H81" s="23">
        <v>37.299999999999997</v>
      </c>
      <c r="I81" s="23">
        <v>75.8</v>
      </c>
      <c r="J81" s="23">
        <v>84.9</v>
      </c>
      <c r="K81" s="23">
        <v>44.366666666666667</v>
      </c>
      <c r="L81" s="20"/>
    </row>
    <row r="82" spans="1:12" ht="13.15" x14ac:dyDescent="0.4">
      <c r="A82" s="22" t="s">
        <v>181</v>
      </c>
      <c r="B82" s="24">
        <v>45.916666666666671</v>
      </c>
      <c r="C82" s="23">
        <v>35.200000000000003</v>
      </c>
      <c r="D82" s="23">
        <v>67.900000000000006</v>
      </c>
      <c r="E82" s="23">
        <v>68.900000000000006</v>
      </c>
      <c r="F82" s="23">
        <v>42.133333333333333</v>
      </c>
      <c r="G82" s="23">
        <v>56.633333333333333</v>
      </c>
      <c r="H82" s="24">
        <v>56.333333333333336</v>
      </c>
      <c r="I82" s="23">
        <v>34.533333333333331</v>
      </c>
      <c r="J82" s="23">
        <v>92.333333333333329</v>
      </c>
      <c r="K82" s="23">
        <v>49</v>
      </c>
      <c r="L82" s="20"/>
    </row>
    <row r="83" spans="1:12" ht="13.15" x14ac:dyDescent="0.4">
      <c r="A83" s="22" t="s">
        <v>60</v>
      </c>
      <c r="B83" s="24">
        <v>39.866666666666667</v>
      </c>
      <c r="C83" s="24">
        <v>39.866666666666667</v>
      </c>
      <c r="D83" s="23">
        <v>58.9</v>
      </c>
      <c r="E83" s="23">
        <v>35.266666666666666</v>
      </c>
      <c r="F83" s="23">
        <v>44.2</v>
      </c>
      <c r="G83" s="23">
        <v>39.866666666666667</v>
      </c>
      <c r="H83" s="23">
        <v>56.9</v>
      </c>
      <c r="I83" s="23">
        <v>41.93333333333333</v>
      </c>
      <c r="J83" s="23">
        <v>30.033333333333335</v>
      </c>
      <c r="K83" s="23">
        <v>52.4</v>
      </c>
      <c r="L83" s="20"/>
    </row>
    <row r="84" spans="1:12" ht="13.15" x14ac:dyDescent="0.4">
      <c r="A84" s="22" t="s">
        <v>61</v>
      </c>
      <c r="B84" s="24">
        <v>66.283333333333331</v>
      </c>
      <c r="C84" s="23">
        <v>69.8</v>
      </c>
      <c r="D84" s="23">
        <v>70.2</v>
      </c>
      <c r="E84" s="23">
        <v>55.7</v>
      </c>
      <c r="F84" s="23">
        <v>50.5</v>
      </c>
      <c r="G84" s="23">
        <v>62.766666666666666</v>
      </c>
      <c r="H84" s="23">
        <v>51.333333333333336</v>
      </c>
      <c r="I84" s="23">
        <v>60.7</v>
      </c>
      <c r="J84" s="23">
        <v>44.9</v>
      </c>
      <c r="K84" s="23">
        <v>41.533333333333331</v>
      </c>
      <c r="L84" s="20"/>
    </row>
    <row r="85" spans="1:12" ht="13.15" x14ac:dyDescent="0.4">
      <c r="A85" s="22" t="s">
        <v>62</v>
      </c>
      <c r="B85" s="24">
        <v>55.650000000000006</v>
      </c>
      <c r="C85" s="23">
        <v>72.966666666666669</v>
      </c>
      <c r="D85" s="23">
        <v>74.599999999999994</v>
      </c>
      <c r="E85" s="23">
        <v>34.466666666666669</v>
      </c>
      <c r="F85" s="23">
        <v>50.333333333333336</v>
      </c>
      <c r="G85" s="23">
        <v>38.333333333333336</v>
      </c>
      <c r="H85" s="23">
        <v>63.7</v>
      </c>
      <c r="I85" s="23">
        <v>38.533333333333331</v>
      </c>
      <c r="J85" s="23">
        <v>55.1</v>
      </c>
      <c r="K85" s="23">
        <v>44.833333333333336</v>
      </c>
      <c r="L85" s="20"/>
    </row>
    <row r="86" spans="1:12" ht="13.15" x14ac:dyDescent="0.4">
      <c r="A86" s="22" t="s">
        <v>63</v>
      </c>
      <c r="B86" s="24">
        <v>66.433333333333337</v>
      </c>
      <c r="C86" s="24">
        <v>66.433333333333337</v>
      </c>
      <c r="D86" s="23">
        <v>51.1</v>
      </c>
      <c r="E86" s="23">
        <v>49.233333333333334</v>
      </c>
      <c r="F86" s="23">
        <v>59.266666666666666</v>
      </c>
      <c r="G86" s="23">
        <v>66.433333333333337</v>
      </c>
      <c r="H86" s="23">
        <v>77.333333333333329</v>
      </c>
      <c r="I86" s="23">
        <v>62.233333333333334</v>
      </c>
      <c r="J86" s="23">
        <v>37.966666666666669</v>
      </c>
      <c r="K86" s="23">
        <v>56.766666666666666</v>
      </c>
      <c r="L86" s="20"/>
    </row>
    <row r="87" spans="1:12" ht="13.9" x14ac:dyDescent="0.4">
      <c r="A87" s="22" t="s">
        <v>64</v>
      </c>
      <c r="B87" s="39">
        <v>56.342857142857149</v>
      </c>
      <c r="C87" s="39">
        <v>56.342857142857149</v>
      </c>
      <c r="D87" s="23">
        <v>51.1</v>
      </c>
      <c r="E87" s="23">
        <v>56.366666666666667</v>
      </c>
      <c r="F87" s="23">
        <v>72.033333333333331</v>
      </c>
      <c r="G87" s="39">
        <v>56.342857142857149</v>
      </c>
      <c r="H87" s="23">
        <v>43.1</v>
      </c>
      <c r="I87" s="23">
        <v>74.2</v>
      </c>
      <c r="J87" s="23">
        <v>57</v>
      </c>
      <c r="K87" s="23">
        <v>40.6</v>
      </c>
      <c r="L87" s="20"/>
    </row>
    <row r="88" spans="1:12" ht="13.15" x14ac:dyDescent="0.4">
      <c r="A88" s="22" t="s">
        <v>182</v>
      </c>
      <c r="B88" s="24">
        <v>46.466666666666669</v>
      </c>
      <c r="C88" s="24">
        <v>46.466666666666669</v>
      </c>
      <c r="D88" s="23">
        <v>42.133333333333333</v>
      </c>
      <c r="E88" s="23">
        <v>38.799999999999997</v>
      </c>
      <c r="F88" s="23">
        <v>54.366666666666667</v>
      </c>
      <c r="G88" s="23">
        <v>46.466666666666669</v>
      </c>
      <c r="H88" s="23">
        <v>89.6</v>
      </c>
      <c r="I88" s="23">
        <v>75.533333333333331</v>
      </c>
      <c r="J88" s="23">
        <v>41.8</v>
      </c>
      <c r="K88" s="24">
        <v>40.466666666666669</v>
      </c>
      <c r="L88" s="20"/>
    </row>
    <row r="89" spans="1:12" ht="13.15" x14ac:dyDescent="0.4">
      <c r="A89" s="22" t="s">
        <v>65</v>
      </c>
      <c r="B89" s="23">
        <v>53.6</v>
      </c>
      <c r="C89" s="24">
        <v>52</v>
      </c>
      <c r="D89" s="23">
        <v>72.900000000000006</v>
      </c>
      <c r="E89" s="23">
        <v>78.36666666666666</v>
      </c>
      <c r="F89" s="23">
        <v>71.966666666666669</v>
      </c>
      <c r="G89" s="23">
        <v>50.4</v>
      </c>
      <c r="H89" s="23">
        <v>58.93333333333333</v>
      </c>
      <c r="I89" s="23">
        <v>37.833333333333336</v>
      </c>
      <c r="J89" s="23">
        <v>43.4</v>
      </c>
      <c r="K89" s="23">
        <v>39</v>
      </c>
      <c r="L89" s="20"/>
    </row>
    <row r="90" spans="1:12" ht="13.15" x14ac:dyDescent="0.4">
      <c r="A90" s="22" t="s">
        <v>66</v>
      </c>
      <c r="B90" s="24">
        <v>63.7</v>
      </c>
      <c r="C90" s="24">
        <v>63.7</v>
      </c>
      <c r="D90" s="23">
        <v>39.4</v>
      </c>
      <c r="E90" s="23">
        <v>46.4</v>
      </c>
      <c r="F90" s="23">
        <v>63.5</v>
      </c>
      <c r="G90" s="23">
        <v>63.7</v>
      </c>
      <c r="H90" s="23">
        <v>50.133333333333333</v>
      </c>
      <c r="I90" s="23">
        <v>41.93333333333333</v>
      </c>
      <c r="J90" s="23">
        <v>46.2</v>
      </c>
      <c r="K90" s="23">
        <v>54.266666666666666</v>
      </c>
      <c r="L90" s="20"/>
    </row>
    <row r="91" spans="1:12" ht="13.15" x14ac:dyDescent="0.4">
      <c r="A91" s="22" t="s">
        <v>67</v>
      </c>
      <c r="B91" s="23">
        <v>50.166666666666664</v>
      </c>
      <c r="C91" s="24">
        <v>51.15</v>
      </c>
      <c r="D91" s="23">
        <v>42.4</v>
      </c>
      <c r="E91" s="23">
        <v>47.133333333333333</v>
      </c>
      <c r="F91" s="23">
        <v>73.36666666666666</v>
      </c>
      <c r="G91" s="23">
        <v>52.133333333333333</v>
      </c>
      <c r="H91" s="23">
        <v>39.966666666666669</v>
      </c>
      <c r="I91" s="23">
        <v>87.566666666666663</v>
      </c>
      <c r="J91" s="23">
        <v>37.466666666666669</v>
      </c>
      <c r="K91" s="23">
        <v>52.833333333333336</v>
      </c>
      <c r="L91" s="20"/>
    </row>
    <row r="92" spans="1:12" ht="13.15" x14ac:dyDescent="0.4">
      <c r="A92" s="22" t="s">
        <v>68</v>
      </c>
      <c r="B92" s="23">
        <v>26.966666666666665</v>
      </c>
      <c r="C92" s="24">
        <v>33.616666666666667</v>
      </c>
      <c r="D92" s="23">
        <v>58.966666666666669</v>
      </c>
      <c r="E92" s="23">
        <v>52.366666666666667</v>
      </c>
      <c r="F92" s="23">
        <v>57.866666666666667</v>
      </c>
      <c r="G92" s="23">
        <v>40.266666666666666</v>
      </c>
      <c r="H92" s="23">
        <v>47.533333333333331</v>
      </c>
      <c r="I92" s="23">
        <v>89.13333333333334</v>
      </c>
      <c r="J92" s="23">
        <v>40</v>
      </c>
      <c r="K92" s="23">
        <v>47.733333333333334</v>
      </c>
      <c r="L92" s="20"/>
    </row>
    <row r="93" spans="1:12" ht="13.15" x14ac:dyDescent="0.4">
      <c r="A93" s="22" t="s">
        <v>69</v>
      </c>
      <c r="B93" s="24">
        <v>39.700000000000003</v>
      </c>
      <c r="C93" s="24">
        <v>39.700000000000003</v>
      </c>
      <c r="D93" s="23">
        <v>32.366666666666667</v>
      </c>
      <c r="E93" s="23">
        <v>62.833333333333336</v>
      </c>
      <c r="F93" s="23">
        <v>41.766666666666666</v>
      </c>
      <c r="G93" s="23">
        <v>39.700000000000003</v>
      </c>
      <c r="H93" s="23">
        <v>46.8</v>
      </c>
      <c r="I93" s="23">
        <v>40.9</v>
      </c>
      <c r="J93" s="23">
        <v>59.466666666666669</v>
      </c>
      <c r="K93" s="23">
        <v>47</v>
      </c>
      <c r="L93" s="20"/>
    </row>
    <row r="94" spans="1:12" ht="13.15" x14ac:dyDescent="0.4">
      <c r="A94" s="22" t="s">
        <v>70</v>
      </c>
      <c r="B94" s="24">
        <v>69.7</v>
      </c>
      <c r="C94" s="24">
        <v>69.7</v>
      </c>
      <c r="D94" s="23">
        <v>74.900000000000006</v>
      </c>
      <c r="E94" s="23">
        <v>53.033333333333331</v>
      </c>
      <c r="F94" s="23">
        <v>36.93333333333333</v>
      </c>
      <c r="G94" s="23">
        <v>69.7</v>
      </c>
      <c r="H94" s="23">
        <v>70.36666666666666</v>
      </c>
      <c r="I94" s="23">
        <v>39.56666666666667</v>
      </c>
      <c r="J94" s="23">
        <v>59.466666666666669</v>
      </c>
      <c r="K94" s="23">
        <v>61.466666666666669</v>
      </c>
      <c r="L94" s="20"/>
    </row>
    <row r="95" spans="1:12" ht="13.15" x14ac:dyDescent="0.4">
      <c r="A95" s="22" t="s">
        <v>71</v>
      </c>
      <c r="B95" s="24">
        <v>45.56666666666667</v>
      </c>
      <c r="C95" s="24">
        <v>45.56666666666667</v>
      </c>
      <c r="D95" s="23">
        <v>60.133333333333333</v>
      </c>
      <c r="E95" s="23">
        <v>42.2</v>
      </c>
      <c r="F95" s="23">
        <v>57.533333333333331</v>
      </c>
      <c r="G95" s="23">
        <v>45.56666666666667</v>
      </c>
      <c r="H95" s="23">
        <v>66.099999999999994</v>
      </c>
      <c r="I95" s="23">
        <v>75.599999999999994</v>
      </c>
      <c r="J95" s="23">
        <v>37.200000000000003</v>
      </c>
      <c r="K95" s="23">
        <v>50.56666666666667</v>
      </c>
      <c r="L95" s="20"/>
    </row>
    <row r="96" spans="1:12" ht="13.15" x14ac:dyDescent="0.4">
      <c r="A96" s="22" t="s">
        <v>72</v>
      </c>
      <c r="B96" s="24">
        <v>61.666666666666664</v>
      </c>
      <c r="C96" s="24">
        <v>61.666666666666664</v>
      </c>
      <c r="D96" s="24">
        <v>44.7</v>
      </c>
      <c r="E96" s="23">
        <v>44.133333333333333</v>
      </c>
      <c r="F96" s="23">
        <v>47.93333333333333</v>
      </c>
      <c r="G96" s="23">
        <v>61.666666666666664</v>
      </c>
      <c r="H96" s="23">
        <v>41.466666666666669</v>
      </c>
      <c r="I96" s="23">
        <v>53.56666666666667</v>
      </c>
      <c r="J96" s="23">
        <v>47.733333333333334</v>
      </c>
      <c r="K96" s="23">
        <v>45.266666666666666</v>
      </c>
      <c r="L96" s="20"/>
    </row>
    <row r="97" spans="1:12" ht="13.15" x14ac:dyDescent="0.4">
      <c r="A97" s="22" t="s">
        <v>73</v>
      </c>
      <c r="B97" s="24">
        <v>78.599999999999994</v>
      </c>
      <c r="C97" s="24">
        <v>78.599999999999994</v>
      </c>
      <c r="D97" s="23">
        <v>47.2</v>
      </c>
      <c r="E97" s="23">
        <v>51.366666666666667</v>
      </c>
      <c r="F97" s="23">
        <v>51.633333333333333</v>
      </c>
      <c r="G97" s="23">
        <v>78.599999999999994</v>
      </c>
      <c r="H97" s="23">
        <v>80.466666666666669</v>
      </c>
      <c r="I97" s="23">
        <v>48.5</v>
      </c>
      <c r="J97" s="23">
        <v>61.766666666666666</v>
      </c>
      <c r="K97" s="23">
        <v>56.666666666666664</v>
      </c>
      <c r="L97" s="20"/>
    </row>
    <row r="98" spans="1:12" ht="13.15" x14ac:dyDescent="0.4">
      <c r="A98" s="22" t="s">
        <v>74</v>
      </c>
      <c r="B98" s="23">
        <v>14.566666666666666</v>
      </c>
      <c r="C98" s="24">
        <v>36.93333333333333</v>
      </c>
      <c r="D98" s="23">
        <v>99.466666666666669</v>
      </c>
      <c r="E98" s="23">
        <v>59.7</v>
      </c>
      <c r="F98" s="23">
        <v>70.099999999999994</v>
      </c>
      <c r="G98" s="23">
        <v>59.3</v>
      </c>
      <c r="H98" s="23">
        <v>71.13333333333334</v>
      </c>
      <c r="I98" s="23">
        <v>58.966666666666669</v>
      </c>
      <c r="J98" s="23">
        <v>54.533333333333331</v>
      </c>
      <c r="K98" s="23">
        <v>49.466666666666669</v>
      </c>
      <c r="L98" s="20"/>
    </row>
    <row r="99" spans="1:12" x14ac:dyDescent="0.35">
      <c r="A99" s="22" t="s">
        <v>75</v>
      </c>
      <c r="B99" s="23">
        <v>31.133333333333333</v>
      </c>
      <c r="C99" s="23">
        <v>53.56666666666667</v>
      </c>
      <c r="D99" s="23">
        <v>45.266666666666666</v>
      </c>
      <c r="E99" s="23">
        <v>33.833333333333336</v>
      </c>
      <c r="F99" s="23">
        <v>39.9</v>
      </c>
      <c r="G99" s="23">
        <v>62</v>
      </c>
      <c r="H99" s="23">
        <v>38.233333333333334</v>
      </c>
      <c r="I99" s="23">
        <v>48.866666666666667</v>
      </c>
      <c r="J99" s="23">
        <v>42.3</v>
      </c>
      <c r="K99" s="23">
        <v>44.7</v>
      </c>
      <c r="L99" s="20"/>
    </row>
    <row r="100" spans="1:12" x14ac:dyDescent="0.35">
      <c r="A100" s="22" t="s">
        <v>76</v>
      </c>
      <c r="B100" s="23">
        <v>45.533333333333331</v>
      </c>
      <c r="C100" s="23">
        <v>92.833333333333329</v>
      </c>
      <c r="D100" s="23">
        <v>55.666666666666664</v>
      </c>
      <c r="E100" s="23">
        <v>94.233333333333334</v>
      </c>
      <c r="F100" s="23">
        <v>51.266666666666666</v>
      </c>
      <c r="G100" s="23">
        <v>45</v>
      </c>
      <c r="H100" s="23">
        <v>63.766666666666666</v>
      </c>
      <c r="I100" s="23">
        <v>92.033333333333331</v>
      </c>
      <c r="J100" s="23">
        <v>68.533333333333331</v>
      </c>
      <c r="K100" s="23">
        <v>51.366666666666667</v>
      </c>
      <c r="L100" s="20"/>
    </row>
    <row r="101" spans="1:12" ht="13.15" x14ac:dyDescent="0.4">
      <c r="A101" s="22" t="s">
        <v>77</v>
      </c>
      <c r="B101" s="23">
        <v>22.066666666666666</v>
      </c>
      <c r="C101" s="23">
        <v>75.533333333333331</v>
      </c>
      <c r="D101" s="23">
        <v>62.93333333333333</v>
      </c>
      <c r="E101" s="23">
        <v>66.7</v>
      </c>
      <c r="F101" s="23">
        <v>49.6</v>
      </c>
      <c r="G101" s="23">
        <v>55.966666666666669</v>
      </c>
      <c r="H101" s="24">
        <v>54.788888888888891</v>
      </c>
      <c r="I101" s="23">
        <v>81.166666666666671</v>
      </c>
      <c r="J101" s="23">
        <v>33.6</v>
      </c>
      <c r="K101" s="23">
        <v>45.133333333333333</v>
      </c>
      <c r="L101" s="20"/>
    </row>
    <row r="102" spans="1:12" ht="13.15" x14ac:dyDescent="0.4">
      <c r="A102" s="22" t="s">
        <v>78</v>
      </c>
      <c r="B102" s="23">
        <v>21.933333333333334</v>
      </c>
      <c r="C102" s="23">
        <v>68.966666666666669</v>
      </c>
      <c r="D102" s="23">
        <v>43.733333333333334</v>
      </c>
      <c r="E102" s="23">
        <v>76.933333333333337</v>
      </c>
      <c r="F102" s="23">
        <v>70.033333333333331</v>
      </c>
      <c r="G102" s="23">
        <v>36.133333333333333</v>
      </c>
      <c r="H102" s="24">
        <v>58.31111111111111</v>
      </c>
      <c r="I102" s="23">
        <v>42.966666666666669</v>
      </c>
      <c r="J102" s="23">
        <v>61.93333333333333</v>
      </c>
      <c r="K102" s="23">
        <v>49.833333333333336</v>
      </c>
      <c r="L102" s="20"/>
    </row>
    <row r="103" spans="1:12" ht="13.15" x14ac:dyDescent="0.4">
      <c r="A103" s="22" t="s">
        <v>79</v>
      </c>
      <c r="B103" s="23">
        <v>19.533333333333335</v>
      </c>
      <c r="C103" s="23">
        <v>59.7</v>
      </c>
      <c r="D103" s="23">
        <v>50.166666666666664</v>
      </c>
      <c r="E103" s="23">
        <v>34.9</v>
      </c>
      <c r="F103" s="23">
        <v>41.5</v>
      </c>
      <c r="G103" s="23">
        <v>36.366666666666667</v>
      </c>
      <c r="H103" s="24">
        <v>57.155555555555559</v>
      </c>
      <c r="I103" s="23">
        <v>77.933333333333337</v>
      </c>
      <c r="J103" s="23">
        <v>52.033333333333331</v>
      </c>
      <c r="K103" s="23">
        <v>46.4</v>
      </c>
      <c r="L103" s="20"/>
    </row>
    <row r="104" spans="1:12" ht="13.15" x14ac:dyDescent="0.4">
      <c r="A104" s="22" t="s">
        <v>183</v>
      </c>
      <c r="B104" s="23">
        <v>26.066666666666666</v>
      </c>
      <c r="C104" s="23">
        <v>63.533333333333331</v>
      </c>
      <c r="D104" s="23">
        <v>79.5</v>
      </c>
      <c r="E104" s="23">
        <v>73.7</v>
      </c>
      <c r="F104" s="23">
        <v>58.8</v>
      </c>
      <c r="G104" s="23">
        <v>71.86666666666666</v>
      </c>
      <c r="H104" s="24">
        <v>53.622222222222227</v>
      </c>
      <c r="I104" s="23">
        <v>58.766666666666666</v>
      </c>
      <c r="J104" s="23">
        <v>43.3</v>
      </c>
      <c r="K104" s="23">
        <v>51.06666666666667</v>
      </c>
      <c r="L104" s="20"/>
    </row>
    <row r="105" spans="1:12" ht="13.15" x14ac:dyDescent="0.4">
      <c r="A105" s="22" t="s">
        <v>80</v>
      </c>
      <c r="B105" s="23">
        <v>33.1</v>
      </c>
      <c r="C105" s="23">
        <v>46.56666666666667</v>
      </c>
      <c r="D105" s="23">
        <v>66</v>
      </c>
      <c r="E105" s="23">
        <v>53</v>
      </c>
      <c r="F105" s="24">
        <v>46.099999999999994</v>
      </c>
      <c r="G105" s="23">
        <v>72.63333333333334</v>
      </c>
      <c r="H105" s="24">
        <v>46.099999999999994</v>
      </c>
      <c r="I105" s="23">
        <v>39.533333333333331</v>
      </c>
      <c r="J105" s="23">
        <v>52.666666666666664</v>
      </c>
      <c r="K105" s="23">
        <v>59.8</v>
      </c>
      <c r="L105" s="20"/>
    </row>
    <row r="106" spans="1:12" ht="13.15" x14ac:dyDescent="0.4">
      <c r="A106" s="22" t="s">
        <v>81</v>
      </c>
      <c r="B106" s="23">
        <v>39.833333333333336</v>
      </c>
      <c r="C106" s="23">
        <v>62.333333333333336</v>
      </c>
      <c r="D106" s="23">
        <v>63.466666666666669</v>
      </c>
      <c r="E106" s="23">
        <v>49.9</v>
      </c>
      <c r="F106" s="24">
        <v>75.383333333333326</v>
      </c>
      <c r="G106" s="23">
        <v>59.166666666666664</v>
      </c>
      <c r="H106" s="24">
        <v>75.38333333333334</v>
      </c>
      <c r="I106" s="23">
        <v>84.733333333333334</v>
      </c>
      <c r="J106" s="23">
        <v>66.033333333333331</v>
      </c>
      <c r="K106" s="23">
        <v>42.466666666666669</v>
      </c>
      <c r="L106" s="20"/>
    </row>
    <row r="107" spans="1:12" ht="13.15" x14ac:dyDescent="0.4">
      <c r="A107" s="22" t="s">
        <v>82</v>
      </c>
      <c r="B107" s="23">
        <v>40.466666666666669</v>
      </c>
      <c r="C107" s="23">
        <v>49.866666666666667</v>
      </c>
      <c r="D107" s="23">
        <v>61.4</v>
      </c>
      <c r="E107" s="23">
        <v>52.333333333333336</v>
      </c>
      <c r="F107" s="24">
        <v>46.766666666666666</v>
      </c>
      <c r="G107" s="23">
        <v>41.166666666666664</v>
      </c>
      <c r="H107" s="24">
        <v>46.766666666666673</v>
      </c>
      <c r="I107" s="23">
        <v>56.06666666666667</v>
      </c>
      <c r="J107" s="23">
        <v>37.466666666666669</v>
      </c>
      <c r="K107" s="23">
        <v>48.033333333333331</v>
      </c>
      <c r="L107" s="20"/>
    </row>
    <row r="108" spans="1:12" ht="13.15" x14ac:dyDescent="0.4">
      <c r="A108" s="22" t="s">
        <v>83</v>
      </c>
      <c r="B108" s="23">
        <v>37.166666666666664</v>
      </c>
      <c r="C108" s="23">
        <v>37.866666666666667</v>
      </c>
      <c r="D108" s="23">
        <v>67.433333333333337</v>
      </c>
      <c r="E108" s="23">
        <v>57.56666666666667</v>
      </c>
      <c r="F108" s="24">
        <v>70.133333333333326</v>
      </c>
      <c r="G108" s="24">
        <v>37.516666666666666</v>
      </c>
      <c r="H108" s="24">
        <v>70.133333333333326</v>
      </c>
      <c r="I108" s="23">
        <v>51.2</v>
      </c>
      <c r="J108" s="23">
        <v>89.066666666666663</v>
      </c>
      <c r="K108" s="23">
        <v>42.366666666666667</v>
      </c>
      <c r="L108" s="20"/>
    </row>
    <row r="109" spans="1:12" ht="13.15" x14ac:dyDescent="0.4">
      <c r="A109" s="22" t="s">
        <v>84</v>
      </c>
      <c r="B109" s="23">
        <v>18.033333333333335</v>
      </c>
      <c r="C109" s="23">
        <v>41.4</v>
      </c>
      <c r="D109" s="23">
        <v>56.56666666666667</v>
      </c>
      <c r="E109" s="23">
        <v>72.766666666666666</v>
      </c>
      <c r="F109" s="24">
        <v>52.616666666666667</v>
      </c>
      <c r="G109" s="23">
        <v>75.533333333333331</v>
      </c>
      <c r="H109" s="24">
        <v>52.616666666666667</v>
      </c>
      <c r="I109" s="23">
        <v>48.666666666666664</v>
      </c>
      <c r="J109" s="23">
        <v>56.56666666666667</v>
      </c>
      <c r="K109" s="23">
        <v>33.966666666666669</v>
      </c>
      <c r="L109" s="20"/>
    </row>
    <row r="110" spans="1:12" ht="13.15" x14ac:dyDescent="0.4">
      <c r="A110" s="22" t="s">
        <v>85</v>
      </c>
      <c r="B110" s="23">
        <v>22.266666666666666</v>
      </c>
      <c r="C110" s="23">
        <v>63.8</v>
      </c>
      <c r="D110" s="23">
        <v>47</v>
      </c>
      <c r="E110" s="23">
        <v>60.866666666666667</v>
      </c>
      <c r="F110" s="23">
        <v>56.533333333333331</v>
      </c>
      <c r="G110" s="23">
        <v>64.400000000000006</v>
      </c>
      <c r="H110" s="24">
        <v>45.68888888888889</v>
      </c>
      <c r="I110" s="23">
        <v>45.966666666666669</v>
      </c>
      <c r="J110" s="23">
        <v>34.56666666666667</v>
      </c>
      <c r="K110" s="23">
        <v>48.133333333333333</v>
      </c>
      <c r="L110" s="20"/>
    </row>
    <row r="111" spans="1:12" ht="13.15" x14ac:dyDescent="0.4">
      <c r="A111" s="22" t="s">
        <v>86</v>
      </c>
      <c r="B111" s="23">
        <v>35.733333333333334</v>
      </c>
      <c r="C111" s="23">
        <v>60.3</v>
      </c>
      <c r="D111" s="23">
        <v>78.5</v>
      </c>
      <c r="E111" s="23">
        <v>46.766666666666666</v>
      </c>
      <c r="F111" s="23">
        <v>50.766666666666666</v>
      </c>
      <c r="G111" s="23">
        <v>55.3</v>
      </c>
      <c r="H111" s="24">
        <v>53.81111111111111</v>
      </c>
      <c r="I111" s="23">
        <v>61.1</v>
      </c>
      <c r="J111" s="23">
        <v>49.56666666666667</v>
      </c>
      <c r="K111" s="24">
        <v>62.633333333333333</v>
      </c>
      <c r="L111" s="20"/>
    </row>
    <row r="112" spans="1:12" ht="13.15" x14ac:dyDescent="0.4">
      <c r="A112" s="22" t="s">
        <v>87</v>
      </c>
      <c r="B112" s="23">
        <v>31.6</v>
      </c>
      <c r="C112" s="23">
        <v>39.133333333333333</v>
      </c>
      <c r="D112" s="23">
        <v>66.666666666666671</v>
      </c>
      <c r="E112" s="23">
        <v>64.599999999999994</v>
      </c>
      <c r="F112" s="23">
        <v>42.9</v>
      </c>
      <c r="G112" s="23">
        <v>70.900000000000006</v>
      </c>
      <c r="H112" s="24">
        <v>45.722222222222221</v>
      </c>
      <c r="I112" s="23">
        <v>40.833333333333336</v>
      </c>
      <c r="J112" s="23">
        <v>53.43333333333333</v>
      </c>
      <c r="K112" s="23">
        <v>38.366666666666667</v>
      </c>
      <c r="L112" s="20"/>
    </row>
    <row r="113" spans="1:12" ht="13.15" x14ac:dyDescent="0.4">
      <c r="A113" s="22" t="s">
        <v>88</v>
      </c>
      <c r="B113" s="23">
        <v>31.8</v>
      </c>
      <c r="C113" s="23">
        <v>67.433333333333337</v>
      </c>
      <c r="D113" s="23">
        <v>58.7</v>
      </c>
      <c r="E113" s="23">
        <v>55.3</v>
      </c>
      <c r="F113" s="23">
        <v>47.666666666666664</v>
      </c>
      <c r="G113" s="23">
        <v>75.400000000000006</v>
      </c>
      <c r="H113" s="24">
        <v>47.377777777777773</v>
      </c>
      <c r="I113" s="23">
        <v>41.6</v>
      </c>
      <c r="J113" s="23">
        <v>52.866666666666667</v>
      </c>
      <c r="K113" s="23">
        <v>51.666666666666664</v>
      </c>
      <c r="L113" s="20"/>
    </row>
    <row r="114" spans="1:12" ht="13.15" x14ac:dyDescent="0.4">
      <c r="A114" s="22" t="s">
        <v>89</v>
      </c>
      <c r="B114" s="23">
        <v>27.366666666666667</v>
      </c>
      <c r="C114" s="23">
        <v>51.533333333333331</v>
      </c>
      <c r="D114" s="23">
        <v>68.966666666666669</v>
      </c>
      <c r="E114" s="23">
        <v>61.56666666666667</v>
      </c>
      <c r="F114" s="23">
        <v>62.5</v>
      </c>
      <c r="G114" s="23">
        <v>46.733333333333334</v>
      </c>
      <c r="H114" s="24">
        <v>70.24444444444444</v>
      </c>
      <c r="I114" s="23">
        <v>73.333333333333329</v>
      </c>
      <c r="J114" s="23">
        <v>74.900000000000006</v>
      </c>
      <c r="K114" s="23">
        <v>53.3</v>
      </c>
      <c r="L114" s="20"/>
    </row>
    <row r="115" spans="1:12" ht="13.15" x14ac:dyDescent="0.4">
      <c r="A115" s="22" t="s">
        <v>196</v>
      </c>
      <c r="B115" s="23">
        <v>26.833333333333332</v>
      </c>
      <c r="C115" s="23">
        <v>41.266666666666666</v>
      </c>
      <c r="D115" s="23">
        <v>57.666666666666664</v>
      </c>
      <c r="E115" s="23">
        <v>94.933333333333337</v>
      </c>
      <c r="F115" s="23">
        <v>38.233333333333334</v>
      </c>
      <c r="G115" s="23">
        <v>51.533333333333331</v>
      </c>
      <c r="H115" s="24">
        <v>54.344444444444434</v>
      </c>
      <c r="I115" s="23">
        <v>54.43333333333333</v>
      </c>
      <c r="J115" s="23">
        <v>70.36666666666666</v>
      </c>
      <c r="K115" s="23">
        <v>39.93333333333333</v>
      </c>
      <c r="L115" s="20"/>
    </row>
    <row r="116" spans="1:12" ht="13.15" x14ac:dyDescent="0.4">
      <c r="A116" s="22" t="s">
        <v>90</v>
      </c>
      <c r="B116" s="24">
        <v>62.7</v>
      </c>
      <c r="C116" s="23">
        <v>51.2</v>
      </c>
      <c r="D116" s="23">
        <v>45.733333333333334</v>
      </c>
      <c r="E116" s="23">
        <v>59.266666666666666</v>
      </c>
      <c r="F116" s="23">
        <v>40.766666666666666</v>
      </c>
      <c r="G116" s="23">
        <v>74.2</v>
      </c>
      <c r="H116" s="24">
        <v>45.455555555555556</v>
      </c>
      <c r="I116" s="23">
        <v>59.466666666666669</v>
      </c>
      <c r="J116" s="23">
        <v>36.133333333333333</v>
      </c>
      <c r="K116" s="23">
        <v>51.966666666666669</v>
      </c>
      <c r="L116" s="20"/>
    </row>
    <row r="117" spans="1:12" ht="13.15" x14ac:dyDescent="0.4">
      <c r="A117" s="22" t="s">
        <v>91</v>
      </c>
      <c r="B117" s="24">
        <v>47.833333333333336</v>
      </c>
      <c r="C117" s="24">
        <v>47.833333333333336</v>
      </c>
      <c r="D117" s="23">
        <v>107.86666666666666</v>
      </c>
      <c r="E117" s="23">
        <v>35.666666666666664</v>
      </c>
      <c r="F117" s="23">
        <v>52.266666666666666</v>
      </c>
      <c r="G117" s="23">
        <v>47.833333333333336</v>
      </c>
      <c r="H117" s="23">
        <v>57.7</v>
      </c>
      <c r="I117" s="23">
        <v>36.966666666666669</v>
      </c>
      <c r="J117" s="23">
        <v>63.9</v>
      </c>
      <c r="K117" s="23">
        <v>54</v>
      </c>
      <c r="L117" s="20"/>
    </row>
    <row r="118" spans="1:12" ht="13.15" x14ac:dyDescent="0.4">
      <c r="A118" s="22" t="s">
        <v>92</v>
      </c>
      <c r="B118" s="24">
        <v>71.75</v>
      </c>
      <c r="C118" s="23">
        <v>69.7</v>
      </c>
      <c r="D118" s="23">
        <v>58.266666666666666</v>
      </c>
      <c r="E118" s="23">
        <v>33.766666666666666</v>
      </c>
      <c r="F118" s="23">
        <v>73.033333333333331</v>
      </c>
      <c r="G118" s="23">
        <v>73.8</v>
      </c>
      <c r="H118" s="23">
        <v>48.466666666666669</v>
      </c>
      <c r="I118" s="23">
        <v>51.43333333333333</v>
      </c>
      <c r="J118" s="23">
        <v>45</v>
      </c>
      <c r="K118" s="23">
        <v>47.7</v>
      </c>
      <c r="L118" s="20"/>
    </row>
    <row r="119" spans="1:12" ht="13.15" x14ac:dyDescent="0.4">
      <c r="A119" s="22" t="s">
        <v>93</v>
      </c>
      <c r="B119" s="24">
        <v>43.866666666666667</v>
      </c>
      <c r="C119" s="24">
        <v>43.866666666666667</v>
      </c>
      <c r="D119" s="23">
        <v>40.266666666666666</v>
      </c>
      <c r="E119" s="23">
        <v>50.666666666666664</v>
      </c>
      <c r="F119" s="23">
        <v>39.56666666666667</v>
      </c>
      <c r="G119" s="23">
        <v>43.866666666666667</v>
      </c>
      <c r="H119" s="23">
        <v>43.56666666666667</v>
      </c>
      <c r="I119" s="23">
        <v>77.5</v>
      </c>
      <c r="J119" s="23">
        <v>70.433333333333337</v>
      </c>
      <c r="K119" s="23">
        <v>63.233333333333334</v>
      </c>
      <c r="L119" s="20"/>
    </row>
    <row r="120" spans="1:12" ht="17.649999999999999" x14ac:dyDescent="0.5">
      <c r="A120" s="22" t="s">
        <v>94</v>
      </c>
      <c r="B120" s="38">
        <v>58.699999999999996</v>
      </c>
      <c r="C120" s="38">
        <v>58.699999999999996</v>
      </c>
      <c r="D120" s="23">
        <v>61.1</v>
      </c>
      <c r="E120" s="23">
        <v>73.066666666666663</v>
      </c>
      <c r="F120" s="23">
        <v>59.666666666666664</v>
      </c>
      <c r="G120" s="23">
        <v>94.2</v>
      </c>
      <c r="H120" s="38">
        <v>58.699999999999996</v>
      </c>
      <c r="I120" s="23">
        <v>35.166666666666664</v>
      </c>
      <c r="J120" s="23">
        <v>44.9</v>
      </c>
      <c r="K120" s="23">
        <v>42.8</v>
      </c>
      <c r="L120" s="20"/>
    </row>
    <row r="121" spans="1:12" ht="13.15" x14ac:dyDescent="0.4">
      <c r="A121" s="22" t="s">
        <v>95</v>
      </c>
      <c r="B121" s="24">
        <v>54.3</v>
      </c>
      <c r="C121" s="24">
        <v>54.3</v>
      </c>
      <c r="D121" s="23">
        <v>56.466666666666669</v>
      </c>
      <c r="E121" s="23">
        <v>76.766666666666666</v>
      </c>
      <c r="F121" s="23">
        <v>47.56666666666667</v>
      </c>
      <c r="G121" s="23">
        <v>54.3</v>
      </c>
      <c r="H121" s="23">
        <v>75.433333333333337</v>
      </c>
      <c r="I121" s="23">
        <v>63.56666666666667</v>
      </c>
      <c r="J121" s="23">
        <v>89.13333333333334</v>
      </c>
      <c r="K121" s="23">
        <v>42.43333333333333</v>
      </c>
      <c r="L121" s="20"/>
    </row>
    <row r="122" spans="1:12" x14ac:dyDescent="0.35">
      <c r="A122" s="22" t="s">
        <v>96</v>
      </c>
      <c r="B122" s="23">
        <v>19</v>
      </c>
      <c r="C122" s="23">
        <v>44</v>
      </c>
      <c r="D122" s="23">
        <v>50.133333333333333</v>
      </c>
      <c r="E122" s="23">
        <v>62.266666666666666</v>
      </c>
      <c r="F122" s="23">
        <v>51.733333333333334</v>
      </c>
      <c r="G122" s="23">
        <v>63.166666666666664</v>
      </c>
      <c r="H122" s="23">
        <v>53.133333333333333</v>
      </c>
      <c r="I122" s="23">
        <v>64.333333333333329</v>
      </c>
      <c r="J122" s="23">
        <v>62.466666666666669</v>
      </c>
      <c r="K122" s="23">
        <v>38.6</v>
      </c>
      <c r="L122" s="20"/>
    </row>
    <row r="123" spans="1:12" ht="13.15" x14ac:dyDescent="0.4">
      <c r="A123" s="22" t="s">
        <v>97</v>
      </c>
      <c r="B123" s="23">
        <v>23.133333333333333</v>
      </c>
      <c r="C123" s="23">
        <v>58.833333333333336</v>
      </c>
      <c r="D123" s="23">
        <v>56.266666666666666</v>
      </c>
      <c r="E123" s="24">
        <v>48.683333333333337</v>
      </c>
      <c r="F123" s="23">
        <v>72.5</v>
      </c>
      <c r="G123" s="24">
        <v>40.983333333333334</v>
      </c>
      <c r="H123" s="23">
        <v>63.966666666666669</v>
      </c>
      <c r="I123" s="23">
        <v>70.099999999999994</v>
      </c>
      <c r="J123" s="23">
        <v>26.433333333333334</v>
      </c>
      <c r="K123" s="23">
        <v>41.1</v>
      </c>
      <c r="L123" s="20"/>
    </row>
    <row r="124" spans="1:12" ht="13.15" x14ac:dyDescent="0.4">
      <c r="A124" s="22" t="s">
        <v>98</v>
      </c>
      <c r="B124" s="23">
        <v>18</v>
      </c>
      <c r="C124" s="24">
        <v>32.066666666666663</v>
      </c>
      <c r="D124" s="23">
        <v>73.766666666666666</v>
      </c>
      <c r="E124" s="23">
        <v>52.9</v>
      </c>
      <c r="F124" s="23">
        <v>48.666666666666664</v>
      </c>
      <c r="G124" s="23">
        <v>46.133333333333333</v>
      </c>
      <c r="H124" s="23">
        <v>76.266666666666666</v>
      </c>
      <c r="I124" s="23">
        <v>54.333333333333336</v>
      </c>
      <c r="J124" s="23">
        <v>52.766666666666666</v>
      </c>
      <c r="K124" s="23">
        <v>53.233333333333334</v>
      </c>
      <c r="L124" s="20"/>
    </row>
    <row r="125" spans="1:12" ht="13.15" x14ac:dyDescent="0.4">
      <c r="A125" s="22" t="s">
        <v>184</v>
      </c>
      <c r="B125" s="23">
        <v>31.733333333333334</v>
      </c>
      <c r="C125" s="24">
        <v>52.45</v>
      </c>
      <c r="D125" s="23">
        <v>46.533333333333331</v>
      </c>
      <c r="E125" s="23">
        <v>67.599999999999994</v>
      </c>
      <c r="F125" s="23">
        <v>52.166666666666664</v>
      </c>
      <c r="G125" s="23">
        <v>73.166666666666671</v>
      </c>
      <c r="H125" s="23">
        <v>42.6</v>
      </c>
      <c r="I125" s="23">
        <v>79.066666666666663</v>
      </c>
      <c r="J125" s="24">
        <v>57.944444444444436</v>
      </c>
      <c r="K125" s="23">
        <v>45</v>
      </c>
      <c r="L125" s="20"/>
    </row>
    <row r="126" spans="1:12" ht="13.15" x14ac:dyDescent="0.4">
      <c r="A126" s="22" t="s">
        <v>99</v>
      </c>
      <c r="B126" s="24">
        <v>61.56666666666667</v>
      </c>
      <c r="C126" s="24">
        <v>61.56666666666667</v>
      </c>
      <c r="D126" s="23">
        <v>43.733333333333334</v>
      </c>
      <c r="E126" s="23">
        <v>61.166666666666664</v>
      </c>
      <c r="F126" s="23">
        <v>38.1</v>
      </c>
      <c r="G126" s="23">
        <v>61.56666666666667</v>
      </c>
      <c r="H126" s="23">
        <v>62.533333333333331</v>
      </c>
      <c r="I126" s="24">
        <v>65.233333333333334</v>
      </c>
      <c r="J126" s="23">
        <v>95.066666666666663</v>
      </c>
      <c r="K126" s="23">
        <v>42.6</v>
      </c>
      <c r="L126" s="20"/>
    </row>
    <row r="127" spans="1:12" ht="13.15" x14ac:dyDescent="0.4">
      <c r="A127" s="22" t="s">
        <v>100</v>
      </c>
      <c r="B127" s="24">
        <v>37.266666666666666</v>
      </c>
      <c r="C127" s="24">
        <v>37.266666666666666</v>
      </c>
      <c r="D127" s="23">
        <v>44.366666666666667</v>
      </c>
      <c r="E127" s="23">
        <v>60.5</v>
      </c>
      <c r="F127" s="23">
        <v>44.333333333333336</v>
      </c>
      <c r="G127" s="23">
        <v>37.266666666666666</v>
      </c>
      <c r="H127" s="24">
        <v>44.333333333333336</v>
      </c>
      <c r="I127" s="24">
        <v>44.333333333333336</v>
      </c>
      <c r="J127" s="24">
        <v>67.033333333333331</v>
      </c>
      <c r="K127" s="23">
        <v>40.633333333333333</v>
      </c>
      <c r="L127" s="20"/>
    </row>
    <row r="128" spans="1:12" ht="13.15" x14ac:dyDescent="0.4">
      <c r="A128" s="22" t="s">
        <v>101</v>
      </c>
      <c r="B128" s="23">
        <v>24</v>
      </c>
      <c r="C128" s="24">
        <v>37.75</v>
      </c>
      <c r="D128" s="23">
        <v>41.7</v>
      </c>
      <c r="E128" s="23">
        <v>55.43333333333333</v>
      </c>
      <c r="F128" s="23">
        <v>41</v>
      </c>
      <c r="G128" s="23">
        <v>51.5</v>
      </c>
      <c r="H128" s="24">
        <v>52.55</v>
      </c>
      <c r="I128" s="24">
        <v>52.54999999999999</v>
      </c>
      <c r="J128" s="23">
        <v>64.099999999999994</v>
      </c>
      <c r="K128" s="23">
        <v>43.2</v>
      </c>
      <c r="L128" s="20"/>
    </row>
    <row r="129" spans="1:12" ht="13.15" x14ac:dyDescent="0.4">
      <c r="A129" s="22" t="s">
        <v>185</v>
      </c>
      <c r="B129" s="24">
        <v>69.383333333333326</v>
      </c>
      <c r="C129" s="23">
        <v>59.233333333333334</v>
      </c>
      <c r="D129" s="23">
        <v>68.63333333333334</v>
      </c>
      <c r="E129" s="23">
        <v>65.2</v>
      </c>
      <c r="F129" s="23">
        <v>81.36666666666666</v>
      </c>
      <c r="G129" s="23">
        <v>79.533333333333331</v>
      </c>
      <c r="H129" s="24">
        <v>73.899999999999991</v>
      </c>
      <c r="I129" s="23">
        <v>68.36666666666666</v>
      </c>
      <c r="J129" s="23">
        <v>71.966666666666669</v>
      </c>
      <c r="K129" s="23">
        <v>42.966666666666669</v>
      </c>
      <c r="L129" s="20"/>
    </row>
    <row r="130" spans="1:12" ht="13.15" x14ac:dyDescent="0.4">
      <c r="A130" s="22" t="s">
        <v>102</v>
      </c>
      <c r="B130" s="24">
        <v>65.7</v>
      </c>
      <c r="C130" s="23">
        <v>79.13333333333334</v>
      </c>
      <c r="D130" s="23">
        <v>47.43333333333333</v>
      </c>
      <c r="E130" s="23">
        <v>54.133333333333333</v>
      </c>
      <c r="F130" s="23">
        <v>72.733333333333334</v>
      </c>
      <c r="G130" s="23">
        <v>52.266666666666666</v>
      </c>
      <c r="H130" s="24">
        <v>69.37777777777778</v>
      </c>
      <c r="I130" s="23">
        <v>57.43333333333333</v>
      </c>
      <c r="J130" s="23">
        <v>77.966666666666669</v>
      </c>
      <c r="K130" s="23">
        <v>46.8</v>
      </c>
      <c r="L130" s="20"/>
    </row>
    <row r="131" spans="1:12" ht="13.15" x14ac:dyDescent="0.4">
      <c r="A131" s="22" t="s">
        <v>103</v>
      </c>
      <c r="B131" s="24">
        <v>44.416666666666664</v>
      </c>
      <c r="C131" s="23">
        <v>38.4</v>
      </c>
      <c r="D131" s="23">
        <v>54.2</v>
      </c>
      <c r="E131" s="23">
        <v>60.166666666666664</v>
      </c>
      <c r="F131" s="23">
        <v>29.766666666666666</v>
      </c>
      <c r="G131" s="23">
        <v>50.43333333333333</v>
      </c>
      <c r="H131" s="24">
        <v>57.816666666666663</v>
      </c>
      <c r="I131" s="24">
        <v>57.816666666666663</v>
      </c>
      <c r="J131" s="23">
        <v>85.86666666666666</v>
      </c>
      <c r="K131" s="23">
        <v>49.266666666666666</v>
      </c>
      <c r="L131" s="20"/>
    </row>
    <row r="132" spans="1:12" ht="13.15" x14ac:dyDescent="0.4">
      <c r="A132" s="22" t="s">
        <v>186</v>
      </c>
      <c r="B132" s="24">
        <v>62.833333333333336</v>
      </c>
      <c r="C132" s="23">
        <v>75.63333333333334</v>
      </c>
      <c r="D132" s="23">
        <v>40.799999999999997</v>
      </c>
      <c r="E132" s="23">
        <v>61.9</v>
      </c>
      <c r="F132" s="23">
        <v>61</v>
      </c>
      <c r="G132" s="23">
        <v>50.033333333333331</v>
      </c>
      <c r="H132" s="24">
        <v>50.922222222222217</v>
      </c>
      <c r="I132" s="23">
        <v>51.133333333333333</v>
      </c>
      <c r="J132" s="23">
        <v>40.633333333333333</v>
      </c>
      <c r="K132" s="23">
        <v>40.5</v>
      </c>
      <c r="L132" s="20"/>
    </row>
    <row r="133" spans="1:12" ht="13.15" x14ac:dyDescent="0.4">
      <c r="A133" s="22" t="s">
        <v>104</v>
      </c>
      <c r="B133" s="24">
        <v>58.033333333333331</v>
      </c>
      <c r="C133" s="23">
        <v>62.033333333333331</v>
      </c>
      <c r="D133" s="24">
        <v>46.066666666666663</v>
      </c>
      <c r="E133" s="23">
        <v>47.93333333333333</v>
      </c>
      <c r="F133" s="23">
        <v>44.266666666666666</v>
      </c>
      <c r="G133" s="23">
        <v>54.033333333333331</v>
      </c>
      <c r="H133" s="24">
        <v>42.25555555555556</v>
      </c>
      <c r="I133" s="23">
        <v>42.166666666666664</v>
      </c>
      <c r="J133" s="23">
        <v>40.333333333333336</v>
      </c>
      <c r="K133" s="23">
        <v>44.2</v>
      </c>
      <c r="L133" s="20"/>
    </row>
    <row r="134" spans="1:12" ht="13.15" x14ac:dyDescent="0.4">
      <c r="A134" s="22" t="s">
        <v>187</v>
      </c>
      <c r="B134" s="23">
        <v>58.4</v>
      </c>
      <c r="C134" s="23">
        <v>74.7</v>
      </c>
      <c r="D134" s="23">
        <v>68.8</v>
      </c>
      <c r="E134" s="23">
        <v>81.3</v>
      </c>
      <c r="F134" s="23">
        <v>38.633333333333333</v>
      </c>
      <c r="G134" s="23">
        <v>67.13333333333334</v>
      </c>
      <c r="H134" s="24">
        <v>49.355555555555554</v>
      </c>
      <c r="I134" s="23">
        <v>39.1</v>
      </c>
      <c r="J134" s="23">
        <v>70.333333333333329</v>
      </c>
      <c r="K134" s="24">
        <v>75.05</v>
      </c>
      <c r="L134" s="20"/>
    </row>
    <row r="135" spans="1:12" ht="13.15" x14ac:dyDescent="0.4">
      <c r="A135" s="22" t="s">
        <v>160</v>
      </c>
      <c r="B135" s="24">
        <v>53.716666666666669</v>
      </c>
      <c r="C135" s="23">
        <v>43.666666666666664</v>
      </c>
      <c r="D135" s="24">
        <v>67.766666666666666</v>
      </c>
      <c r="E135" s="23">
        <v>67.766666666666666</v>
      </c>
      <c r="F135" s="23">
        <v>42.866666666666667</v>
      </c>
      <c r="G135" s="23">
        <v>63.766666666666666</v>
      </c>
      <c r="H135" s="24">
        <v>54.711111111111109</v>
      </c>
      <c r="I135" s="23">
        <v>67.86666666666666</v>
      </c>
      <c r="J135" s="23">
        <v>53.4</v>
      </c>
      <c r="K135" s="24">
        <v>67.766666666666666</v>
      </c>
      <c r="L135" s="20"/>
    </row>
    <row r="136" spans="1:12" ht="13.15" x14ac:dyDescent="0.4">
      <c r="A136" s="22" t="s">
        <v>105</v>
      </c>
      <c r="B136" s="24">
        <v>65.633333333333326</v>
      </c>
      <c r="C136" s="23">
        <v>54.233333333333334</v>
      </c>
      <c r="D136" s="23">
        <v>44.466666666666669</v>
      </c>
      <c r="E136" s="23">
        <v>39.333333333333336</v>
      </c>
      <c r="F136" s="23">
        <v>45.133333333333333</v>
      </c>
      <c r="G136" s="23">
        <v>77.033333333333331</v>
      </c>
      <c r="H136" s="24">
        <v>55.233333333333341</v>
      </c>
      <c r="I136" s="23">
        <v>66.733333333333334</v>
      </c>
      <c r="J136" s="23">
        <v>53.833333333333336</v>
      </c>
      <c r="K136" s="24">
        <v>41.900000000000006</v>
      </c>
      <c r="L136" s="20"/>
    </row>
    <row r="137" spans="1:12" ht="13.15" x14ac:dyDescent="0.4">
      <c r="A137" s="22" t="s">
        <v>106</v>
      </c>
      <c r="B137" s="24">
        <v>55.866666666666667</v>
      </c>
      <c r="C137" s="23">
        <v>70.933333333333337</v>
      </c>
      <c r="D137" s="23">
        <v>35.366666666666667</v>
      </c>
      <c r="E137" s="23">
        <v>36.166666666666664</v>
      </c>
      <c r="F137" s="23">
        <v>43.4</v>
      </c>
      <c r="G137" s="23">
        <v>40.799999999999997</v>
      </c>
      <c r="H137" s="24">
        <v>50.699999999999996</v>
      </c>
      <c r="I137" s="23">
        <v>54.06666666666667</v>
      </c>
      <c r="J137" s="23">
        <v>54.633333333333333</v>
      </c>
      <c r="K137" s="23">
        <v>47.06666666666667</v>
      </c>
      <c r="L137" s="20"/>
    </row>
    <row r="138" spans="1:12" ht="13.15" x14ac:dyDescent="0.4">
      <c r="A138" s="22" t="s">
        <v>188</v>
      </c>
      <c r="B138" s="24">
        <v>44.150000000000006</v>
      </c>
      <c r="C138" s="23">
        <v>45.233333333333334</v>
      </c>
      <c r="D138" s="23">
        <v>50.133333333333333</v>
      </c>
      <c r="E138" s="23">
        <v>51.633333333333333</v>
      </c>
      <c r="F138" s="23">
        <v>43.966666666666669</v>
      </c>
      <c r="G138" s="23">
        <v>43.06666666666667</v>
      </c>
      <c r="H138" s="24">
        <v>41.255555555555553</v>
      </c>
      <c r="I138" s="23">
        <v>51.466666666666669</v>
      </c>
      <c r="J138" s="23">
        <v>28.333333333333332</v>
      </c>
      <c r="K138" s="23">
        <v>51.666666666666664</v>
      </c>
      <c r="L138" s="20"/>
    </row>
    <row r="139" spans="1:12" ht="13.15" x14ac:dyDescent="0.4">
      <c r="A139" s="22" t="s">
        <v>107</v>
      </c>
      <c r="B139" s="24">
        <v>57.966666666666669</v>
      </c>
      <c r="C139" s="23">
        <v>65.666666666666671</v>
      </c>
      <c r="D139" s="23">
        <v>46.9</v>
      </c>
      <c r="E139" s="23">
        <v>55.43333333333333</v>
      </c>
      <c r="F139" s="23">
        <v>46.233333333333334</v>
      </c>
      <c r="G139" s="23">
        <v>50.266666666666666</v>
      </c>
      <c r="H139" s="24">
        <v>57.788888888888891</v>
      </c>
      <c r="I139" s="23">
        <v>47.166666666666664</v>
      </c>
      <c r="J139" s="23">
        <v>79.966666666666669</v>
      </c>
      <c r="K139" s="23">
        <v>40.833333333333336</v>
      </c>
      <c r="L139" s="20"/>
    </row>
    <row r="140" spans="1:12" ht="13.15" x14ac:dyDescent="0.4">
      <c r="A140" s="22" t="s">
        <v>108</v>
      </c>
      <c r="B140" s="24">
        <v>71.849999999999994</v>
      </c>
      <c r="C140" s="23">
        <v>65.066666666666663</v>
      </c>
      <c r="D140" s="23">
        <v>67</v>
      </c>
      <c r="E140" s="23">
        <v>55.6</v>
      </c>
      <c r="F140" s="23">
        <v>38.43333333333333</v>
      </c>
      <c r="G140" s="23">
        <v>78.63333333333334</v>
      </c>
      <c r="H140" s="24">
        <v>53.800000000000004</v>
      </c>
      <c r="I140" s="23">
        <v>72.533333333333331</v>
      </c>
      <c r="J140" s="23">
        <v>50.43333333333333</v>
      </c>
      <c r="K140" s="23">
        <v>39.533333333333331</v>
      </c>
      <c r="L140" s="20"/>
    </row>
    <row r="141" spans="1:12" ht="13.15" x14ac:dyDescent="0.4">
      <c r="A141" s="22" t="s">
        <v>109</v>
      </c>
      <c r="B141" s="24">
        <v>55.43333333333333</v>
      </c>
      <c r="C141" s="23">
        <v>55.43333333333333</v>
      </c>
      <c r="D141" s="23">
        <v>42.7</v>
      </c>
      <c r="E141" s="23">
        <v>54.9</v>
      </c>
      <c r="F141" s="23">
        <v>77.166666666666671</v>
      </c>
      <c r="G141" s="24">
        <v>55.43333333333333</v>
      </c>
      <c r="H141" s="24">
        <v>57.355555555555554</v>
      </c>
      <c r="I141" s="23">
        <v>52.43333333333333</v>
      </c>
      <c r="J141" s="23">
        <v>42.466666666666669</v>
      </c>
      <c r="K141" s="23">
        <v>53.93333333333333</v>
      </c>
      <c r="L141" s="20"/>
    </row>
    <row r="142" spans="1:12" ht="13.15" x14ac:dyDescent="0.4">
      <c r="A142" s="22" t="s">
        <v>189</v>
      </c>
      <c r="B142" s="24">
        <v>51.45</v>
      </c>
      <c r="C142" s="23">
        <v>46.6</v>
      </c>
      <c r="D142" s="23">
        <v>32.5</v>
      </c>
      <c r="E142" s="23">
        <v>40.466666666666669</v>
      </c>
      <c r="F142" s="23">
        <v>57.366666666666667</v>
      </c>
      <c r="G142" s="23">
        <v>56.3</v>
      </c>
      <c r="H142" s="24">
        <v>65.577777777777783</v>
      </c>
      <c r="I142" s="23">
        <v>74.099999999999994</v>
      </c>
      <c r="J142" s="23">
        <v>65.266666666666666</v>
      </c>
      <c r="K142" s="23">
        <v>40.333333333333336</v>
      </c>
      <c r="L142" s="20"/>
    </row>
    <row r="143" spans="1:12" ht="13.15" x14ac:dyDescent="0.4">
      <c r="A143" s="22" t="s">
        <v>110</v>
      </c>
      <c r="B143" s="24">
        <v>48.933333333333337</v>
      </c>
      <c r="C143" s="23">
        <v>50.833333333333336</v>
      </c>
      <c r="D143" s="23">
        <v>41.5</v>
      </c>
      <c r="E143" s="23">
        <v>60.233333333333334</v>
      </c>
      <c r="F143" s="23">
        <v>80.2</v>
      </c>
      <c r="G143" s="23">
        <v>47.033333333333331</v>
      </c>
      <c r="H143" s="24">
        <v>88.022222222222226</v>
      </c>
      <c r="I143" s="23">
        <v>82.1</v>
      </c>
      <c r="J143" s="23">
        <v>101.76666666666667</v>
      </c>
      <c r="K143" s="23">
        <v>62.266666666666666</v>
      </c>
      <c r="L143" s="20"/>
    </row>
    <row r="144" spans="1:12" ht="13.15" x14ac:dyDescent="0.4">
      <c r="A144" s="22" t="s">
        <v>111</v>
      </c>
      <c r="B144" s="24">
        <v>64.366666666666674</v>
      </c>
      <c r="C144" s="23">
        <v>69.2</v>
      </c>
      <c r="D144" s="23">
        <v>67.533333333333331</v>
      </c>
      <c r="E144" s="23">
        <v>77.3</v>
      </c>
      <c r="F144" s="23">
        <v>49.4</v>
      </c>
      <c r="G144" s="23">
        <v>59.533333333333331</v>
      </c>
      <c r="H144" s="24">
        <v>48.733333333333327</v>
      </c>
      <c r="I144" s="23">
        <v>50.366666666666667</v>
      </c>
      <c r="J144" s="23">
        <v>46.43333333333333</v>
      </c>
      <c r="K144" s="23">
        <v>39.6</v>
      </c>
      <c r="L144" s="20"/>
    </row>
    <row r="145" spans="1:12" ht="13.15" x14ac:dyDescent="0.4">
      <c r="A145" s="22" t="s">
        <v>112</v>
      </c>
      <c r="B145" s="24">
        <v>57.704761904761909</v>
      </c>
      <c r="C145" s="24">
        <v>55.735714285714288</v>
      </c>
      <c r="D145" s="23">
        <v>56.833333333333336</v>
      </c>
      <c r="E145" s="23">
        <v>78.566666666666663</v>
      </c>
      <c r="F145" s="23">
        <v>52.06666666666667</v>
      </c>
      <c r="G145" s="23">
        <v>53.766666666666666</v>
      </c>
      <c r="H145" s="24">
        <v>63.388888888888893</v>
      </c>
      <c r="I145" s="23">
        <v>72.966666666666669</v>
      </c>
      <c r="J145" s="23">
        <v>65.13333333333334</v>
      </c>
      <c r="K145" s="23">
        <v>52.166666666666664</v>
      </c>
      <c r="L145" s="20"/>
    </row>
    <row r="146" spans="1:12" ht="13.15" x14ac:dyDescent="0.4">
      <c r="A146" s="22" t="s">
        <v>113</v>
      </c>
      <c r="B146" s="24">
        <v>75.347619047619048</v>
      </c>
      <c r="C146" s="24">
        <v>79.923809523809524</v>
      </c>
      <c r="D146" s="23">
        <v>62.033333333333331</v>
      </c>
      <c r="E146" s="23">
        <v>47.633333333333333</v>
      </c>
      <c r="F146" s="23">
        <v>72.733333333333334</v>
      </c>
      <c r="G146" s="23">
        <v>84.5</v>
      </c>
      <c r="H146" s="24">
        <v>73.2</v>
      </c>
      <c r="I146" s="23">
        <v>62.333333333333336</v>
      </c>
      <c r="J146" s="23">
        <v>84.533333333333331</v>
      </c>
      <c r="K146" s="23">
        <v>49.6</v>
      </c>
      <c r="L146" s="20"/>
    </row>
    <row r="147" spans="1:12" ht="13.15" x14ac:dyDescent="0.4">
      <c r="A147" s="22" t="s">
        <v>114</v>
      </c>
      <c r="B147" s="24">
        <v>59.766666666666666</v>
      </c>
      <c r="C147" s="23">
        <v>67.566666666666663</v>
      </c>
      <c r="D147" s="23">
        <v>57.3</v>
      </c>
      <c r="E147" s="23">
        <v>72.400000000000006</v>
      </c>
      <c r="F147" s="23">
        <v>49.766666666666666</v>
      </c>
      <c r="G147" s="23">
        <v>51.966666666666669</v>
      </c>
      <c r="H147" s="24">
        <v>44.199999999999996</v>
      </c>
      <c r="I147" s="23">
        <v>44.666666666666664</v>
      </c>
      <c r="J147" s="23">
        <v>38.166666666666664</v>
      </c>
      <c r="K147" s="23">
        <v>39.93333333333333</v>
      </c>
      <c r="L147" s="20"/>
    </row>
    <row r="148" spans="1:12" ht="13.15" x14ac:dyDescent="0.4">
      <c r="A148" s="22" t="s">
        <v>115</v>
      </c>
      <c r="B148" s="24">
        <v>57.844444444444449</v>
      </c>
      <c r="C148" s="24">
        <v>59.105555555555554</v>
      </c>
      <c r="D148" s="23">
        <v>53.93333333333333</v>
      </c>
      <c r="E148" s="23">
        <v>63.43333333333333</v>
      </c>
      <c r="F148" s="24">
        <v>56.74074074074074</v>
      </c>
      <c r="G148" s="23">
        <v>60.366666666666667</v>
      </c>
      <c r="H148" s="24">
        <v>57.21358024691358</v>
      </c>
      <c r="I148" s="23">
        <v>48.1</v>
      </c>
      <c r="J148" s="23">
        <v>66.8</v>
      </c>
      <c r="K148" s="23">
        <v>39.299999999999997</v>
      </c>
      <c r="L148" s="20"/>
    </row>
    <row r="149" spans="1:12" ht="13.15" x14ac:dyDescent="0.4">
      <c r="A149" s="22" t="s">
        <v>190</v>
      </c>
      <c r="B149" s="24">
        <v>56.391666666666666</v>
      </c>
      <c r="C149" s="24">
        <v>57.912499999999994</v>
      </c>
      <c r="D149" s="23">
        <v>64.099999999999994</v>
      </c>
      <c r="E149" s="23">
        <v>41.3</v>
      </c>
      <c r="F149" s="23">
        <v>51.3</v>
      </c>
      <c r="G149" s="23">
        <v>59.43333333333333</v>
      </c>
      <c r="H149" s="24">
        <v>53.316666666666663</v>
      </c>
      <c r="I149" s="23">
        <v>55.333333333333336</v>
      </c>
      <c r="J149" s="24">
        <v>53.316666666666663</v>
      </c>
      <c r="K149" s="23">
        <v>48.633333333333333</v>
      </c>
      <c r="L149" s="20"/>
    </row>
    <row r="150" spans="1:12" ht="13.15" x14ac:dyDescent="0.4">
      <c r="A150" s="22" t="s">
        <v>116</v>
      </c>
      <c r="B150" s="24">
        <v>45.438095238095244</v>
      </c>
      <c r="C150" s="24">
        <v>41.635714285714286</v>
      </c>
      <c r="D150" s="23">
        <v>56.2</v>
      </c>
      <c r="E150" s="23">
        <v>37.56666666666667</v>
      </c>
      <c r="F150" s="23">
        <v>53.133333333333333</v>
      </c>
      <c r="G150" s="23">
        <v>37.833333333333336</v>
      </c>
      <c r="H150" s="24">
        <v>65.411111111111111</v>
      </c>
      <c r="I150" s="23">
        <v>72.733333333333334</v>
      </c>
      <c r="J150" s="23">
        <v>70.36666666666666</v>
      </c>
      <c r="K150" s="23">
        <v>43.466666666666669</v>
      </c>
      <c r="L150" s="20"/>
    </row>
    <row r="151" spans="1:12" ht="13.15" x14ac:dyDescent="0.4">
      <c r="A151" s="22" t="s">
        <v>197</v>
      </c>
      <c r="B151" s="24">
        <v>51.719444444444441</v>
      </c>
      <c r="C151" s="24">
        <v>49.659722222222221</v>
      </c>
      <c r="D151" s="23">
        <v>75.066666666666663</v>
      </c>
      <c r="E151" s="23">
        <v>59.4</v>
      </c>
      <c r="F151" s="23">
        <v>74.099999999999994</v>
      </c>
      <c r="G151" s="23">
        <v>47.6</v>
      </c>
      <c r="H151" s="24">
        <v>51.75</v>
      </c>
      <c r="I151" s="23">
        <v>29.4</v>
      </c>
      <c r="J151" s="24">
        <v>51.75</v>
      </c>
      <c r="K151" s="23">
        <v>49.466666666666669</v>
      </c>
      <c r="L151" s="20"/>
    </row>
    <row r="152" spans="1:12" ht="13.15" x14ac:dyDescent="0.4">
      <c r="A152" s="22" t="s">
        <v>117</v>
      </c>
      <c r="B152" s="24">
        <v>62.38095238095238</v>
      </c>
      <c r="C152" s="24">
        <v>64.590476190476181</v>
      </c>
      <c r="D152" s="23">
        <v>46.866666666666667</v>
      </c>
      <c r="E152" s="23">
        <v>43.06666666666667</v>
      </c>
      <c r="F152" s="23">
        <v>72.966666666666669</v>
      </c>
      <c r="G152" s="23">
        <v>66.8</v>
      </c>
      <c r="H152" s="24">
        <v>69.566666666666677</v>
      </c>
      <c r="I152" s="23">
        <v>55.7</v>
      </c>
      <c r="J152" s="23">
        <v>80.033333333333331</v>
      </c>
      <c r="K152" s="23">
        <v>40.299999999999997</v>
      </c>
      <c r="L152" s="20"/>
    </row>
    <row r="153" spans="1:12" ht="13.15" x14ac:dyDescent="0.4">
      <c r="A153" s="22" t="s">
        <v>198</v>
      </c>
      <c r="B153" s="24">
        <v>55.916666666666671</v>
      </c>
      <c r="C153" s="24">
        <v>57.325000000000003</v>
      </c>
      <c r="D153" s="23">
        <v>43.93333333333333</v>
      </c>
      <c r="E153" s="23">
        <v>57.6</v>
      </c>
      <c r="F153" s="23">
        <v>39.366666666666667</v>
      </c>
      <c r="G153" s="23">
        <v>58.733333333333334</v>
      </c>
      <c r="H153" s="24">
        <v>51.388888888888886</v>
      </c>
      <c r="I153" s="23">
        <v>60.233333333333334</v>
      </c>
      <c r="J153" s="23">
        <v>54.56666666666667</v>
      </c>
      <c r="K153" s="23">
        <v>57.266666666666666</v>
      </c>
      <c r="L153" s="20"/>
    </row>
    <row r="154" spans="1:12" ht="13.15" x14ac:dyDescent="0.4">
      <c r="A154" s="22" t="s">
        <v>118</v>
      </c>
      <c r="B154" s="24">
        <v>48.145238095238099</v>
      </c>
      <c r="C154" s="24">
        <v>43.422619047619051</v>
      </c>
      <c r="D154" s="23">
        <v>58.4</v>
      </c>
      <c r="E154" s="23">
        <v>81.233333333333334</v>
      </c>
      <c r="F154" s="23">
        <v>70.400000000000006</v>
      </c>
      <c r="G154" s="23">
        <v>38.700000000000003</v>
      </c>
      <c r="H154" s="24">
        <v>58.988888888888887</v>
      </c>
      <c r="I154" s="23">
        <v>50.2</v>
      </c>
      <c r="J154" s="23">
        <v>56.366666666666667</v>
      </c>
      <c r="K154" s="23">
        <v>47.833333333333336</v>
      </c>
      <c r="L154" s="20"/>
    </row>
    <row r="155" spans="1:12" ht="13.15" x14ac:dyDescent="0.4">
      <c r="A155" s="22" t="s">
        <v>119</v>
      </c>
      <c r="B155" s="24">
        <v>54.552380952380958</v>
      </c>
      <c r="C155" s="24">
        <v>51.659523809523812</v>
      </c>
      <c r="D155" s="23">
        <v>84.1</v>
      </c>
      <c r="E155" s="23">
        <v>42.5</v>
      </c>
      <c r="F155" s="23">
        <v>59.266666666666666</v>
      </c>
      <c r="G155" s="23">
        <v>48.766666666666666</v>
      </c>
      <c r="H155" s="24">
        <v>64.8</v>
      </c>
      <c r="I155" s="23">
        <v>63</v>
      </c>
      <c r="J155" s="23">
        <v>72.13333333333334</v>
      </c>
      <c r="K155" s="23">
        <v>52.6</v>
      </c>
      <c r="L155" s="20"/>
    </row>
    <row r="156" spans="1:12" ht="13.15" x14ac:dyDescent="0.4">
      <c r="A156" s="22" t="s">
        <v>191</v>
      </c>
      <c r="B156" s="24">
        <v>51.56111111111111</v>
      </c>
      <c r="C156" s="24">
        <v>51.56111111111111</v>
      </c>
      <c r="D156" s="23">
        <v>42.6</v>
      </c>
      <c r="E156" s="23">
        <v>66.599999999999994</v>
      </c>
      <c r="F156" s="23">
        <v>57.5</v>
      </c>
      <c r="G156" s="24">
        <v>51.56111111111111</v>
      </c>
      <c r="H156" s="24">
        <v>52.833333333333336</v>
      </c>
      <c r="I156" s="23">
        <v>57.666666666666664</v>
      </c>
      <c r="J156" s="23">
        <v>43.333333333333336</v>
      </c>
      <c r="K156" s="23">
        <v>41.666666666666664</v>
      </c>
      <c r="L156" s="20"/>
    </row>
    <row r="157" spans="1:12" ht="13.15" x14ac:dyDescent="0.4">
      <c r="A157" s="22" t="s">
        <v>120</v>
      </c>
      <c r="B157" s="24">
        <v>62.4</v>
      </c>
      <c r="C157" s="24">
        <v>62.4</v>
      </c>
      <c r="D157" s="23">
        <v>48.8</v>
      </c>
      <c r="E157" s="23">
        <v>64.033333333333331</v>
      </c>
      <c r="F157" s="23">
        <v>40.766666666666666</v>
      </c>
      <c r="G157" s="23">
        <v>62.4</v>
      </c>
      <c r="H157" s="23">
        <v>56.333333333333336</v>
      </c>
      <c r="I157" s="23">
        <v>44.1</v>
      </c>
      <c r="J157" s="23">
        <v>57.633333333333333</v>
      </c>
      <c r="K157" s="23">
        <v>47.8</v>
      </c>
      <c r="L157" s="20"/>
    </row>
    <row r="158" spans="1:12" ht="13.15" x14ac:dyDescent="0.4">
      <c r="A158" s="22" t="s">
        <v>121</v>
      </c>
      <c r="B158" s="24">
        <v>64.599999999999994</v>
      </c>
      <c r="C158" s="24">
        <v>64.599999999999994</v>
      </c>
      <c r="D158" s="23">
        <v>48.93333333333333</v>
      </c>
      <c r="E158" s="23">
        <v>38.700000000000003</v>
      </c>
      <c r="F158" s="23">
        <v>62.533333333333331</v>
      </c>
      <c r="G158" s="23">
        <v>64.599999999999994</v>
      </c>
      <c r="H158" s="23">
        <v>55.1</v>
      </c>
      <c r="I158" s="23">
        <v>42.333333333333336</v>
      </c>
      <c r="J158" s="23">
        <v>74.466666666666669</v>
      </c>
      <c r="K158" s="23">
        <v>51.533333333333331</v>
      </c>
      <c r="L158" s="20"/>
    </row>
    <row r="159" spans="1:12" ht="13.15" x14ac:dyDescent="0.4">
      <c r="A159" s="22" t="s">
        <v>141</v>
      </c>
      <c r="B159" s="24">
        <v>61.966666666666669</v>
      </c>
      <c r="C159" s="23">
        <v>81.433333333333337</v>
      </c>
      <c r="D159" s="23">
        <v>66</v>
      </c>
      <c r="E159" s="23">
        <v>70.13333333333334</v>
      </c>
      <c r="F159" s="23">
        <v>46.166666666666664</v>
      </c>
      <c r="G159" s="23">
        <v>42.5</v>
      </c>
      <c r="H159" s="23">
        <v>42.7</v>
      </c>
      <c r="I159" s="23">
        <v>75.7</v>
      </c>
      <c r="J159" s="23">
        <v>62.3</v>
      </c>
      <c r="K159" s="23">
        <v>56.93333333333333</v>
      </c>
      <c r="L159" s="20"/>
    </row>
    <row r="160" spans="1:12" ht="13.15" x14ac:dyDescent="0.4">
      <c r="A160" s="22" t="s">
        <v>122</v>
      </c>
      <c r="B160" s="24">
        <v>69.033333333333331</v>
      </c>
      <c r="C160" s="23">
        <v>73.033333333333331</v>
      </c>
      <c r="D160" s="23">
        <v>42.733333333333334</v>
      </c>
      <c r="E160" s="23">
        <v>58.1</v>
      </c>
      <c r="F160" s="23">
        <v>42.533333333333331</v>
      </c>
      <c r="G160" s="23">
        <v>65.033333333333331</v>
      </c>
      <c r="H160" s="23">
        <v>77.333333333333329</v>
      </c>
      <c r="I160" s="23">
        <v>37.266666666666666</v>
      </c>
      <c r="J160" s="23">
        <v>62.43333333333333</v>
      </c>
      <c r="K160" s="23">
        <v>39.133333333333333</v>
      </c>
      <c r="L160" s="20"/>
    </row>
    <row r="161" spans="1:12" ht="13.15" x14ac:dyDescent="0.4">
      <c r="A161" s="22" t="s">
        <v>165</v>
      </c>
      <c r="B161" s="24">
        <v>76.800000000000011</v>
      </c>
      <c r="C161" s="23">
        <v>78.966666666666669</v>
      </c>
      <c r="D161" s="23">
        <v>77.099999999999994</v>
      </c>
      <c r="E161" s="23">
        <v>43.466666666666669</v>
      </c>
      <c r="F161" s="23">
        <v>70.3</v>
      </c>
      <c r="G161" s="23">
        <v>74.63333333333334</v>
      </c>
      <c r="H161" s="23">
        <v>43.266666666666666</v>
      </c>
      <c r="I161" s="23">
        <v>63.8</v>
      </c>
      <c r="J161" s="23">
        <v>64.5</v>
      </c>
      <c r="K161" s="23">
        <v>37.333333333333336</v>
      </c>
      <c r="L161" s="20"/>
    </row>
    <row r="162" spans="1:12" ht="13.15" x14ac:dyDescent="0.4">
      <c r="A162" s="22" t="s">
        <v>123</v>
      </c>
      <c r="B162" s="24">
        <v>48.133333333333333</v>
      </c>
      <c r="C162" s="23">
        <v>60.1</v>
      </c>
      <c r="D162" s="23">
        <v>47.833333333333336</v>
      </c>
      <c r="E162" s="23">
        <v>66.166666666666671</v>
      </c>
      <c r="F162" s="23">
        <v>37.1</v>
      </c>
      <c r="G162" s="23">
        <v>36.166666666666664</v>
      </c>
      <c r="H162" s="23">
        <v>38.700000000000003</v>
      </c>
      <c r="I162" s="23">
        <v>56.56666666666667</v>
      </c>
      <c r="J162" s="23">
        <v>35.1</v>
      </c>
      <c r="K162" s="23">
        <v>44.06666666666667</v>
      </c>
      <c r="L162" s="20"/>
    </row>
    <row r="163" spans="1:12" ht="13.15" x14ac:dyDescent="0.4">
      <c r="A163" s="22" t="s">
        <v>124</v>
      </c>
      <c r="B163" s="24">
        <v>55.483333333333334</v>
      </c>
      <c r="C163" s="23">
        <v>47.266666666666666</v>
      </c>
      <c r="D163" s="23">
        <v>49.56666666666667</v>
      </c>
      <c r="E163" s="23">
        <v>49.5</v>
      </c>
      <c r="F163" s="23">
        <v>68.233333333333334</v>
      </c>
      <c r="G163" s="23">
        <v>63.7</v>
      </c>
      <c r="H163" s="23">
        <v>59.56666666666667</v>
      </c>
      <c r="I163" s="23">
        <v>45.233333333333334</v>
      </c>
      <c r="J163" s="23">
        <v>60.266666666666666</v>
      </c>
      <c r="K163" s="23">
        <v>54.3</v>
      </c>
      <c r="L163" s="20"/>
    </row>
    <row r="164" spans="1:12" ht="13.15" x14ac:dyDescent="0.4">
      <c r="A164" s="22" t="s">
        <v>125</v>
      </c>
      <c r="B164" s="24">
        <v>48.533333333333331</v>
      </c>
      <c r="C164" s="23">
        <v>50.2</v>
      </c>
      <c r="D164" s="23">
        <v>48.233333333333334</v>
      </c>
      <c r="E164" s="23">
        <v>49.233333333333334</v>
      </c>
      <c r="F164" s="23">
        <v>63.366666666666667</v>
      </c>
      <c r="G164" s="23">
        <v>46.866666666666667</v>
      </c>
      <c r="H164" s="23">
        <v>53.366666666666667</v>
      </c>
      <c r="I164" s="23">
        <v>65.7</v>
      </c>
      <c r="J164" s="23">
        <v>55.833333333333336</v>
      </c>
      <c r="K164" s="23">
        <v>33.633333333333333</v>
      </c>
      <c r="L164" s="20"/>
    </row>
    <row r="165" spans="1:12" ht="13.15" x14ac:dyDescent="0.4">
      <c r="A165" s="22" t="s">
        <v>126</v>
      </c>
      <c r="B165" s="24">
        <v>66.650000000000006</v>
      </c>
      <c r="C165" s="23">
        <v>54.966666666666669</v>
      </c>
      <c r="D165" s="23">
        <v>53.533333333333331</v>
      </c>
      <c r="E165" s="23">
        <v>37.56666666666667</v>
      </c>
      <c r="F165" s="23">
        <v>82.333333333333329</v>
      </c>
      <c r="G165" s="23">
        <v>78.333333333333329</v>
      </c>
      <c r="H165" s="23">
        <v>32.866666666666667</v>
      </c>
      <c r="I165" s="23">
        <v>43.6</v>
      </c>
      <c r="J165" s="23">
        <v>26.2</v>
      </c>
      <c r="K165" s="23">
        <v>46.8</v>
      </c>
      <c r="L165" s="20"/>
    </row>
    <row r="166" spans="1:12" ht="13.15" x14ac:dyDescent="0.4">
      <c r="A166" s="22" t="s">
        <v>127</v>
      </c>
      <c r="B166" s="24">
        <v>46.066666666666663</v>
      </c>
      <c r="C166" s="23">
        <v>56.1</v>
      </c>
      <c r="D166" s="23">
        <v>72.166666666666671</v>
      </c>
      <c r="E166" s="23">
        <v>60.2</v>
      </c>
      <c r="F166" s="23">
        <v>53.1</v>
      </c>
      <c r="G166" s="23">
        <v>36.033333333333331</v>
      </c>
      <c r="H166" s="23">
        <v>34.533333333333331</v>
      </c>
      <c r="I166" s="23">
        <v>35.033333333333331</v>
      </c>
      <c r="J166" s="23">
        <v>33.700000000000003</v>
      </c>
      <c r="K166" s="23">
        <v>37.56666666666667</v>
      </c>
      <c r="L166" s="20"/>
    </row>
    <row r="167" spans="1:12" ht="13.15" x14ac:dyDescent="0.4">
      <c r="A167" s="22" t="s">
        <v>128</v>
      </c>
      <c r="B167" s="24">
        <v>57.349999999999994</v>
      </c>
      <c r="C167" s="23">
        <v>63.033333333333331</v>
      </c>
      <c r="D167" s="23">
        <v>57.6</v>
      </c>
      <c r="E167" s="23">
        <v>75.333333333333329</v>
      </c>
      <c r="F167" s="23">
        <v>67.566666666666663</v>
      </c>
      <c r="G167" s="23">
        <v>51.666666666666664</v>
      </c>
      <c r="H167" s="23">
        <v>74.900000000000006</v>
      </c>
      <c r="I167" s="23">
        <v>39.666666666666664</v>
      </c>
      <c r="J167" s="23">
        <v>42.733333333333334</v>
      </c>
      <c r="K167" s="23">
        <v>42.233333333333334</v>
      </c>
      <c r="L167" s="20"/>
    </row>
    <row r="168" spans="1:12" ht="13.15" x14ac:dyDescent="0.4">
      <c r="A168" s="22" t="s">
        <v>156</v>
      </c>
      <c r="B168" s="24">
        <v>54.583333333333329</v>
      </c>
      <c r="C168" s="23">
        <v>34.43333333333333</v>
      </c>
      <c r="D168" s="23">
        <v>53.93333333333333</v>
      </c>
      <c r="E168" s="23">
        <v>69.233333333333334</v>
      </c>
      <c r="F168" s="23">
        <v>62.233333333333334</v>
      </c>
      <c r="G168" s="23">
        <v>74.733333333333334</v>
      </c>
      <c r="H168" s="23">
        <v>50.966666666666669</v>
      </c>
      <c r="I168" s="23">
        <v>65.266666666666666</v>
      </c>
      <c r="J168" s="23">
        <v>70.233333333333334</v>
      </c>
      <c r="K168" s="23">
        <v>47.633333333333333</v>
      </c>
      <c r="L168" s="20"/>
    </row>
    <row r="169" spans="1:12" ht="13.15" x14ac:dyDescent="0.4">
      <c r="A169" s="22" t="s">
        <v>129</v>
      </c>
      <c r="B169" s="24">
        <v>61.516666666666666</v>
      </c>
      <c r="C169" s="23">
        <v>60.166666666666664</v>
      </c>
      <c r="D169" s="23">
        <v>35.299999999999997</v>
      </c>
      <c r="E169" s="23">
        <v>78</v>
      </c>
      <c r="F169" s="23">
        <v>39.233333333333334</v>
      </c>
      <c r="G169" s="23">
        <v>62.866666666666667</v>
      </c>
      <c r="H169" s="23">
        <v>48.133333333333333</v>
      </c>
      <c r="I169" s="23">
        <v>63.56666666666667</v>
      </c>
      <c r="J169" s="23">
        <v>53.133333333333333</v>
      </c>
      <c r="K169" s="23">
        <v>51.766666666666666</v>
      </c>
      <c r="L169" s="20"/>
    </row>
    <row r="170" spans="1:12" ht="13.15" x14ac:dyDescent="0.4">
      <c r="A170" s="22" t="s">
        <v>130</v>
      </c>
      <c r="B170" s="24">
        <v>70.900000000000006</v>
      </c>
      <c r="C170" s="23">
        <v>81.2</v>
      </c>
      <c r="D170" s="23">
        <v>84.36666666666666</v>
      </c>
      <c r="E170" s="23">
        <v>81.266666666666666</v>
      </c>
      <c r="F170" s="23">
        <v>61.866666666666667</v>
      </c>
      <c r="G170" s="23">
        <v>60.6</v>
      </c>
      <c r="H170" s="23">
        <v>50.1</v>
      </c>
      <c r="I170" s="23">
        <v>69.533333333333331</v>
      </c>
      <c r="J170" s="23">
        <v>34.266666666666666</v>
      </c>
      <c r="K170" s="23">
        <v>50.93333333333333</v>
      </c>
      <c r="L170" s="20"/>
    </row>
    <row r="171" spans="1:12" ht="13.15" x14ac:dyDescent="0.4">
      <c r="A171" s="22" t="s">
        <v>192</v>
      </c>
      <c r="B171" s="24">
        <v>54.2</v>
      </c>
      <c r="C171" s="23">
        <v>54.2</v>
      </c>
      <c r="D171" s="23">
        <v>40.166666666666664</v>
      </c>
      <c r="E171" s="23">
        <v>41.6</v>
      </c>
      <c r="F171" s="23">
        <v>51.56666666666667</v>
      </c>
      <c r="G171" s="24">
        <v>54.2</v>
      </c>
      <c r="H171" s="23">
        <v>46</v>
      </c>
      <c r="I171" s="23">
        <v>38.266666666666666</v>
      </c>
      <c r="J171" s="23">
        <v>64.900000000000006</v>
      </c>
      <c r="K171" s="23">
        <v>52.166666666666664</v>
      </c>
      <c r="L171" s="20"/>
    </row>
    <row r="172" spans="1:12" ht="13.15" x14ac:dyDescent="0.4">
      <c r="A172" s="22" t="s">
        <v>131</v>
      </c>
      <c r="B172" s="24">
        <v>82.333333333333343</v>
      </c>
      <c r="C172" s="23">
        <v>69.400000000000006</v>
      </c>
      <c r="D172" s="23">
        <v>44.733333333333334</v>
      </c>
      <c r="E172" s="23">
        <v>71.5</v>
      </c>
      <c r="F172" s="23">
        <v>78.066666666666663</v>
      </c>
      <c r="G172" s="23">
        <v>95.266666666666666</v>
      </c>
      <c r="H172" s="23">
        <v>73.333333333333329</v>
      </c>
      <c r="I172" s="23">
        <v>51.766666666666666</v>
      </c>
      <c r="J172" s="23">
        <v>76.8</v>
      </c>
      <c r="K172" s="23">
        <v>43</v>
      </c>
      <c r="L172" s="20"/>
    </row>
    <row r="173" spans="1:12" ht="13.15" x14ac:dyDescent="0.4">
      <c r="A173" s="22" t="s">
        <v>132</v>
      </c>
      <c r="B173" s="24">
        <v>41.916666666666671</v>
      </c>
      <c r="C173" s="23">
        <v>36.333333333333336</v>
      </c>
      <c r="D173" s="23">
        <v>28.933333333333334</v>
      </c>
      <c r="E173" s="23">
        <v>85.3</v>
      </c>
      <c r="F173" s="23">
        <v>41.966666666666669</v>
      </c>
      <c r="G173" s="23">
        <v>47.5</v>
      </c>
      <c r="H173" s="23">
        <v>54.333333333333336</v>
      </c>
      <c r="I173" s="23">
        <v>56</v>
      </c>
      <c r="J173" s="23">
        <v>59.93333333333333</v>
      </c>
      <c r="K173" s="23">
        <v>44.5</v>
      </c>
      <c r="L173" s="20"/>
    </row>
    <row r="174" spans="1:12" ht="13.15" x14ac:dyDescent="0.4">
      <c r="A174" s="22" t="s">
        <v>133</v>
      </c>
      <c r="B174" s="24">
        <v>51.63333333333334</v>
      </c>
      <c r="C174" s="23">
        <v>60.06666666666667</v>
      </c>
      <c r="D174" s="23">
        <v>52.1</v>
      </c>
      <c r="E174" s="23">
        <v>34.93333333333333</v>
      </c>
      <c r="F174" s="23">
        <v>51.9</v>
      </c>
      <c r="G174" s="23">
        <v>43.2</v>
      </c>
      <c r="H174" s="23">
        <v>58.2</v>
      </c>
      <c r="I174" s="23">
        <v>75</v>
      </c>
      <c r="J174" s="23">
        <v>48.5</v>
      </c>
      <c r="K174" s="23">
        <v>37.366666666666667</v>
      </c>
      <c r="L174" s="20"/>
    </row>
    <row r="175" spans="1:12" ht="13.15" x14ac:dyDescent="0.4">
      <c r="A175" s="22" t="s">
        <v>134</v>
      </c>
      <c r="B175" s="24">
        <v>36.783333333333331</v>
      </c>
      <c r="C175" s="23">
        <v>32.033333333333331</v>
      </c>
      <c r="D175" s="23">
        <v>32.466666666666669</v>
      </c>
      <c r="E175" s="23">
        <v>44.633333333333333</v>
      </c>
      <c r="F175" s="23">
        <v>68.2</v>
      </c>
      <c r="G175" s="23">
        <v>41.533333333333331</v>
      </c>
      <c r="H175" s="24">
        <v>56.93333333333333</v>
      </c>
      <c r="I175" s="23">
        <v>68</v>
      </c>
      <c r="J175" s="23">
        <v>34.6</v>
      </c>
      <c r="K175" s="23">
        <v>46.633333333333333</v>
      </c>
      <c r="L175" s="20"/>
    </row>
    <row r="176" spans="1:12" ht="13.15" x14ac:dyDescent="0.4">
      <c r="A176" s="22" t="s">
        <v>135</v>
      </c>
      <c r="B176" s="24">
        <v>49.016666666666666</v>
      </c>
      <c r="C176" s="23">
        <v>54.43333333333333</v>
      </c>
      <c r="D176" s="23">
        <v>70.666666666666671</v>
      </c>
      <c r="E176" s="23">
        <v>51.533333333333331</v>
      </c>
      <c r="F176" s="23">
        <v>56.033333333333331</v>
      </c>
      <c r="G176" s="23">
        <v>43.6</v>
      </c>
      <c r="H176" s="24">
        <v>59.866666666666667</v>
      </c>
      <c r="I176" s="24">
        <v>59.866666666666674</v>
      </c>
      <c r="J176" s="23">
        <v>63.7</v>
      </c>
      <c r="K176" s="23">
        <v>39.9</v>
      </c>
      <c r="L176" s="20"/>
    </row>
    <row r="177" spans="1:12" ht="13.15" x14ac:dyDescent="0.4">
      <c r="A177" s="22" t="s">
        <v>162</v>
      </c>
      <c r="B177" s="24">
        <v>66.816666666666663</v>
      </c>
      <c r="C177" s="23">
        <v>66.466666666666669</v>
      </c>
      <c r="D177" s="23">
        <v>66.099999999999994</v>
      </c>
      <c r="E177" s="23">
        <v>67.333333333333329</v>
      </c>
      <c r="F177" s="23">
        <v>68.900000000000006</v>
      </c>
      <c r="G177" s="23">
        <v>67.166666666666671</v>
      </c>
      <c r="H177" s="24">
        <v>63.844444444444441</v>
      </c>
      <c r="I177" s="23">
        <v>66.466666666666669</v>
      </c>
      <c r="J177" s="23">
        <v>56.166666666666664</v>
      </c>
      <c r="K177" s="23">
        <v>54.9</v>
      </c>
      <c r="L177" s="20"/>
    </row>
    <row r="178" spans="1:12" ht="13.15" x14ac:dyDescent="0.4">
      <c r="A178" s="22" t="s">
        <v>136</v>
      </c>
      <c r="B178" s="24">
        <v>83.833333333333343</v>
      </c>
      <c r="C178" s="23">
        <v>90.7</v>
      </c>
      <c r="D178" s="23">
        <v>36.56666666666667</v>
      </c>
      <c r="E178" s="23">
        <v>62.733333333333334</v>
      </c>
      <c r="F178" s="23">
        <v>67.033333333333331</v>
      </c>
      <c r="G178" s="23">
        <v>76.966666666666669</v>
      </c>
      <c r="H178" s="24">
        <v>51.98888888888888</v>
      </c>
      <c r="I178" s="23">
        <v>42.166666666666664</v>
      </c>
      <c r="J178" s="23">
        <v>46.766666666666666</v>
      </c>
      <c r="K178" s="23">
        <v>43.56666666666667</v>
      </c>
      <c r="L178" s="20"/>
    </row>
    <row r="179" spans="1:12" ht="13.15" x14ac:dyDescent="0.4">
      <c r="A179" s="22" t="s">
        <v>142</v>
      </c>
      <c r="B179" s="24">
        <v>64.216666666666669</v>
      </c>
      <c r="C179" s="23">
        <v>44.766666666666666</v>
      </c>
      <c r="D179" s="23">
        <v>45.966666666666669</v>
      </c>
      <c r="E179" s="23">
        <v>58.8</v>
      </c>
      <c r="F179" s="23">
        <v>32.1</v>
      </c>
      <c r="G179" s="23">
        <v>83.666666666666671</v>
      </c>
      <c r="H179" s="24">
        <v>41.366666666666667</v>
      </c>
      <c r="I179" s="24">
        <v>41.366666666666667</v>
      </c>
      <c r="J179" s="23">
        <v>50.633333333333333</v>
      </c>
      <c r="K179" s="23">
        <v>47.333333333333336</v>
      </c>
      <c r="L179" s="20"/>
    </row>
    <row r="180" spans="1:12" ht="13.15" x14ac:dyDescent="0.4">
      <c r="A180" s="22" t="s">
        <v>137</v>
      </c>
      <c r="B180" s="24">
        <v>58.7</v>
      </c>
      <c r="C180" s="23">
        <v>76.666666666666671</v>
      </c>
      <c r="D180" s="23">
        <v>87.433333333333337</v>
      </c>
      <c r="E180" s="23">
        <v>47.033333333333331</v>
      </c>
      <c r="F180" s="23">
        <v>56.666666666666664</v>
      </c>
      <c r="G180" s="23">
        <v>40.733333333333334</v>
      </c>
      <c r="H180" s="24">
        <v>60.199999999999996</v>
      </c>
      <c r="I180" s="23">
        <v>57.366666666666667</v>
      </c>
      <c r="J180" s="23">
        <v>66.566666666666663</v>
      </c>
      <c r="K180" s="23">
        <v>52.8</v>
      </c>
      <c r="L180" s="20"/>
    </row>
    <row r="181" spans="1:12" ht="13.15" x14ac:dyDescent="0.4">
      <c r="A181" s="22" t="s">
        <v>138</v>
      </c>
      <c r="B181" s="24">
        <v>63.483333333333334</v>
      </c>
      <c r="C181" s="23">
        <v>51.766666666666666</v>
      </c>
      <c r="D181" s="23">
        <v>81.066666666666663</v>
      </c>
      <c r="E181" s="23">
        <v>38.1</v>
      </c>
      <c r="F181" s="23">
        <v>52.7</v>
      </c>
      <c r="G181" s="23">
        <v>75.2</v>
      </c>
      <c r="H181" s="24">
        <v>51.93333333333333</v>
      </c>
      <c r="I181" s="23">
        <v>61.93333333333333</v>
      </c>
      <c r="J181" s="23">
        <v>41.166666666666664</v>
      </c>
      <c r="K181" s="24">
        <v>59.583333333333329</v>
      </c>
      <c r="L181" s="20"/>
    </row>
    <row r="182" spans="1:12" ht="13.15" x14ac:dyDescent="0.4">
      <c r="A182" s="22" t="s">
        <v>139</v>
      </c>
      <c r="B182" s="24">
        <v>51.366666666666667</v>
      </c>
      <c r="C182" s="23">
        <v>51.333333333333336</v>
      </c>
      <c r="D182" s="23">
        <v>78.766666666666666</v>
      </c>
      <c r="E182" s="23">
        <v>54.033333333333331</v>
      </c>
      <c r="F182" s="23">
        <v>49.8</v>
      </c>
      <c r="G182" s="23">
        <v>51.4</v>
      </c>
      <c r="H182" s="24">
        <v>56.777777777777771</v>
      </c>
      <c r="I182" s="23">
        <v>77.033333333333331</v>
      </c>
      <c r="J182" s="23">
        <v>43.5</v>
      </c>
      <c r="K182" s="23">
        <v>54.466666666666669</v>
      </c>
      <c r="L182" s="20"/>
    </row>
    <row r="183" spans="1:12" ht="13.15" x14ac:dyDescent="0.4">
      <c r="A183" s="22" t="s">
        <v>140</v>
      </c>
      <c r="B183" s="24">
        <v>69.933333333333337</v>
      </c>
      <c r="C183" s="23">
        <v>54.466666666666669</v>
      </c>
      <c r="D183" s="23">
        <v>50.833333333333336</v>
      </c>
      <c r="E183" s="23">
        <v>59.56666666666667</v>
      </c>
      <c r="F183" s="23">
        <v>60.766666666666666</v>
      </c>
      <c r="G183" s="23">
        <v>85.4</v>
      </c>
      <c r="H183" s="24">
        <v>68.399999999999991</v>
      </c>
      <c r="I183" s="23">
        <v>61.3</v>
      </c>
      <c r="J183" s="23">
        <v>83.13333333333334</v>
      </c>
      <c r="K183" s="23">
        <v>60.033333333333331</v>
      </c>
      <c r="L183" s="20"/>
    </row>
    <row r="184" spans="1:12" ht="13.15" x14ac:dyDescent="0.4">
      <c r="A184" s="22" t="s">
        <v>143</v>
      </c>
      <c r="B184" s="24">
        <v>66.783333333333331</v>
      </c>
      <c r="C184" s="23">
        <v>77.833333333333329</v>
      </c>
      <c r="D184" s="23">
        <v>53.06666666666667</v>
      </c>
      <c r="E184" s="23">
        <v>71.033333333333331</v>
      </c>
      <c r="F184" s="23">
        <v>55</v>
      </c>
      <c r="G184" s="23">
        <v>55.733333333333334</v>
      </c>
      <c r="H184" s="24">
        <v>49.766666666666673</v>
      </c>
      <c r="I184" s="23">
        <v>48.866666666666667</v>
      </c>
      <c r="J184" s="23">
        <v>45.43333333333333</v>
      </c>
      <c r="K184" s="23">
        <v>43.3</v>
      </c>
      <c r="L184" s="20"/>
    </row>
    <row r="185" spans="1:12" ht="13.15" x14ac:dyDescent="0.4">
      <c r="A185" s="22" t="s">
        <v>144</v>
      </c>
      <c r="B185" s="24">
        <v>62.05</v>
      </c>
      <c r="C185" s="23">
        <v>70.36666666666666</v>
      </c>
      <c r="D185" s="23">
        <v>38.200000000000003</v>
      </c>
      <c r="E185" s="23">
        <v>58.5</v>
      </c>
      <c r="F185" s="23">
        <v>59.266666666666666</v>
      </c>
      <c r="G185" s="23">
        <v>53.733333333333334</v>
      </c>
      <c r="H185" s="24">
        <v>53.333333333333336</v>
      </c>
      <c r="I185" s="23">
        <v>57.2</v>
      </c>
      <c r="J185" s="23">
        <v>43.533333333333331</v>
      </c>
      <c r="K185" s="23">
        <v>43.166666666666664</v>
      </c>
      <c r="L185" s="20"/>
    </row>
    <row r="186" spans="1:12" ht="13.15" x14ac:dyDescent="0.4">
      <c r="A186" s="22" t="s">
        <v>145</v>
      </c>
      <c r="B186" s="24">
        <v>44.033333333333331</v>
      </c>
      <c r="C186" s="23">
        <v>44.033333333333331</v>
      </c>
      <c r="D186" s="23">
        <v>57.833333333333336</v>
      </c>
      <c r="E186" s="23">
        <v>47.3</v>
      </c>
      <c r="F186" s="23">
        <v>63.766666666666666</v>
      </c>
      <c r="G186" s="24">
        <v>44.033333333333331</v>
      </c>
      <c r="H186" s="24">
        <v>60.711111111111109</v>
      </c>
      <c r="I186" s="23">
        <v>75.333333333333329</v>
      </c>
      <c r="J186" s="23">
        <v>43.033333333333331</v>
      </c>
      <c r="K186" s="23">
        <v>35.233333333333334</v>
      </c>
      <c r="L186" s="20"/>
    </row>
    <row r="187" spans="1:12" ht="13.15" x14ac:dyDescent="0.4">
      <c r="A187" s="22" t="s">
        <v>146</v>
      </c>
      <c r="B187" s="24">
        <v>59.2</v>
      </c>
      <c r="C187" s="23">
        <v>63.06666666666667</v>
      </c>
      <c r="D187" s="23">
        <v>59.233333333333334</v>
      </c>
      <c r="E187" s="23">
        <v>38.366666666666667</v>
      </c>
      <c r="F187" s="23">
        <v>54.8</v>
      </c>
      <c r="G187" s="23">
        <v>55.333333333333336</v>
      </c>
      <c r="H187" s="24">
        <v>56.416666666666664</v>
      </c>
      <c r="I187" s="23">
        <v>58.033333333333331</v>
      </c>
      <c r="J187" s="24">
        <v>56.416666666666664</v>
      </c>
      <c r="K187" s="23">
        <v>52.4</v>
      </c>
      <c r="L187" s="20"/>
    </row>
    <row r="188" spans="1:12" ht="13.15" x14ac:dyDescent="0.4">
      <c r="A188" s="22" t="s">
        <v>147</v>
      </c>
      <c r="B188" s="24">
        <v>73.160714285714292</v>
      </c>
      <c r="C188" s="24">
        <v>76.463690476190479</v>
      </c>
      <c r="D188" s="24">
        <v>62.216666666666669</v>
      </c>
      <c r="E188" s="23">
        <v>73.7</v>
      </c>
      <c r="F188" s="23">
        <v>38</v>
      </c>
      <c r="G188" s="23">
        <v>79.766666666666666</v>
      </c>
      <c r="H188" s="24">
        <v>66.488888888888894</v>
      </c>
      <c r="I188" s="23">
        <v>72.733333333333334</v>
      </c>
      <c r="J188" s="23">
        <v>88.733333333333334</v>
      </c>
      <c r="K188" s="23">
        <v>50.733333333333334</v>
      </c>
      <c r="L188" s="20"/>
    </row>
    <row r="189" spans="1:12" ht="13.15" x14ac:dyDescent="0.4">
      <c r="A189" s="22" t="s">
        <v>148</v>
      </c>
      <c r="B189" s="24">
        <v>55.933333333333337</v>
      </c>
      <c r="C189" s="23">
        <v>69.266666666666666</v>
      </c>
      <c r="D189" s="23">
        <v>68.566666666666663</v>
      </c>
      <c r="E189" s="23">
        <v>35</v>
      </c>
      <c r="F189" s="23">
        <v>81.099999999999994</v>
      </c>
      <c r="G189" s="23">
        <v>42.6</v>
      </c>
      <c r="H189" s="24">
        <v>60.56666666666667</v>
      </c>
      <c r="I189" s="23">
        <v>53.7</v>
      </c>
      <c r="J189" s="23">
        <v>46.9</v>
      </c>
      <c r="K189" s="23">
        <v>48.3</v>
      </c>
      <c r="L189" s="20"/>
    </row>
    <row r="190" spans="1:12" ht="13.15" x14ac:dyDescent="0.4">
      <c r="A190" s="22" t="s">
        <v>149</v>
      </c>
      <c r="B190" s="24">
        <v>84.3</v>
      </c>
      <c r="C190" s="23">
        <v>105.86666666666666</v>
      </c>
      <c r="D190" s="24">
        <v>55.05</v>
      </c>
      <c r="E190" s="23">
        <v>61.8</v>
      </c>
      <c r="F190" s="23">
        <v>54.1</v>
      </c>
      <c r="G190" s="23">
        <v>62.733333333333334</v>
      </c>
      <c r="H190" s="24">
        <v>49.01111111111112</v>
      </c>
      <c r="I190" s="23">
        <v>43.7</v>
      </c>
      <c r="J190" s="23">
        <v>49.233333333333334</v>
      </c>
      <c r="K190" s="23">
        <v>48.3</v>
      </c>
      <c r="L190" s="20"/>
    </row>
    <row r="191" spans="1:12" ht="13.15" x14ac:dyDescent="0.4">
      <c r="A191" s="22" t="s">
        <v>150</v>
      </c>
      <c r="B191" s="24">
        <v>52.92619047619047</v>
      </c>
      <c r="C191" s="24">
        <v>50.429761904761904</v>
      </c>
      <c r="D191" s="23">
        <v>60.233333333333334</v>
      </c>
      <c r="E191" s="23">
        <v>75.966666666666669</v>
      </c>
      <c r="F191" s="23">
        <v>40.033333333333331</v>
      </c>
      <c r="G191" s="23">
        <v>47.93333333333333</v>
      </c>
      <c r="H191" s="24">
        <v>54.05555555555555</v>
      </c>
      <c r="I191" s="23">
        <v>68.599999999999994</v>
      </c>
      <c r="J191" s="23">
        <v>53.533333333333331</v>
      </c>
      <c r="K191" s="23">
        <v>59.133333333333333</v>
      </c>
      <c r="L191" s="20"/>
    </row>
    <row r="192" spans="1:12" ht="13.15" x14ac:dyDescent="0.4">
      <c r="A192" s="22" t="s">
        <v>159</v>
      </c>
      <c r="B192" s="24">
        <v>56.966666666666669</v>
      </c>
      <c r="C192" s="24">
        <v>57.900000000000006</v>
      </c>
      <c r="D192" s="23">
        <v>84.933333333333337</v>
      </c>
      <c r="E192" s="23">
        <v>47.633333333333333</v>
      </c>
      <c r="F192" s="23">
        <v>36.233333333333334</v>
      </c>
      <c r="G192" s="23">
        <v>58.833333333333336</v>
      </c>
      <c r="H192" s="24">
        <v>51.98888888888888</v>
      </c>
      <c r="I192" s="23">
        <v>48.4</v>
      </c>
      <c r="J192" s="23">
        <v>71.333333333333329</v>
      </c>
      <c r="K192" s="23">
        <v>38.333333333333336</v>
      </c>
      <c r="L192" s="20"/>
    </row>
    <row r="193" spans="1:12" ht="13.15" x14ac:dyDescent="0.4">
      <c r="A193" s="22" t="s">
        <v>151</v>
      </c>
      <c r="B193" s="24">
        <v>49.495238095238093</v>
      </c>
      <c r="C193" s="24">
        <v>44.564285714285717</v>
      </c>
      <c r="D193" s="23">
        <v>85.533333333333331</v>
      </c>
      <c r="E193" s="23">
        <v>51.8</v>
      </c>
      <c r="F193" s="23">
        <v>61.2</v>
      </c>
      <c r="G193" s="23">
        <v>39.633333333333333</v>
      </c>
      <c r="H193" s="24">
        <v>61.966666666666676</v>
      </c>
      <c r="I193" s="23">
        <v>89.4</v>
      </c>
      <c r="J193" s="23">
        <v>35.299999999999997</v>
      </c>
      <c r="K193" s="23">
        <v>52.633333333333333</v>
      </c>
      <c r="L193" s="20"/>
    </row>
    <row r="194" spans="1:12" ht="13.15" x14ac:dyDescent="0.4">
      <c r="A194" s="22" t="s">
        <v>152</v>
      </c>
      <c r="B194" s="24">
        <v>56.6</v>
      </c>
      <c r="C194" s="23">
        <v>56.06666666666667</v>
      </c>
      <c r="D194" s="23">
        <v>77.2</v>
      </c>
      <c r="E194" s="23">
        <v>61.366666666666667</v>
      </c>
      <c r="F194" s="23">
        <v>42.666666666666664</v>
      </c>
      <c r="G194" s="23">
        <v>57.133333333333333</v>
      </c>
      <c r="H194" s="24">
        <v>56.288888888888891</v>
      </c>
      <c r="I194" s="23">
        <v>63.06666666666667</v>
      </c>
      <c r="J194" s="23">
        <v>63.133333333333333</v>
      </c>
      <c r="K194" s="23">
        <v>38.633333333333333</v>
      </c>
      <c r="L194" s="20"/>
    </row>
    <row r="195" spans="1:12" ht="13.15" x14ac:dyDescent="0.4">
      <c r="A195" s="22" t="s">
        <v>153</v>
      </c>
      <c r="B195" s="24">
        <v>45.983333333333327</v>
      </c>
      <c r="C195" s="24">
        <v>45.983333333333327</v>
      </c>
      <c r="D195" s="23">
        <v>51.633333333333333</v>
      </c>
      <c r="E195" s="23">
        <v>41.1</v>
      </c>
      <c r="F195" s="23">
        <v>60.466666666666669</v>
      </c>
      <c r="G195" s="24">
        <v>45.983333333333327</v>
      </c>
      <c r="H195" s="24">
        <v>48.644444444444446</v>
      </c>
      <c r="I195" s="23">
        <v>43.4</v>
      </c>
      <c r="J195" s="23">
        <v>42.06666666666667</v>
      </c>
      <c r="K195" s="23">
        <v>37.233333333333334</v>
      </c>
      <c r="L195" s="20"/>
    </row>
    <row r="196" spans="1:12" ht="13.15" x14ac:dyDescent="0.4">
      <c r="A196" s="22" t="s">
        <v>193</v>
      </c>
      <c r="B196" s="24">
        <v>63.980952380952381</v>
      </c>
      <c r="C196" s="24">
        <v>67.257142857142853</v>
      </c>
      <c r="D196" s="23">
        <v>76.433333333333337</v>
      </c>
      <c r="E196" s="23">
        <v>53.233333333333334</v>
      </c>
      <c r="F196" s="23">
        <v>45.133333333333333</v>
      </c>
      <c r="G196" s="23">
        <v>70.533333333333331</v>
      </c>
      <c r="H196" s="24">
        <v>51.677777777777777</v>
      </c>
      <c r="I196" s="23">
        <v>50.43333333333333</v>
      </c>
      <c r="J196" s="23">
        <v>59.466666666666669</v>
      </c>
      <c r="K196" s="23">
        <v>46.766666666666666</v>
      </c>
      <c r="L196" s="20"/>
    </row>
    <row r="197" spans="1:12" ht="13.15" x14ac:dyDescent="0.4">
      <c r="A197" s="22" t="s">
        <v>154</v>
      </c>
      <c r="B197" s="24">
        <v>53.416666666666671</v>
      </c>
      <c r="C197" s="23">
        <v>56.233333333333334</v>
      </c>
      <c r="D197" s="23">
        <v>70.400000000000006</v>
      </c>
      <c r="E197" s="23">
        <v>61.3</v>
      </c>
      <c r="F197" s="23">
        <v>66.233333333333334</v>
      </c>
      <c r="G197" s="23">
        <v>50.6</v>
      </c>
      <c r="H197" s="24">
        <v>58.133333333333326</v>
      </c>
      <c r="I197" s="23">
        <v>37.866666666666667</v>
      </c>
      <c r="J197" s="23">
        <v>70.3</v>
      </c>
      <c r="K197" s="23">
        <v>38.166666666666664</v>
      </c>
      <c r="L197" s="20"/>
    </row>
    <row r="198" spans="1:12" ht="13.15" x14ac:dyDescent="0.4">
      <c r="A198" s="22" t="s">
        <v>155</v>
      </c>
      <c r="B198" s="24">
        <v>63.919047619047618</v>
      </c>
      <c r="C198" s="24">
        <v>64.842857142857142</v>
      </c>
      <c r="D198" s="23">
        <v>80.63333333333334</v>
      </c>
      <c r="E198" s="23">
        <v>52.166666666666664</v>
      </c>
      <c r="F198" s="23">
        <v>73.733333333333334</v>
      </c>
      <c r="G198" s="23">
        <v>65.766666666666666</v>
      </c>
      <c r="H198" s="24">
        <v>63.566666666666663</v>
      </c>
      <c r="I198" s="23">
        <v>62.93333333333333</v>
      </c>
      <c r="J198" s="23">
        <v>54.033333333333331</v>
      </c>
      <c r="K198" s="23">
        <v>45.233333333333334</v>
      </c>
      <c r="L198" s="20"/>
    </row>
    <row r="199" spans="1:12" ht="13.15" x14ac:dyDescent="0.4">
      <c r="A199" s="22" t="s">
        <v>163</v>
      </c>
      <c r="B199" s="24">
        <v>62.116666666666667</v>
      </c>
      <c r="C199" s="23">
        <v>68.766666666666666</v>
      </c>
      <c r="D199" s="23">
        <v>60.2</v>
      </c>
      <c r="E199" s="23">
        <v>65.266666666666666</v>
      </c>
      <c r="F199" s="23">
        <v>43.966666666666669</v>
      </c>
      <c r="G199" s="23">
        <v>55.466666666666669</v>
      </c>
      <c r="H199" s="24">
        <v>53.18888888888889</v>
      </c>
      <c r="I199" s="23">
        <v>49.366666666666667</v>
      </c>
      <c r="J199" s="23">
        <v>66.233333333333334</v>
      </c>
      <c r="K199" s="23">
        <v>47.366666666666667</v>
      </c>
      <c r="L199" s="20"/>
    </row>
    <row r="200" spans="1:12" ht="13.15" x14ac:dyDescent="0.4">
      <c r="A200" s="22" t="s">
        <v>194</v>
      </c>
      <c r="B200" s="24">
        <v>46.566666666666663</v>
      </c>
      <c r="C200" s="23">
        <v>52.366666666666667</v>
      </c>
      <c r="D200" s="24">
        <v>39.366666666666667</v>
      </c>
      <c r="E200" s="23">
        <v>37.833333333333336</v>
      </c>
      <c r="F200" s="23">
        <v>54.833333333333336</v>
      </c>
      <c r="G200" s="23">
        <v>40.766666666666666</v>
      </c>
      <c r="H200" s="24">
        <v>56.477777777777781</v>
      </c>
      <c r="I200" s="23">
        <v>49.966666666666669</v>
      </c>
      <c r="J200" s="23">
        <v>64.63333333333334</v>
      </c>
      <c r="K200" s="23">
        <v>40.9</v>
      </c>
      <c r="L200" s="20"/>
    </row>
    <row r="201" spans="1:12" ht="13.15" x14ac:dyDescent="0.4">
      <c r="A201" s="22" t="s">
        <v>157</v>
      </c>
      <c r="B201" s="24">
        <v>62.06666666666667</v>
      </c>
      <c r="C201" s="23">
        <v>94.2</v>
      </c>
      <c r="D201" s="23">
        <v>66.400000000000006</v>
      </c>
      <c r="E201" s="23">
        <v>59.2</v>
      </c>
      <c r="F201" s="23">
        <v>64.2</v>
      </c>
      <c r="G201" s="23">
        <v>29.933333333333334</v>
      </c>
      <c r="H201" s="24">
        <v>62.655555555555544</v>
      </c>
      <c r="I201" s="23">
        <v>79.066666666666663</v>
      </c>
      <c r="J201" s="23">
        <v>44.7</v>
      </c>
      <c r="K201" s="23">
        <v>45.06666666666667</v>
      </c>
      <c r="L201" s="20"/>
    </row>
    <row r="202" spans="1:12" ht="13.15" x14ac:dyDescent="0.4">
      <c r="A202" s="22" t="s">
        <v>158</v>
      </c>
      <c r="B202" s="24">
        <v>45.958333333333336</v>
      </c>
      <c r="C202" s="24">
        <v>43.112499999999997</v>
      </c>
      <c r="D202" s="23">
        <v>63.56666666666667</v>
      </c>
      <c r="E202" s="24">
        <v>58.966666666666669</v>
      </c>
      <c r="F202" s="23">
        <v>38.466666666666669</v>
      </c>
      <c r="G202" s="23">
        <v>40.266666666666666</v>
      </c>
      <c r="H202" s="24">
        <v>50.566666666666663</v>
      </c>
      <c r="I202" s="23">
        <v>68.933333333333337</v>
      </c>
      <c r="J202" s="23">
        <v>44.3</v>
      </c>
      <c r="K202" s="23">
        <v>54.366666666666667</v>
      </c>
      <c r="L202" s="20"/>
    </row>
  </sheetData>
  <autoFilter ref="A2:K202" xr:uid="{DE9C59C2-A7B9-410E-A8CA-E6BEDB77C32C}"/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74C6-3CF5-4950-9900-86FFCCE58D49}">
  <sheetPr>
    <tabColor rgb="FFFFFF00"/>
  </sheetPr>
  <dimension ref="A1:L202"/>
  <sheetViews>
    <sheetView zoomScale="85" zoomScaleNormal="85" workbookViewId="0">
      <selection sqref="A1:K1"/>
    </sheetView>
  </sheetViews>
  <sheetFormatPr baseColWidth="10" defaultColWidth="11.46484375" defaultRowHeight="12.75" x14ac:dyDescent="0.35"/>
  <cols>
    <col min="1" max="1" width="56.46484375" style="10" customWidth="1"/>
    <col min="2" max="2" width="5.33203125" style="1" bestFit="1" customWidth="1"/>
    <col min="3" max="5" width="6.33203125" style="1" bestFit="1" customWidth="1"/>
    <col min="6" max="7" width="5.33203125" style="1" bestFit="1" customWidth="1"/>
    <col min="8" max="8" width="6.33203125" style="1" bestFit="1" customWidth="1"/>
    <col min="9" max="9" width="5.33203125" style="1" bestFit="1" customWidth="1"/>
    <col min="10" max="10" width="6.33203125" style="1" bestFit="1" customWidth="1"/>
    <col min="11" max="11" width="5.33203125" style="1" bestFit="1" customWidth="1"/>
    <col min="12" max="16384" width="11.46484375" style="10"/>
  </cols>
  <sheetData>
    <row r="1" spans="1:12" ht="13.15" x14ac:dyDescent="0.4">
      <c r="A1" s="66" t="s">
        <v>263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2" ht="13.15" x14ac:dyDescent="0.4">
      <c r="A2" s="21" t="s">
        <v>0</v>
      </c>
      <c r="B2" s="21" t="s">
        <v>249</v>
      </c>
      <c r="C2" s="21" t="s">
        <v>250</v>
      </c>
      <c r="D2" s="21" t="s">
        <v>251</v>
      </c>
      <c r="E2" s="21" t="s">
        <v>252</v>
      </c>
      <c r="F2" s="21" t="s">
        <v>253</v>
      </c>
      <c r="G2" s="21" t="s">
        <v>254</v>
      </c>
      <c r="H2" s="21" t="s">
        <v>255</v>
      </c>
      <c r="I2" s="21" t="s">
        <v>256</v>
      </c>
      <c r="J2" s="21" t="s">
        <v>257</v>
      </c>
      <c r="K2" s="21" t="s">
        <v>258</v>
      </c>
    </row>
    <row r="3" spans="1:12" x14ac:dyDescent="0.35">
      <c r="A3" s="22" t="s">
        <v>210</v>
      </c>
      <c r="B3" s="23">
        <f>+'Datos M1'!AF3</f>
        <v>51</v>
      </c>
      <c r="C3" s="23">
        <f>+'Datos M2'!AF3</f>
        <v>39.233333333333334</v>
      </c>
      <c r="D3" s="23">
        <f>+'Datos M3'!AF3</f>
        <v>69.566666666666663</v>
      </c>
      <c r="E3" s="23">
        <f>+'Datos M4'!AF3</f>
        <v>0</v>
      </c>
      <c r="F3" s="23">
        <f>+'Datos M5'!AF3</f>
        <v>0</v>
      </c>
      <c r="G3" s="23">
        <f>+'Datos M6'!AF3</f>
        <v>44.43333333333333</v>
      </c>
      <c r="H3" s="23">
        <f>+'Datos M7'!AF3</f>
        <v>37.166666666666664</v>
      </c>
      <c r="I3" s="23">
        <f>+'Datos M8'!AF3</f>
        <v>0</v>
      </c>
      <c r="J3" s="23">
        <f>+'Datos M9'!AF3</f>
        <v>51.033333333333331</v>
      </c>
      <c r="K3" s="23">
        <f>+'Datos M10'!AF3</f>
        <v>54.5</v>
      </c>
      <c r="L3" s="20"/>
    </row>
    <row r="4" spans="1:12" x14ac:dyDescent="0.35">
      <c r="A4" s="22" t="s">
        <v>166</v>
      </c>
      <c r="B4" s="23">
        <f>+'Datos M1'!AF4</f>
        <v>0</v>
      </c>
      <c r="C4" s="23">
        <f>+'Datos M2'!AF4</f>
        <v>0</v>
      </c>
      <c r="D4" s="23">
        <f>+'Datos M3'!AF4</f>
        <v>39.166666666666664</v>
      </c>
      <c r="E4" s="23">
        <f>+'Datos M4'!AF4</f>
        <v>0</v>
      </c>
      <c r="F4" s="23">
        <f>+'Datos M5'!AF4</f>
        <v>0</v>
      </c>
      <c r="G4" s="23">
        <f>+'Datos M6'!AF4</f>
        <v>0</v>
      </c>
      <c r="H4" s="23">
        <f>+'Datos M7'!AF4</f>
        <v>43.43333333333333</v>
      </c>
      <c r="I4" s="23">
        <f>+'Datos M8'!AF4</f>
        <v>59.133333333333333</v>
      </c>
      <c r="J4" s="23">
        <f>+'Datos M9'!AF4</f>
        <v>78.400000000000006</v>
      </c>
      <c r="K4" s="23">
        <f>+'Datos M10'!AF4</f>
        <v>38.033333333333331</v>
      </c>
      <c r="L4" s="20"/>
    </row>
    <row r="5" spans="1:12" x14ac:dyDescent="0.35">
      <c r="A5" s="22" t="s">
        <v>167</v>
      </c>
      <c r="B5" s="23">
        <f>+'Datos M1'!AF5</f>
        <v>28.733333333333334</v>
      </c>
      <c r="C5" s="23">
        <f>+'Datos M2'!AF5</f>
        <v>51.6</v>
      </c>
      <c r="D5" s="23">
        <f>+'Datos M3'!AF5</f>
        <v>48.366666666666667</v>
      </c>
      <c r="E5" s="23">
        <f>+'Datos M4'!AF5</f>
        <v>0</v>
      </c>
      <c r="F5" s="23">
        <f>+'Datos M5'!AF5</f>
        <v>0</v>
      </c>
      <c r="G5" s="23">
        <f>+'Datos M6'!AF5</f>
        <v>49.033333333333331</v>
      </c>
      <c r="H5" s="23">
        <f>+'Datos M7'!AF5</f>
        <v>41.9</v>
      </c>
      <c r="I5" s="23">
        <f>+'Datos M8'!AF5</f>
        <v>92.166666666666671</v>
      </c>
      <c r="J5" s="23">
        <f>+'Datos M9'!AF5</f>
        <v>0</v>
      </c>
      <c r="K5" s="23">
        <f>+'Datos M10'!AF5</f>
        <v>53.733333333333334</v>
      </c>
      <c r="L5" s="20"/>
    </row>
    <row r="6" spans="1:12" x14ac:dyDescent="0.35">
      <c r="A6" s="22" t="s">
        <v>211</v>
      </c>
      <c r="B6" s="23">
        <f>+'Datos M1'!AF6</f>
        <v>23.533333333333335</v>
      </c>
      <c r="C6" s="23">
        <f>+'Datos M2'!AF6</f>
        <v>51.6</v>
      </c>
      <c r="D6" s="23">
        <f>+'Datos M3'!AF6</f>
        <v>57.1</v>
      </c>
      <c r="E6" s="23">
        <f>+'Datos M4'!AF6</f>
        <v>0</v>
      </c>
      <c r="F6" s="23">
        <f>+'Datos M5'!AF6</f>
        <v>0</v>
      </c>
      <c r="G6" s="23">
        <f>+'Datos M6'!AF6</f>
        <v>58</v>
      </c>
      <c r="H6" s="23">
        <f>+'Datos M7'!AF6</f>
        <v>100.1</v>
      </c>
      <c r="I6" s="23">
        <f>+'Datos M8'!AF6</f>
        <v>48.666666666666664</v>
      </c>
      <c r="J6" s="23">
        <f>+'Datos M9'!AF6</f>
        <v>32.6</v>
      </c>
      <c r="K6" s="23">
        <f>+'Datos M10'!AF6</f>
        <v>42.866666666666667</v>
      </c>
      <c r="L6" s="20"/>
    </row>
    <row r="7" spans="1:12" x14ac:dyDescent="0.35">
      <c r="A7" s="22" t="s">
        <v>168</v>
      </c>
      <c r="B7" s="23">
        <f>+'Datos M1'!AF7</f>
        <v>0</v>
      </c>
      <c r="C7" s="23">
        <f>+'Datos M2'!AF7</f>
        <v>55.766666666666666</v>
      </c>
      <c r="D7" s="23">
        <f>+'Datos M3'!AF7</f>
        <v>53.93333333333333</v>
      </c>
      <c r="E7" s="23">
        <f>+'Datos M4'!AF7</f>
        <v>0</v>
      </c>
      <c r="F7" s="23">
        <f>+'Datos M5'!AF7</f>
        <v>33.733333333333334</v>
      </c>
      <c r="G7" s="23">
        <f>+'Datos M6'!AF7</f>
        <v>45.766666666666666</v>
      </c>
      <c r="H7" s="23">
        <f>+'Datos M7'!AF7</f>
        <v>82.966666666666669</v>
      </c>
      <c r="I7" s="23">
        <f>+'Datos M8'!AF7</f>
        <v>38.43333333333333</v>
      </c>
      <c r="J7" s="23">
        <f>+'Datos M9'!AF7</f>
        <v>85.13333333333334</v>
      </c>
      <c r="K7" s="23">
        <f>+'Datos M10'!AF7</f>
        <v>46.5</v>
      </c>
      <c r="L7" s="20"/>
    </row>
    <row r="8" spans="1:12" x14ac:dyDescent="0.35">
      <c r="A8" s="22" t="s">
        <v>169</v>
      </c>
      <c r="B8" s="23">
        <f>+'Datos M1'!AF8</f>
        <v>0</v>
      </c>
      <c r="C8" s="23">
        <f>+'Datos M2'!AF8</f>
        <v>0</v>
      </c>
      <c r="D8" s="23">
        <f>+'Datos M3'!AF8</f>
        <v>69.666666666666671</v>
      </c>
      <c r="E8" s="23">
        <f>+'Datos M4'!AF8</f>
        <v>0</v>
      </c>
      <c r="F8" s="23">
        <f>+'Datos M5'!AF8</f>
        <v>0</v>
      </c>
      <c r="G8" s="23">
        <f>+'Datos M6'!AF8</f>
        <v>37.666666666666664</v>
      </c>
      <c r="H8" s="23">
        <f>+'Datos M7'!AF8</f>
        <v>44.6</v>
      </c>
      <c r="I8" s="23">
        <f>+'Datos M8'!AF8</f>
        <v>39.466666666666669</v>
      </c>
      <c r="J8" s="23">
        <f>+'Datos M9'!AF8</f>
        <v>47.56666666666667</v>
      </c>
      <c r="K8" s="23">
        <f>+'Datos M10'!AF8</f>
        <v>56.1</v>
      </c>
      <c r="L8" s="20"/>
    </row>
    <row r="9" spans="1:12" x14ac:dyDescent="0.35">
      <c r="A9" s="22" t="s">
        <v>170</v>
      </c>
      <c r="B9" s="23">
        <f>+'Datos M1'!AF9</f>
        <v>0</v>
      </c>
      <c r="C9" s="23">
        <f>+'Datos M2'!AF9</f>
        <v>35.466666666666669</v>
      </c>
      <c r="D9" s="23">
        <f>+'Datos M3'!AF9</f>
        <v>44.266666666666666</v>
      </c>
      <c r="E9" s="23">
        <f>+'Datos M4'!AF9</f>
        <v>0</v>
      </c>
      <c r="F9" s="23">
        <f>+'Datos M5'!AF9</f>
        <v>0</v>
      </c>
      <c r="G9" s="23">
        <f>+'Datos M6'!AF9</f>
        <v>54.4</v>
      </c>
      <c r="H9" s="23">
        <f>+'Datos M7'!AF9</f>
        <v>55.866666666666667</v>
      </c>
      <c r="I9" s="23">
        <f>+'Datos M8'!AF9</f>
        <v>64.900000000000006</v>
      </c>
      <c r="J9" s="23">
        <f>+'Datos M9'!AF9</f>
        <v>37.799999999999997</v>
      </c>
      <c r="K9" s="23">
        <f>+'Datos M10'!AF9</f>
        <v>43.866666666666667</v>
      </c>
      <c r="L9" s="20"/>
    </row>
    <row r="10" spans="1:12" x14ac:dyDescent="0.35">
      <c r="A10" s="22" t="s">
        <v>4</v>
      </c>
      <c r="B10" s="23">
        <f>+'Datos M1'!AF10</f>
        <v>28.6</v>
      </c>
      <c r="C10" s="23">
        <f>+'Datos M2'!AF10</f>
        <v>71.233333333333334</v>
      </c>
      <c r="D10" s="23">
        <f>+'Datos M3'!AF10</f>
        <v>47.3</v>
      </c>
      <c r="E10" s="23">
        <f>+'Datos M4'!AF10</f>
        <v>0</v>
      </c>
      <c r="F10" s="23">
        <f>+'Datos M5'!AF10</f>
        <v>0</v>
      </c>
      <c r="G10" s="23">
        <f>+'Datos M6'!AF10</f>
        <v>67.833333333333329</v>
      </c>
      <c r="H10" s="23">
        <f>+'Datos M7'!AF10</f>
        <v>47.833333333333336</v>
      </c>
      <c r="I10" s="23">
        <f>+'Datos M8'!AF10</f>
        <v>57.733333333333334</v>
      </c>
      <c r="J10" s="23">
        <f>+'Datos M9'!AF10</f>
        <v>39.266666666666666</v>
      </c>
      <c r="K10" s="23">
        <f>+'Datos M10'!AF10</f>
        <v>59.233333333333334</v>
      </c>
      <c r="L10" s="20"/>
    </row>
    <row r="11" spans="1:12" x14ac:dyDescent="0.35">
      <c r="A11" s="22" t="s">
        <v>5</v>
      </c>
      <c r="B11" s="23">
        <f>+'Datos M1'!AF11</f>
        <v>33.1</v>
      </c>
      <c r="C11" s="23">
        <f>+'Datos M2'!AF11</f>
        <v>52.766666666666666</v>
      </c>
      <c r="D11" s="23">
        <f>+'Datos M3'!AF11</f>
        <v>40.1</v>
      </c>
      <c r="E11" s="23">
        <f>+'Datos M4'!AF11</f>
        <v>0</v>
      </c>
      <c r="F11" s="23">
        <f>+'Datos M5'!AF11</f>
        <v>0</v>
      </c>
      <c r="G11" s="23">
        <f>+'Datos M6'!AF11</f>
        <v>65.900000000000006</v>
      </c>
      <c r="H11" s="23">
        <f>+'Datos M7'!AF11</f>
        <v>37.200000000000003</v>
      </c>
      <c r="I11" s="23">
        <f>+'Datos M8'!AF11</f>
        <v>61.133333333333333</v>
      </c>
      <c r="J11" s="23">
        <f>+'Datos M9'!AF11</f>
        <v>48.5</v>
      </c>
      <c r="K11" s="23">
        <f>+'Datos M10'!AF11</f>
        <v>46.366666666666667</v>
      </c>
      <c r="L11" s="20"/>
    </row>
    <row r="12" spans="1:12" x14ac:dyDescent="0.35">
      <c r="A12" s="22" t="s">
        <v>161</v>
      </c>
      <c r="B12" s="23">
        <f>+'Datos M1'!AF12</f>
        <v>0</v>
      </c>
      <c r="C12" s="23">
        <f>+'Datos M2'!AF12</f>
        <v>42.533333333333331</v>
      </c>
      <c r="D12" s="23">
        <f>+'Datos M3'!AF12</f>
        <v>51.43333333333333</v>
      </c>
      <c r="E12" s="23">
        <f>+'Datos M4'!AF12</f>
        <v>0</v>
      </c>
      <c r="F12" s="23">
        <f>+'Datos M5'!AF12</f>
        <v>0</v>
      </c>
      <c r="G12" s="23">
        <f>+'Datos M6'!AF12</f>
        <v>74.86666666666666</v>
      </c>
      <c r="H12" s="23">
        <f>+'Datos M7'!AF12</f>
        <v>76.86666666666666</v>
      </c>
      <c r="I12" s="23">
        <f>+'Datos M8'!AF12</f>
        <v>0</v>
      </c>
      <c r="J12" s="23">
        <f>+'Datos M9'!AF12</f>
        <v>32.766666666666666</v>
      </c>
      <c r="K12" s="23">
        <f>+'Datos M10'!AF12</f>
        <v>54.533333333333331</v>
      </c>
      <c r="L12" s="20"/>
    </row>
    <row r="13" spans="1:12" x14ac:dyDescent="0.35">
      <c r="A13" s="22" t="s">
        <v>212</v>
      </c>
      <c r="B13" s="23">
        <f>+'Datos M1'!AF13</f>
        <v>0</v>
      </c>
      <c r="C13" s="23">
        <f>+'Datos M2'!AF13</f>
        <v>0</v>
      </c>
      <c r="D13" s="23">
        <f>+'Datos M3'!AF13</f>
        <v>60.166666666666664</v>
      </c>
      <c r="E13" s="23">
        <f>+'Datos M4'!AF13</f>
        <v>0</v>
      </c>
      <c r="F13" s="23">
        <f>+'Datos M5'!AF13</f>
        <v>0</v>
      </c>
      <c r="G13" s="23">
        <f>+'Datos M6'!AF13</f>
        <v>54</v>
      </c>
      <c r="H13" s="23">
        <f>+'Datos M7'!AF13</f>
        <v>33.133333333333333</v>
      </c>
      <c r="I13" s="23">
        <f>+'Datos M8'!AF13</f>
        <v>53.133333333333333</v>
      </c>
      <c r="J13" s="23">
        <f>+'Datos M9'!AF13</f>
        <v>29.633333333333333</v>
      </c>
      <c r="K13" s="23">
        <f>+'Datos M10'!AF13</f>
        <v>42.56666666666667</v>
      </c>
      <c r="L13" s="20"/>
    </row>
    <row r="14" spans="1:12" x14ac:dyDescent="0.35">
      <c r="A14" s="22" t="s">
        <v>6</v>
      </c>
      <c r="B14" s="23">
        <f>+'Datos M1'!AF14</f>
        <v>0</v>
      </c>
      <c r="C14" s="23">
        <f>+'Datos M2'!AF14</f>
        <v>58.466666666666669</v>
      </c>
      <c r="D14" s="23">
        <f>+'Datos M3'!AF14</f>
        <v>53.533333333333331</v>
      </c>
      <c r="E14" s="23">
        <f>+'Datos M4'!AF14</f>
        <v>0</v>
      </c>
      <c r="F14" s="23">
        <f>+'Datos M5'!AF14</f>
        <v>0</v>
      </c>
      <c r="G14" s="23">
        <f>+'Datos M6'!AF14</f>
        <v>87.733333333333334</v>
      </c>
      <c r="H14" s="23">
        <f>+'Datos M7'!AF14</f>
        <v>61.533333333333331</v>
      </c>
      <c r="I14" s="23">
        <f>+'Datos M8'!AF14</f>
        <v>44.8</v>
      </c>
      <c r="J14" s="23">
        <f>+'Datos M9'!AF14</f>
        <v>64.099999999999994</v>
      </c>
      <c r="K14" s="23">
        <f>+'Datos M10'!AF14</f>
        <v>48.2</v>
      </c>
      <c r="L14" s="20"/>
    </row>
    <row r="15" spans="1:12" x14ac:dyDescent="0.35">
      <c r="A15" s="22" t="s">
        <v>7</v>
      </c>
      <c r="B15" s="23">
        <f>+'Datos M1'!AF15</f>
        <v>0</v>
      </c>
      <c r="C15" s="23">
        <f>+'Datos M2'!AF15</f>
        <v>79.733333333333334</v>
      </c>
      <c r="D15" s="23">
        <f>+'Datos M3'!AF15</f>
        <v>59.333333333333336</v>
      </c>
      <c r="E15" s="23">
        <f>+'Datos M4'!AF15</f>
        <v>0</v>
      </c>
      <c r="F15" s="23">
        <f>+'Datos M5'!AF15</f>
        <v>0</v>
      </c>
      <c r="G15" s="23">
        <f>+'Datos M6'!AF15</f>
        <v>57.166666666666664</v>
      </c>
      <c r="H15" s="23">
        <f>+'Datos M7'!AF15</f>
        <v>54.3</v>
      </c>
      <c r="I15" s="23">
        <f>+'Datos M8'!AF15</f>
        <v>67.666666666666671</v>
      </c>
      <c r="J15" s="23">
        <f>+'Datos M9'!AF15</f>
        <v>62.133333333333333</v>
      </c>
      <c r="K15" s="23">
        <f>+'Datos M10'!AF15</f>
        <v>37.233333333333334</v>
      </c>
      <c r="L15" s="20"/>
    </row>
    <row r="16" spans="1:12" x14ac:dyDescent="0.35">
      <c r="A16" s="22" t="s">
        <v>8</v>
      </c>
      <c r="B16" s="23">
        <f>+'Datos M1'!AF16</f>
        <v>0</v>
      </c>
      <c r="C16" s="23">
        <f>+'Datos M2'!AF16</f>
        <v>53.633333333333333</v>
      </c>
      <c r="D16" s="23">
        <f>+'Datos M3'!AF16</f>
        <v>60.366666666666667</v>
      </c>
      <c r="E16" s="23">
        <f>+'Datos M4'!AF16</f>
        <v>0</v>
      </c>
      <c r="F16" s="23">
        <f>+'Datos M5'!AF16</f>
        <v>0</v>
      </c>
      <c r="G16" s="23">
        <f>+'Datos M6'!AF16</f>
        <v>54.766666666666666</v>
      </c>
      <c r="H16" s="23">
        <f>+'Datos M7'!AF16</f>
        <v>66.7</v>
      </c>
      <c r="I16" s="23">
        <f>+'Datos M8'!AF16</f>
        <v>60.233333333333334</v>
      </c>
      <c r="J16" s="23">
        <f>+'Datos M9'!AF16</f>
        <v>40.200000000000003</v>
      </c>
      <c r="K16" s="23">
        <f>+'Datos M10'!AF16</f>
        <v>43.4</v>
      </c>
      <c r="L16" s="20"/>
    </row>
    <row r="17" spans="1:12" x14ac:dyDescent="0.35">
      <c r="A17" s="22" t="s">
        <v>9</v>
      </c>
      <c r="B17" s="23">
        <f>+'Datos M1'!AF17</f>
        <v>0</v>
      </c>
      <c r="C17" s="23">
        <f>+'Datos M2'!AF17</f>
        <v>80.466666666666669</v>
      </c>
      <c r="D17" s="23">
        <f>+'Datos M3'!AF17</f>
        <v>42.733333333333334</v>
      </c>
      <c r="E17" s="23">
        <f>+'Datos M4'!AF17</f>
        <v>0</v>
      </c>
      <c r="F17" s="23">
        <f>+'Datos M5'!AF17</f>
        <v>63.666666666666664</v>
      </c>
      <c r="G17" s="23">
        <f>+'Datos M6'!AF17</f>
        <v>0</v>
      </c>
      <c r="H17" s="23">
        <f>+'Datos M7'!AF17</f>
        <v>53.633333333333333</v>
      </c>
      <c r="I17" s="23">
        <f>+'Datos M8'!AF17</f>
        <v>58.366666666666667</v>
      </c>
      <c r="J17" s="23">
        <f>+'Datos M9'!AF17</f>
        <v>60.93333333333333</v>
      </c>
      <c r="K17" s="23">
        <f>+'Datos M10'!AF17</f>
        <v>43.4</v>
      </c>
      <c r="L17" s="20"/>
    </row>
    <row r="18" spans="1:12" x14ac:dyDescent="0.35">
      <c r="A18" s="22" t="s">
        <v>213</v>
      </c>
      <c r="B18" s="23">
        <f>+'Datos M1'!AF18</f>
        <v>0</v>
      </c>
      <c r="C18" s="23">
        <f>+'Datos M2'!AF18</f>
        <v>57.466666666666669</v>
      </c>
      <c r="D18" s="23">
        <f>+'Datos M3'!AF18</f>
        <v>42.1</v>
      </c>
      <c r="E18" s="23">
        <f>+'Datos M4'!AF18</f>
        <v>0</v>
      </c>
      <c r="F18" s="23">
        <f>+'Datos M5'!AF18</f>
        <v>42.7</v>
      </c>
      <c r="G18" s="23">
        <f>+'Datos M6'!AF18</f>
        <v>0</v>
      </c>
      <c r="H18" s="23">
        <f>+'Datos M7'!AF18</f>
        <v>59.93333333333333</v>
      </c>
      <c r="I18" s="23">
        <f>+'Datos M8'!AF18</f>
        <v>38.6</v>
      </c>
      <c r="J18" s="23">
        <f>+'Datos M9'!AF18</f>
        <v>48.9</v>
      </c>
      <c r="K18" s="23">
        <f>+'Datos M10'!AF18</f>
        <v>55.866666666666667</v>
      </c>
      <c r="L18" s="20"/>
    </row>
    <row r="19" spans="1:12" x14ac:dyDescent="0.35">
      <c r="A19" s="22" t="s">
        <v>171</v>
      </c>
      <c r="B19" s="23">
        <f>+'Datos M1'!AF19</f>
        <v>0</v>
      </c>
      <c r="C19" s="23">
        <f>+'Datos M2'!AF19</f>
        <v>0</v>
      </c>
      <c r="D19" s="23">
        <f>+'Datos M3'!AF19</f>
        <v>44.766666666666666</v>
      </c>
      <c r="E19" s="23">
        <f>+'Datos M4'!AF19</f>
        <v>0</v>
      </c>
      <c r="F19" s="23">
        <f>+'Datos M5'!AF19</f>
        <v>0</v>
      </c>
      <c r="G19" s="23">
        <f>+'Datos M6'!AF19</f>
        <v>40.6</v>
      </c>
      <c r="H19" s="23">
        <f>+'Datos M7'!AF19</f>
        <v>41.866666666666667</v>
      </c>
      <c r="I19" s="23">
        <f>+'Datos M8'!AF19</f>
        <v>85.033333333333331</v>
      </c>
      <c r="J19" s="23">
        <f>+'Datos M9'!AF19</f>
        <v>78.2</v>
      </c>
      <c r="K19" s="23">
        <f>+'Datos M10'!AF19</f>
        <v>48.366666666666667</v>
      </c>
      <c r="L19" s="20"/>
    </row>
    <row r="20" spans="1:12" x14ac:dyDescent="0.35">
      <c r="A20" s="22" t="s">
        <v>214</v>
      </c>
      <c r="B20" s="23">
        <f>+'Datos M1'!AF20</f>
        <v>0</v>
      </c>
      <c r="C20" s="23">
        <f>+'Datos M2'!AF20</f>
        <v>91.166666666666671</v>
      </c>
      <c r="D20" s="23">
        <f>+'Datos M3'!AF20</f>
        <v>45.2</v>
      </c>
      <c r="E20" s="23">
        <f>+'Datos M4'!AF20</f>
        <v>0</v>
      </c>
      <c r="F20" s="23">
        <f>+'Datos M5'!AF20</f>
        <v>47.166666666666664</v>
      </c>
      <c r="G20" s="23">
        <f>+'Datos M6'!AF20</f>
        <v>41.233333333333334</v>
      </c>
      <c r="H20" s="23">
        <f>+'Datos M7'!AF20</f>
        <v>33</v>
      </c>
      <c r="I20" s="23">
        <f>+'Datos M8'!AF20</f>
        <v>37.9</v>
      </c>
      <c r="J20" s="23">
        <f>+'Datos M9'!AF20</f>
        <v>55.333333333333336</v>
      </c>
      <c r="K20" s="23">
        <f>+'Datos M10'!AF20</f>
        <v>57.966666666666669</v>
      </c>
      <c r="L20" s="20"/>
    </row>
    <row r="21" spans="1:12" x14ac:dyDescent="0.35">
      <c r="A21" s="22" t="s">
        <v>10</v>
      </c>
      <c r="B21" s="23">
        <f>+'Datos M1'!AF21</f>
        <v>0</v>
      </c>
      <c r="C21" s="23">
        <f>+'Datos M2'!AF21</f>
        <v>54.733333333333334</v>
      </c>
      <c r="D21" s="23">
        <f>+'Datos M3'!AF21</f>
        <v>0</v>
      </c>
      <c r="E21" s="23">
        <f>+'Datos M4'!AF21</f>
        <v>82.966666666666669</v>
      </c>
      <c r="F21" s="23">
        <f>+'Datos M5'!AF21</f>
        <v>84.433333333333337</v>
      </c>
      <c r="G21" s="23">
        <f>+'Datos M6'!AF21</f>
        <v>53.466666666666669</v>
      </c>
      <c r="H21" s="23">
        <f>+'Datos M7'!AF21</f>
        <v>53.43333333333333</v>
      </c>
      <c r="I21" s="23">
        <f>+'Datos M8'!AF21</f>
        <v>51.633333333333333</v>
      </c>
      <c r="J21" s="23">
        <f>+'Datos M9'!AF21</f>
        <v>59.466666666666669</v>
      </c>
      <c r="K21" s="23">
        <f>+'Datos M10'!AF21</f>
        <v>60.06666666666667</v>
      </c>
      <c r="L21" s="20"/>
    </row>
    <row r="22" spans="1:12" x14ac:dyDescent="0.35">
      <c r="A22" s="22" t="s">
        <v>11</v>
      </c>
      <c r="B22" s="23">
        <f>+'Datos M1'!AF22</f>
        <v>0</v>
      </c>
      <c r="C22" s="23">
        <f>+'Datos M2'!AF22</f>
        <v>29.9</v>
      </c>
      <c r="D22" s="23">
        <f>+'Datos M3'!AF22</f>
        <v>43.166666666666664</v>
      </c>
      <c r="E22" s="23">
        <f>+'Datos M4'!AF22</f>
        <v>57.366666666666667</v>
      </c>
      <c r="F22" s="23">
        <f>+'Datos M5'!AF22</f>
        <v>0</v>
      </c>
      <c r="G22" s="23">
        <f>+'Datos M6'!AF22</f>
        <v>49.633333333333333</v>
      </c>
      <c r="H22" s="23">
        <f>+'Datos M7'!AF22</f>
        <v>69.7</v>
      </c>
      <c r="I22" s="23">
        <f>+'Datos M8'!AF22</f>
        <v>43.766666666666666</v>
      </c>
      <c r="J22" s="23">
        <f>+'Datos M9'!AF22</f>
        <v>76.5</v>
      </c>
      <c r="K22" s="23">
        <f>+'Datos M10'!AF22</f>
        <v>55.133333333333333</v>
      </c>
      <c r="L22" s="20"/>
    </row>
    <row r="23" spans="1:12" x14ac:dyDescent="0.35">
      <c r="A23" s="22" t="s">
        <v>12</v>
      </c>
      <c r="B23" s="23">
        <f>+'Datos M1'!AF23</f>
        <v>0</v>
      </c>
      <c r="C23" s="23">
        <f>+'Datos M2'!AF23</f>
        <v>0</v>
      </c>
      <c r="D23" s="23">
        <f>+'Datos M3'!AF23</f>
        <v>38.6</v>
      </c>
      <c r="E23" s="23">
        <f>+'Datos M4'!AF23</f>
        <v>0</v>
      </c>
      <c r="F23" s="23">
        <f>+'Datos M5'!AF23</f>
        <v>65.8</v>
      </c>
      <c r="G23" s="23">
        <f>+'Datos M6'!AF23</f>
        <v>76.63333333333334</v>
      </c>
      <c r="H23" s="23">
        <f>+'Datos M7'!AF23</f>
        <v>57.466666666666669</v>
      </c>
      <c r="I23" s="23">
        <f>+'Datos M8'!AF23</f>
        <v>46.466666666666669</v>
      </c>
      <c r="J23" s="23">
        <f>+'Datos M9'!AF23</f>
        <v>40.266666666666666</v>
      </c>
      <c r="K23" s="23">
        <f>+'Datos M10'!AF23</f>
        <v>40.700000000000003</v>
      </c>
      <c r="L23" s="20"/>
    </row>
    <row r="24" spans="1:12" x14ac:dyDescent="0.35">
      <c r="A24" s="22" t="s">
        <v>13</v>
      </c>
      <c r="B24" s="23">
        <f>+'Datos M1'!AF24</f>
        <v>0</v>
      </c>
      <c r="C24" s="23">
        <f>+'Datos M2'!AF24</f>
        <v>58.266666666666666</v>
      </c>
      <c r="D24" s="23">
        <f>+'Datos M3'!AF24</f>
        <v>56.93333333333333</v>
      </c>
      <c r="E24" s="23">
        <f>+'Datos M4'!AF24</f>
        <v>36.966666666666669</v>
      </c>
      <c r="F24" s="23">
        <f>+'Datos M5'!AF24</f>
        <v>71.766666666666666</v>
      </c>
      <c r="G24" s="23">
        <f>+'Datos M6'!AF24</f>
        <v>66.166666666666671</v>
      </c>
      <c r="H24" s="23">
        <f>+'Datos M7'!AF24</f>
        <v>67.8</v>
      </c>
      <c r="I24" s="23">
        <f>+'Datos M8'!AF24</f>
        <v>59.43333333333333</v>
      </c>
      <c r="J24" s="23">
        <f>+'Datos M9'!AF24</f>
        <v>40.666666666666664</v>
      </c>
      <c r="K24" s="23">
        <f>+'Datos M10'!AF24</f>
        <v>46.93333333333333</v>
      </c>
      <c r="L24" s="20"/>
    </row>
    <row r="25" spans="1:12" x14ac:dyDescent="0.35">
      <c r="A25" s="22" t="s">
        <v>14</v>
      </c>
      <c r="B25" s="23">
        <f>+'Datos M1'!AF25</f>
        <v>0</v>
      </c>
      <c r="C25" s="23">
        <f>+'Datos M2'!AF25</f>
        <v>70.5</v>
      </c>
      <c r="D25" s="23">
        <f>+'Datos M3'!AF25</f>
        <v>0</v>
      </c>
      <c r="E25" s="23">
        <f>+'Datos M4'!AF25</f>
        <v>45.56666666666667</v>
      </c>
      <c r="F25" s="23">
        <f>+'Datos M5'!AF25</f>
        <v>58.5</v>
      </c>
      <c r="G25" s="23">
        <f>+'Datos M6'!AF25</f>
        <v>49</v>
      </c>
      <c r="H25" s="23">
        <f>+'Datos M7'!AF25</f>
        <v>74.599999999999994</v>
      </c>
      <c r="I25" s="23">
        <f>+'Datos M8'!AF25</f>
        <v>77.599999999999994</v>
      </c>
      <c r="J25" s="23">
        <f>+'Datos M9'!AF25</f>
        <v>60.43333333333333</v>
      </c>
      <c r="K25" s="23">
        <f>+'Datos M10'!AF25</f>
        <v>53.466666666666669</v>
      </c>
      <c r="L25" s="20"/>
    </row>
    <row r="26" spans="1:12" x14ac:dyDescent="0.35">
      <c r="A26" s="22" t="s">
        <v>15</v>
      </c>
      <c r="B26" s="23">
        <f>+'Datos M1'!AF26</f>
        <v>0</v>
      </c>
      <c r="C26" s="23">
        <f>+'Datos M2'!AF26</f>
        <v>0</v>
      </c>
      <c r="D26" s="23">
        <f>+'Datos M3'!AF26</f>
        <v>0</v>
      </c>
      <c r="E26" s="23">
        <f>+'Datos M4'!AF26</f>
        <v>0</v>
      </c>
      <c r="F26" s="23">
        <f>+'Datos M5'!AF26</f>
        <v>70.333333333333329</v>
      </c>
      <c r="G26" s="23">
        <f>+'Datos M6'!AF26</f>
        <v>62.966666666666669</v>
      </c>
      <c r="H26" s="23">
        <f>+'Datos M7'!AF26</f>
        <v>62.733333333333334</v>
      </c>
      <c r="I26" s="23">
        <f>+'Datos M8'!AF26</f>
        <v>71.566666666666663</v>
      </c>
      <c r="J26" s="23">
        <f>+'Datos M9'!AF26</f>
        <v>27.366666666666667</v>
      </c>
      <c r="K26" s="23">
        <f>+'Datos M10'!AF26</f>
        <v>57</v>
      </c>
      <c r="L26" s="20"/>
    </row>
    <row r="27" spans="1:12" x14ac:dyDescent="0.35">
      <c r="A27" s="22" t="s">
        <v>172</v>
      </c>
      <c r="B27" s="23">
        <f>+'Datos M1'!AF27</f>
        <v>0</v>
      </c>
      <c r="C27" s="23">
        <f>+'Datos M2'!AF27</f>
        <v>0</v>
      </c>
      <c r="D27" s="23">
        <f>+'Datos M3'!AF27</f>
        <v>0</v>
      </c>
      <c r="E27" s="23">
        <f>+'Datos M4'!AF27</f>
        <v>33.833333333333336</v>
      </c>
      <c r="F27" s="23">
        <f>+'Datos M5'!AF27</f>
        <v>54.133333333333333</v>
      </c>
      <c r="G27" s="23">
        <f>+'Datos M6'!AF27</f>
        <v>58.966666666666669</v>
      </c>
      <c r="H27" s="23">
        <f>+'Datos M7'!AF27</f>
        <v>48.633333333333333</v>
      </c>
      <c r="I27" s="23">
        <f>+'Datos M8'!AF27</f>
        <v>40.666666666666664</v>
      </c>
      <c r="J27" s="23">
        <f>+'Datos M9'!AF27</f>
        <v>31.5</v>
      </c>
      <c r="K27" s="23">
        <f>+'Datos M10'!AF27</f>
        <v>61</v>
      </c>
      <c r="L27" s="20"/>
    </row>
    <row r="28" spans="1:12" x14ac:dyDescent="0.35">
      <c r="A28" s="22" t="s">
        <v>16</v>
      </c>
      <c r="B28" s="23">
        <f>+'Datos M1'!AF28</f>
        <v>0</v>
      </c>
      <c r="C28" s="23">
        <f>+'Datos M2'!AF28</f>
        <v>0</v>
      </c>
      <c r="D28" s="23">
        <f>+'Datos M3'!AF28</f>
        <v>53.033333333333331</v>
      </c>
      <c r="E28" s="23">
        <f>+'Datos M4'!AF28</f>
        <v>0</v>
      </c>
      <c r="F28" s="23">
        <f>+'Datos M5'!AF28</f>
        <v>91.8</v>
      </c>
      <c r="G28" s="23">
        <f>+'Datos M6'!AF28</f>
        <v>69.566666666666663</v>
      </c>
      <c r="H28" s="23">
        <f>+'Datos M7'!AF28</f>
        <v>74.733333333333334</v>
      </c>
      <c r="I28" s="23">
        <f>+'Datos M8'!AF28</f>
        <v>69.3</v>
      </c>
      <c r="J28" s="23">
        <f>+'Datos M9'!AF28</f>
        <v>56.366666666666667</v>
      </c>
      <c r="K28" s="23">
        <f>+'Datos M10'!AF28</f>
        <v>49.43333333333333</v>
      </c>
      <c r="L28" s="20"/>
    </row>
    <row r="29" spans="1:12" x14ac:dyDescent="0.35">
      <c r="A29" s="22" t="s">
        <v>195</v>
      </c>
      <c r="B29" s="23">
        <f>+'Datos M1'!AF29</f>
        <v>0</v>
      </c>
      <c r="C29" s="23">
        <f>+'Datos M2'!AF29</f>
        <v>0</v>
      </c>
      <c r="D29" s="23">
        <f>+'Datos M3'!AF29</f>
        <v>76.400000000000006</v>
      </c>
      <c r="E29" s="23">
        <f>+'Datos M4'!AF29</f>
        <v>71.099999999999994</v>
      </c>
      <c r="F29" s="23">
        <f>+'Datos M5'!AF29</f>
        <v>68</v>
      </c>
      <c r="G29" s="23">
        <f>+'Datos M6'!AF29</f>
        <v>50.866666666666667</v>
      </c>
      <c r="H29" s="23">
        <f>+'Datos M7'!AF29</f>
        <v>61.666666666666664</v>
      </c>
      <c r="I29" s="23">
        <f>+'Datos M8'!AF29</f>
        <v>49.133333333333333</v>
      </c>
      <c r="J29" s="23">
        <f>+'Datos M9'!AF29</f>
        <v>39.166666666666664</v>
      </c>
      <c r="K29" s="23">
        <f>+'Datos M10'!AF29</f>
        <v>45.333333333333336</v>
      </c>
      <c r="L29" s="20"/>
    </row>
    <row r="30" spans="1:12" x14ac:dyDescent="0.35">
      <c r="A30" s="22" t="s">
        <v>173</v>
      </c>
      <c r="B30" s="23">
        <f>+'Datos M1'!AF30</f>
        <v>0</v>
      </c>
      <c r="C30" s="23">
        <f>+'Datos M2'!AF30</f>
        <v>0</v>
      </c>
      <c r="D30" s="23">
        <f>+'Datos M3'!AF30</f>
        <v>76.566666666666663</v>
      </c>
      <c r="E30" s="23">
        <f>+'Datos M4'!AF30</f>
        <v>0</v>
      </c>
      <c r="F30" s="23">
        <f>+'Datos M5'!AF30</f>
        <v>70.400000000000006</v>
      </c>
      <c r="G30" s="23">
        <f>+'Datos M6'!AF30</f>
        <v>49.4</v>
      </c>
      <c r="H30" s="23">
        <f>+'Datos M7'!AF30</f>
        <v>70.7</v>
      </c>
      <c r="I30" s="23">
        <f>+'Datos M8'!AF30</f>
        <v>50.866666666666667</v>
      </c>
      <c r="J30" s="23">
        <f>+'Datos M9'!AF30</f>
        <v>50.7</v>
      </c>
      <c r="K30" s="23">
        <f>+'Datos M10'!AF30</f>
        <v>58.333333333333336</v>
      </c>
      <c r="L30" s="20"/>
    </row>
    <row r="31" spans="1:12" x14ac:dyDescent="0.35">
      <c r="A31" s="22" t="s">
        <v>17</v>
      </c>
      <c r="B31" s="23">
        <f>+'Datos M1'!AF31</f>
        <v>0</v>
      </c>
      <c r="C31" s="23">
        <f>+'Datos M2'!AF31</f>
        <v>38.166666666666664</v>
      </c>
      <c r="D31" s="23">
        <f>+'Datos M3'!AF31</f>
        <v>0</v>
      </c>
      <c r="E31" s="23">
        <f>+'Datos M4'!AF31</f>
        <v>58.466666666666669</v>
      </c>
      <c r="F31" s="23">
        <f>+'Datos M5'!AF31</f>
        <v>60.266666666666666</v>
      </c>
      <c r="G31" s="23">
        <f>+'Datos M6'!AF31</f>
        <v>36.966666666666669</v>
      </c>
      <c r="H31" s="23">
        <f>+'Datos M7'!AF31</f>
        <v>62.9</v>
      </c>
      <c r="I31" s="23">
        <f>+'Datos M8'!AF31</f>
        <v>56.6</v>
      </c>
      <c r="J31" s="23">
        <f>+'Datos M9'!AF31</f>
        <v>91.1</v>
      </c>
      <c r="K31" s="23">
        <f>+'Datos M10'!AF31</f>
        <v>49.133333333333333</v>
      </c>
      <c r="L31" s="20"/>
    </row>
    <row r="32" spans="1:12" x14ac:dyDescent="0.35">
      <c r="A32" s="22" t="s">
        <v>18</v>
      </c>
      <c r="B32" s="23">
        <f>+'Datos M1'!AF32</f>
        <v>0</v>
      </c>
      <c r="C32" s="23">
        <f>+'Datos M2'!AF32</f>
        <v>0</v>
      </c>
      <c r="D32" s="23">
        <f>+'Datos M3'!AF32</f>
        <v>34.43333333333333</v>
      </c>
      <c r="E32" s="23">
        <f>+'Datos M4'!AF32</f>
        <v>101.6</v>
      </c>
      <c r="F32" s="23">
        <f>+'Datos M5'!AF32</f>
        <v>39.200000000000003</v>
      </c>
      <c r="G32" s="23">
        <f>+'Datos M6'!AF32</f>
        <v>61.1</v>
      </c>
      <c r="H32" s="23">
        <f>+'Datos M7'!AF32</f>
        <v>65.3</v>
      </c>
      <c r="I32" s="23">
        <f>+'Datos M8'!AF32</f>
        <v>58.533333333333331</v>
      </c>
      <c r="J32" s="23">
        <f>+'Datos M9'!AF32</f>
        <v>75.466666666666669</v>
      </c>
      <c r="K32" s="23">
        <f>+'Datos M10'!AF32</f>
        <v>42.633333333333333</v>
      </c>
      <c r="L32" s="20"/>
    </row>
    <row r="33" spans="1:12" x14ac:dyDescent="0.35">
      <c r="A33" s="22" t="s">
        <v>19</v>
      </c>
      <c r="B33" s="23">
        <f>+'Datos M1'!AF33</f>
        <v>0</v>
      </c>
      <c r="C33" s="23">
        <f>+'Datos M2'!AF33</f>
        <v>0</v>
      </c>
      <c r="D33" s="23">
        <f>+'Datos M3'!AF33</f>
        <v>46.8</v>
      </c>
      <c r="E33" s="23">
        <f>+'Datos M4'!AF33</f>
        <v>48.466666666666669</v>
      </c>
      <c r="F33" s="23">
        <f>+'Datos M5'!AF33</f>
        <v>77.566666666666663</v>
      </c>
      <c r="G33" s="23">
        <f>+'Datos M6'!AF33</f>
        <v>77.033333333333331</v>
      </c>
      <c r="H33" s="23">
        <f>+'Datos M7'!AF33</f>
        <v>64.63333333333334</v>
      </c>
      <c r="I33" s="23">
        <f>+'Datos M8'!AF33</f>
        <v>50.4</v>
      </c>
      <c r="J33" s="23">
        <f>+'Datos M9'!AF33</f>
        <v>25.1</v>
      </c>
      <c r="K33" s="23">
        <f>+'Datos M10'!AF33</f>
        <v>45.06666666666667</v>
      </c>
      <c r="L33" s="20"/>
    </row>
    <row r="34" spans="1:12" x14ac:dyDescent="0.35">
      <c r="A34" s="22" t="s">
        <v>174</v>
      </c>
      <c r="B34" s="23">
        <f>+'Datos M1'!AF34</f>
        <v>48.8</v>
      </c>
      <c r="C34" s="23">
        <f>+'Datos M2'!AF34</f>
        <v>74.900000000000006</v>
      </c>
      <c r="D34" s="23">
        <f>+'Datos M3'!AF34</f>
        <v>63.233333333333334</v>
      </c>
      <c r="E34" s="23">
        <f>+'Datos M4'!AF34</f>
        <v>0</v>
      </c>
      <c r="F34" s="23">
        <f>+'Datos M5'!AF34</f>
        <v>32.966666666666669</v>
      </c>
      <c r="G34" s="23">
        <f>+'Datos M6'!AF34</f>
        <v>67.7</v>
      </c>
      <c r="H34" s="23">
        <f>+'Datos M7'!AF34</f>
        <v>32.466666666666669</v>
      </c>
      <c r="I34" s="23">
        <f>+'Datos M8'!AF34</f>
        <v>66.966666666666669</v>
      </c>
      <c r="J34" s="23">
        <f>+'Datos M9'!AF34</f>
        <v>33.033333333333331</v>
      </c>
      <c r="K34" s="23">
        <f>+'Datos M10'!AF34</f>
        <v>44.966666666666669</v>
      </c>
      <c r="L34" s="20"/>
    </row>
    <row r="35" spans="1:12" x14ac:dyDescent="0.35">
      <c r="A35" s="22" t="s">
        <v>20</v>
      </c>
      <c r="B35" s="23">
        <f>+'Datos M1'!AF35</f>
        <v>21.733333333333334</v>
      </c>
      <c r="C35" s="23">
        <f>+'Datos M2'!AF35</f>
        <v>54.133333333333333</v>
      </c>
      <c r="D35" s="23">
        <f>+'Datos M3'!AF35</f>
        <v>61.233333333333334</v>
      </c>
      <c r="E35" s="23">
        <f>+'Datos M4'!AF35</f>
        <v>0</v>
      </c>
      <c r="F35" s="23">
        <f>+'Datos M5'!AF35</f>
        <v>75.7</v>
      </c>
      <c r="G35" s="23">
        <f>+'Datos M6'!AF35</f>
        <v>51.3</v>
      </c>
      <c r="H35" s="23">
        <f>+'Datos M7'!AF35</f>
        <v>52.7</v>
      </c>
      <c r="I35" s="23">
        <f>+'Datos M8'!AF35</f>
        <v>59.033333333333331</v>
      </c>
      <c r="J35" s="23">
        <f>+'Datos M9'!AF35</f>
        <v>59.9</v>
      </c>
      <c r="K35" s="23">
        <f>+'Datos M10'!AF35</f>
        <v>63.7</v>
      </c>
      <c r="L35" s="20"/>
    </row>
    <row r="36" spans="1:12" x14ac:dyDescent="0.35">
      <c r="A36" s="22" t="s">
        <v>21</v>
      </c>
      <c r="B36" s="23">
        <f>+'Datos M1'!AF36</f>
        <v>76.5</v>
      </c>
      <c r="C36" s="23">
        <f>+'Datos M2'!AF36</f>
        <v>44.93333333333333</v>
      </c>
      <c r="D36" s="23">
        <f>+'Datos M3'!AF36</f>
        <v>59.366666666666667</v>
      </c>
      <c r="E36" s="23">
        <f>+'Datos M4'!AF36</f>
        <v>0</v>
      </c>
      <c r="F36" s="23">
        <f>+'Datos M5'!AF36</f>
        <v>0</v>
      </c>
      <c r="G36" s="23">
        <f>+'Datos M6'!AF36</f>
        <v>65.3</v>
      </c>
      <c r="H36" s="23">
        <f>+'Datos M7'!AF36</f>
        <v>45.8</v>
      </c>
      <c r="I36" s="23">
        <f>+'Datos M8'!AF36</f>
        <v>72</v>
      </c>
      <c r="J36" s="23">
        <f>+'Datos M9'!AF36</f>
        <v>46.7</v>
      </c>
      <c r="K36" s="23">
        <f>+'Datos M10'!AF36</f>
        <v>0</v>
      </c>
      <c r="L36" s="20"/>
    </row>
    <row r="37" spans="1:12" x14ac:dyDescent="0.35">
      <c r="A37" s="22" t="s">
        <v>22</v>
      </c>
      <c r="B37" s="23">
        <f>+'Datos M1'!AF37</f>
        <v>28.066666666666666</v>
      </c>
      <c r="C37" s="23">
        <f>+'Datos M2'!AF37</f>
        <v>49.033333333333331</v>
      </c>
      <c r="D37" s="23">
        <f>+'Datos M3'!AF37</f>
        <v>62.9</v>
      </c>
      <c r="E37" s="23">
        <f>+'Datos M4'!AF37</f>
        <v>42.6</v>
      </c>
      <c r="F37" s="23">
        <f>+'Datos M5'!AF37</f>
        <v>73.900000000000006</v>
      </c>
      <c r="G37" s="23">
        <f>+'Datos M6'!AF37</f>
        <v>47.166666666666664</v>
      </c>
      <c r="H37" s="23">
        <f>+'Datos M7'!AF37</f>
        <v>76.733333333333334</v>
      </c>
      <c r="I37" s="23">
        <f>+'Datos M8'!AF37</f>
        <v>0</v>
      </c>
      <c r="J37" s="23">
        <f>+'Datos M9'!AF37</f>
        <v>54.4</v>
      </c>
      <c r="K37" s="23">
        <f>+'Datos M10'!AF37</f>
        <v>0</v>
      </c>
      <c r="L37" s="20"/>
    </row>
    <row r="38" spans="1:12" x14ac:dyDescent="0.35">
      <c r="A38" s="22" t="s">
        <v>23</v>
      </c>
      <c r="B38" s="23">
        <f>+'Datos M1'!AF38</f>
        <v>15.7</v>
      </c>
      <c r="C38" s="23">
        <f>+'Datos M2'!AF38</f>
        <v>38.233333333333334</v>
      </c>
      <c r="D38" s="23">
        <f>+'Datos M3'!AF38</f>
        <v>41.633333333333333</v>
      </c>
      <c r="E38" s="23">
        <f>+'Datos M4'!AF38</f>
        <v>72.333333333333329</v>
      </c>
      <c r="F38" s="23">
        <f>+'Datos M5'!AF38</f>
        <v>64.833333333333329</v>
      </c>
      <c r="G38" s="23">
        <f>+'Datos M6'!AF38</f>
        <v>64.5</v>
      </c>
      <c r="H38" s="23">
        <f>+'Datos M7'!AF38</f>
        <v>56.633333333333333</v>
      </c>
      <c r="I38" s="23">
        <f>+'Datos M8'!AF38</f>
        <v>44.633333333333333</v>
      </c>
      <c r="J38" s="23">
        <f>+'Datos M9'!AF38</f>
        <v>51.766666666666666</v>
      </c>
      <c r="K38" s="23">
        <f>+'Datos M10'!AF38</f>
        <v>0</v>
      </c>
      <c r="L38" s="20"/>
    </row>
    <row r="39" spans="1:12" x14ac:dyDescent="0.35">
      <c r="A39" s="22" t="s">
        <v>24</v>
      </c>
      <c r="B39" s="23">
        <f>+'Datos M1'!AF39</f>
        <v>29.5</v>
      </c>
      <c r="C39" s="23">
        <f>+'Datos M2'!AF39</f>
        <v>44.733333333333334</v>
      </c>
      <c r="D39" s="23">
        <f>+'Datos M3'!AF39</f>
        <v>40.833333333333336</v>
      </c>
      <c r="E39" s="23">
        <f>+'Datos M4'!AF39</f>
        <v>59.366666666666667</v>
      </c>
      <c r="F39" s="23">
        <f>+'Datos M5'!AF39</f>
        <v>46.1</v>
      </c>
      <c r="G39" s="23">
        <f>+'Datos M6'!AF39</f>
        <v>65.833333333333329</v>
      </c>
      <c r="H39" s="23">
        <f>+'Datos M7'!AF39</f>
        <v>47.06666666666667</v>
      </c>
      <c r="I39" s="23">
        <f>+'Datos M8'!AF39</f>
        <v>67.63333333333334</v>
      </c>
      <c r="J39" s="23">
        <f>+'Datos M9'!AF39</f>
        <v>40.366666666666667</v>
      </c>
      <c r="K39" s="23">
        <f>+'Datos M10'!AF39</f>
        <v>0</v>
      </c>
      <c r="L39" s="20"/>
    </row>
    <row r="40" spans="1:12" x14ac:dyDescent="0.35">
      <c r="A40" s="22" t="s">
        <v>25</v>
      </c>
      <c r="B40" s="23">
        <f>+'Datos M1'!AF40</f>
        <v>40.166666666666664</v>
      </c>
      <c r="C40" s="23">
        <f>+'Datos M2'!AF40</f>
        <v>62.56666666666667</v>
      </c>
      <c r="D40" s="23">
        <f>+'Datos M3'!AF40</f>
        <v>63.666666666666664</v>
      </c>
      <c r="E40" s="23">
        <f>+'Datos M4'!AF40</f>
        <v>83.13333333333334</v>
      </c>
      <c r="F40" s="23">
        <f>+'Datos M5'!AF40</f>
        <v>60.7</v>
      </c>
      <c r="G40" s="23">
        <f>+'Datos M6'!AF40</f>
        <v>51.3</v>
      </c>
      <c r="H40" s="23">
        <f>+'Datos M7'!AF40</f>
        <v>57.8</v>
      </c>
      <c r="I40" s="23">
        <f>+'Datos M8'!AF40</f>
        <v>58.6</v>
      </c>
      <c r="J40" s="23">
        <f>+'Datos M9'!AF40</f>
        <v>68.933333333333337</v>
      </c>
      <c r="K40" s="23">
        <f>+'Datos M10'!AF40</f>
        <v>0</v>
      </c>
      <c r="L40" s="20"/>
    </row>
    <row r="41" spans="1:12" x14ac:dyDescent="0.35">
      <c r="A41" s="22" t="s">
        <v>26</v>
      </c>
      <c r="B41" s="23">
        <f>+'Datos M1'!AF41</f>
        <v>35.200000000000003</v>
      </c>
      <c r="C41" s="23">
        <f>+'Datos M2'!AF41</f>
        <v>64.966666666666669</v>
      </c>
      <c r="D41" s="23">
        <f>+'Datos M3'!AF41</f>
        <v>0</v>
      </c>
      <c r="E41" s="23">
        <f>+'Datos M4'!AF41</f>
        <v>91.3</v>
      </c>
      <c r="F41" s="23">
        <f>+'Datos M5'!AF41</f>
        <v>82.266666666666666</v>
      </c>
      <c r="G41" s="23">
        <f>+'Datos M6'!AF41</f>
        <v>0</v>
      </c>
      <c r="H41" s="23">
        <f>+'Datos M7'!AF41</f>
        <v>47.366666666666667</v>
      </c>
      <c r="I41" s="23">
        <f>+'Datos M8'!AF41</f>
        <v>84.433333333333337</v>
      </c>
      <c r="J41" s="23">
        <f>+'Datos M9'!AF41</f>
        <v>59.666666666666664</v>
      </c>
      <c r="K41" s="23">
        <f>+'Datos M10'!AF41</f>
        <v>0</v>
      </c>
      <c r="L41" s="20"/>
    </row>
    <row r="42" spans="1:12" x14ac:dyDescent="0.35">
      <c r="A42" s="22" t="s">
        <v>27</v>
      </c>
      <c r="B42" s="23">
        <f>+'Datos M1'!AF42</f>
        <v>0</v>
      </c>
      <c r="C42" s="23">
        <f>+'Datos M2'!AF42</f>
        <v>65.533333333333331</v>
      </c>
      <c r="D42" s="23">
        <f>+'Datos M3'!AF42</f>
        <v>41.7</v>
      </c>
      <c r="E42" s="23">
        <f>+'Datos M4'!AF42</f>
        <v>40.033333333333331</v>
      </c>
      <c r="F42" s="23">
        <f>+'Datos M5'!AF42</f>
        <v>52.43333333333333</v>
      </c>
      <c r="G42" s="23">
        <f>+'Datos M6'!AF42</f>
        <v>40.733333333333334</v>
      </c>
      <c r="H42" s="23">
        <f>+'Datos M7'!AF42</f>
        <v>57.5</v>
      </c>
      <c r="I42" s="23">
        <f>+'Datos M8'!AF42</f>
        <v>35.366666666666667</v>
      </c>
      <c r="J42" s="23">
        <f>+'Datos M9'!AF42</f>
        <v>37.766666666666666</v>
      </c>
      <c r="K42" s="23">
        <f>+'Datos M10'!AF42</f>
        <v>0</v>
      </c>
      <c r="L42" s="20"/>
    </row>
    <row r="43" spans="1:12" x14ac:dyDescent="0.35">
      <c r="A43" s="22" t="s">
        <v>164</v>
      </c>
      <c r="B43" s="23">
        <f>+'Datos M1'!AF43</f>
        <v>31.533333333333335</v>
      </c>
      <c r="C43" s="23">
        <f>+'Datos M2'!AF43</f>
        <v>0</v>
      </c>
      <c r="D43" s="23">
        <f>+'Datos M3'!AF43</f>
        <v>64.766666666666666</v>
      </c>
      <c r="E43" s="23">
        <f>+'Datos M4'!AF43</f>
        <v>56.633333333333333</v>
      </c>
      <c r="F43" s="23">
        <f>+'Datos M5'!AF43</f>
        <v>73</v>
      </c>
      <c r="G43" s="23">
        <f>+'Datos M6'!AF43</f>
        <v>66.63333333333334</v>
      </c>
      <c r="H43" s="23">
        <f>+'Datos M7'!AF43</f>
        <v>50.866666666666667</v>
      </c>
      <c r="I43" s="23">
        <f>+'Datos M8'!AF43</f>
        <v>32.633333333333333</v>
      </c>
      <c r="J43" s="23">
        <f>+'Datos M9'!AF43</f>
        <v>29.266666666666666</v>
      </c>
      <c r="K43" s="23">
        <f>+'Datos M10'!AF43</f>
        <v>38.06666666666667</v>
      </c>
      <c r="L43" s="20"/>
    </row>
    <row r="44" spans="1:12" x14ac:dyDescent="0.35">
      <c r="A44" s="22" t="s">
        <v>28</v>
      </c>
      <c r="B44" s="23">
        <f>+'Datos M1'!AF44</f>
        <v>33.766666666666666</v>
      </c>
      <c r="C44" s="23">
        <f>+'Datos M2'!AF44</f>
        <v>37.666666666666664</v>
      </c>
      <c r="D44" s="23">
        <f>+'Datos M3'!AF44</f>
        <v>61.6</v>
      </c>
      <c r="E44" s="23">
        <f>+'Datos M4'!AF44</f>
        <v>61.966666666666669</v>
      </c>
      <c r="F44" s="23">
        <f>+'Datos M5'!AF44</f>
        <v>61.4</v>
      </c>
      <c r="G44" s="23">
        <f>+'Datos M6'!AF44</f>
        <v>63.6</v>
      </c>
      <c r="H44" s="23">
        <f>+'Datos M7'!AF44</f>
        <v>66.766666666666666</v>
      </c>
      <c r="I44" s="23">
        <f>+'Datos M8'!AF44</f>
        <v>59.733333333333334</v>
      </c>
      <c r="J44" s="23">
        <f>+'Datos M9'!AF44</f>
        <v>38.633333333333333</v>
      </c>
      <c r="K44" s="23">
        <f>+'Datos M10'!AF44</f>
        <v>45.7</v>
      </c>
      <c r="L44" s="20"/>
    </row>
    <row r="45" spans="1:12" x14ac:dyDescent="0.35">
      <c r="A45" s="22" t="s">
        <v>29</v>
      </c>
      <c r="B45" s="23">
        <f>+'Datos M1'!AF45</f>
        <v>28.7</v>
      </c>
      <c r="C45" s="23">
        <f>+'Datos M2'!AF45</f>
        <v>44.833333333333336</v>
      </c>
      <c r="D45" s="23">
        <f>+'Datos M3'!AF45</f>
        <v>48.43333333333333</v>
      </c>
      <c r="E45" s="23">
        <f>+'Datos M4'!AF45</f>
        <v>49.366666666666667</v>
      </c>
      <c r="F45" s="23">
        <f>+'Datos M5'!AF45</f>
        <v>66.566666666666663</v>
      </c>
      <c r="G45" s="23">
        <f>+'Datos M6'!AF45</f>
        <v>49.6</v>
      </c>
      <c r="H45" s="23">
        <f>+'Datos M7'!AF45</f>
        <v>48.56666666666667</v>
      </c>
      <c r="I45" s="23">
        <f>+'Datos M8'!AF45</f>
        <v>36.799999999999997</v>
      </c>
      <c r="J45" s="23">
        <f>+'Datos M9'!AF45</f>
        <v>55.833333333333336</v>
      </c>
      <c r="K45" s="23">
        <f>+'Datos M10'!AF45</f>
        <v>36.866666666666667</v>
      </c>
      <c r="L45" s="20"/>
    </row>
    <row r="46" spans="1:12" x14ac:dyDescent="0.35">
      <c r="A46" s="22" t="s">
        <v>30</v>
      </c>
      <c r="B46" s="23">
        <f>+'Datos M1'!AF46</f>
        <v>37.299999999999997</v>
      </c>
      <c r="C46" s="23">
        <f>+'Datos M2'!AF46</f>
        <v>74</v>
      </c>
      <c r="D46" s="23">
        <f>+'Datos M3'!AF46</f>
        <v>37.333333333333336</v>
      </c>
      <c r="E46" s="23">
        <f>+'Datos M4'!AF46</f>
        <v>71.033333333333331</v>
      </c>
      <c r="F46" s="23">
        <f>+'Datos M5'!AF46</f>
        <v>65.233333333333334</v>
      </c>
      <c r="G46" s="23">
        <f>+'Datos M6'!AF46</f>
        <v>39.533333333333331</v>
      </c>
      <c r="H46" s="23">
        <f>+'Datos M7'!AF46</f>
        <v>53.833333333333336</v>
      </c>
      <c r="I46" s="23">
        <f>+'Datos M8'!AF46</f>
        <v>48.1</v>
      </c>
      <c r="J46" s="23">
        <f>+'Datos M9'!AF46</f>
        <v>55.7</v>
      </c>
      <c r="K46" s="23">
        <f>+'Datos M10'!AF46</f>
        <v>41.833333333333336</v>
      </c>
      <c r="L46" s="20"/>
    </row>
    <row r="47" spans="1:12" x14ac:dyDescent="0.35">
      <c r="A47" s="22" t="s">
        <v>175</v>
      </c>
      <c r="B47" s="23">
        <f>+'Datos M1'!AF47</f>
        <v>34.533333333333331</v>
      </c>
      <c r="C47" s="23">
        <f>+'Datos M2'!AF47</f>
        <v>41.2</v>
      </c>
      <c r="D47" s="23">
        <f>+'Datos M3'!AF47</f>
        <v>79.266666666666666</v>
      </c>
      <c r="E47" s="23">
        <f>+'Datos M4'!AF47</f>
        <v>75.433333333333337</v>
      </c>
      <c r="F47" s="23">
        <f>+'Datos M5'!AF47</f>
        <v>72.333333333333329</v>
      </c>
      <c r="G47" s="23">
        <f>+'Datos M6'!AF47</f>
        <v>40.533333333333331</v>
      </c>
      <c r="H47" s="23">
        <f>+'Datos M7'!AF47</f>
        <v>64.86666666666666</v>
      </c>
      <c r="I47" s="23">
        <f>+'Datos M8'!AF47</f>
        <v>71.36666666666666</v>
      </c>
      <c r="J47" s="23">
        <f>+'Datos M9'!AF47</f>
        <v>55.266666666666666</v>
      </c>
      <c r="K47" s="23">
        <f>+'Datos M10'!AF47</f>
        <v>49.43333333333333</v>
      </c>
      <c r="L47" s="20"/>
    </row>
    <row r="48" spans="1:12" x14ac:dyDescent="0.35">
      <c r="A48" s="22" t="s">
        <v>31</v>
      </c>
      <c r="B48" s="23">
        <f>+'Datos M1'!AF48</f>
        <v>0</v>
      </c>
      <c r="C48" s="23">
        <f>+'Datos M2'!AF48</f>
        <v>43</v>
      </c>
      <c r="D48" s="23">
        <f>+'Datos M3'!AF48</f>
        <v>70.099999999999994</v>
      </c>
      <c r="E48" s="23">
        <f>+'Datos M4'!AF48</f>
        <v>49.033333333333331</v>
      </c>
      <c r="F48" s="23">
        <f>+'Datos M5'!AF48</f>
        <v>66.63333333333334</v>
      </c>
      <c r="G48" s="23">
        <f>+'Datos M6'!AF48</f>
        <v>39.43333333333333</v>
      </c>
      <c r="H48" s="23">
        <f>+'Datos M7'!AF48</f>
        <v>47.333333333333336</v>
      </c>
      <c r="I48" s="23">
        <f>+'Datos M8'!AF48</f>
        <v>47.3</v>
      </c>
      <c r="J48" s="23">
        <f>+'Datos M9'!AF48</f>
        <v>81.7</v>
      </c>
      <c r="K48" s="23">
        <f>+'Datos M10'!AF48</f>
        <v>45.466666666666669</v>
      </c>
      <c r="L48" s="20"/>
    </row>
    <row r="49" spans="1:12" x14ac:dyDescent="0.35">
      <c r="A49" s="22" t="s">
        <v>32</v>
      </c>
      <c r="B49" s="23">
        <f>+'Datos M1'!AF49</f>
        <v>40.93333333333333</v>
      </c>
      <c r="C49" s="23">
        <f>+'Datos M2'!AF49</f>
        <v>42.4</v>
      </c>
      <c r="D49" s="23">
        <f>+'Datos M3'!AF49</f>
        <v>60.633333333333333</v>
      </c>
      <c r="E49" s="23">
        <f>+'Datos M4'!AF49</f>
        <v>73.233333333333334</v>
      </c>
      <c r="F49" s="23">
        <f>+'Datos M5'!AF49</f>
        <v>51.4</v>
      </c>
      <c r="G49" s="23">
        <f>+'Datos M6'!AF49</f>
        <v>71.333333333333329</v>
      </c>
      <c r="H49" s="23">
        <f>+'Datos M7'!AF49</f>
        <v>48.833333333333336</v>
      </c>
      <c r="I49" s="23">
        <f>+'Datos M8'!AF49</f>
        <v>51.366666666666667</v>
      </c>
      <c r="J49" s="23">
        <f>+'Datos M9'!AF49</f>
        <v>80.36666666666666</v>
      </c>
      <c r="K49" s="23">
        <f>+'Datos M10'!AF49</f>
        <v>52.1</v>
      </c>
      <c r="L49" s="20"/>
    </row>
    <row r="50" spans="1:12" x14ac:dyDescent="0.35">
      <c r="A50" s="22" t="s">
        <v>33</v>
      </c>
      <c r="B50" s="23">
        <f>+'Datos M1'!AF50</f>
        <v>4.5</v>
      </c>
      <c r="C50" s="23">
        <f>+'Datos M2'!AF50</f>
        <v>83.5</v>
      </c>
      <c r="D50" s="23">
        <f>+'Datos M3'!AF50</f>
        <v>38</v>
      </c>
      <c r="E50" s="23">
        <f>+'Datos M4'!AF50</f>
        <v>78.099999999999994</v>
      </c>
      <c r="F50" s="23">
        <f>+'Datos M5'!AF50</f>
        <v>65.966666666666669</v>
      </c>
      <c r="G50" s="23">
        <f>+'Datos M6'!AF50</f>
        <v>57.166666666666664</v>
      </c>
      <c r="H50" s="23">
        <f>+'Datos M7'!AF50</f>
        <v>65.766666666666666</v>
      </c>
      <c r="I50" s="23">
        <f>+'Datos M8'!AF50</f>
        <v>40.1</v>
      </c>
      <c r="J50" s="23">
        <f>+'Datos M9'!AF50</f>
        <v>66.433333333333337</v>
      </c>
      <c r="K50" s="23">
        <f>+'Datos M10'!AF50</f>
        <v>45.6</v>
      </c>
      <c r="L50" s="20"/>
    </row>
    <row r="51" spans="1:12" x14ac:dyDescent="0.35">
      <c r="A51" s="22" t="s">
        <v>34</v>
      </c>
      <c r="B51" s="23">
        <f>+'Datos M1'!AF51</f>
        <v>35.56666666666667</v>
      </c>
      <c r="C51" s="23">
        <f>+'Datos M2'!AF51</f>
        <v>0</v>
      </c>
      <c r="D51" s="23">
        <f>+'Datos M3'!AF51</f>
        <v>49.666666666666664</v>
      </c>
      <c r="E51" s="23">
        <f>+'Datos M4'!AF51</f>
        <v>66.099999999999994</v>
      </c>
      <c r="F51" s="23">
        <f>+'Datos M5'!AF51</f>
        <v>65.3</v>
      </c>
      <c r="G51" s="23">
        <f>+'Datos M6'!AF51</f>
        <v>44.43333333333333</v>
      </c>
      <c r="H51" s="23">
        <f>+'Datos M7'!AF51</f>
        <v>90.766666666666666</v>
      </c>
      <c r="I51" s="23">
        <f>+'Datos M8'!AF51</f>
        <v>43.93333333333333</v>
      </c>
      <c r="J51" s="23">
        <f>+'Datos M9'!AF51</f>
        <v>79.566666666666663</v>
      </c>
      <c r="K51" s="23">
        <f>+'Datos M10'!AF51</f>
        <v>54.93333333333333</v>
      </c>
      <c r="L51" s="20"/>
    </row>
    <row r="52" spans="1:12" x14ac:dyDescent="0.35">
      <c r="A52" s="22" t="s">
        <v>35</v>
      </c>
      <c r="B52" s="23">
        <f>+'Datos M1'!AF52</f>
        <v>0</v>
      </c>
      <c r="C52" s="23">
        <f>+'Datos M2'!AF52</f>
        <v>68.433333333333337</v>
      </c>
      <c r="D52" s="23">
        <f>+'Datos M3'!AF52</f>
        <v>46.633333333333333</v>
      </c>
      <c r="E52" s="23">
        <f>+'Datos M4'!AF52</f>
        <v>38.833333333333336</v>
      </c>
      <c r="F52" s="23">
        <f>+'Datos M5'!AF52</f>
        <v>38.5</v>
      </c>
      <c r="G52" s="23">
        <f>+'Datos M6'!AF52</f>
        <v>67.966666666666669</v>
      </c>
      <c r="H52" s="23">
        <f>+'Datos M7'!AF52</f>
        <v>68.766666666666666</v>
      </c>
      <c r="I52" s="23">
        <f>+'Datos M8'!AF52</f>
        <v>63.2</v>
      </c>
      <c r="J52" s="23">
        <f>+'Datos M9'!AF52</f>
        <v>65.5</v>
      </c>
      <c r="K52" s="23">
        <f>+'Datos M10'!AF52</f>
        <v>43.1</v>
      </c>
      <c r="L52" s="20"/>
    </row>
    <row r="53" spans="1:12" x14ac:dyDescent="0.35">
      <c r="A53" s="22" t="s">
        <v>36</v>
      </c>
      <c r="B53" s="23">
        <f>+'Datos M1'!AF53</f>
        <v>0</v>
      </c>
      <c r="C53" s="23">
        <f>+'Datos M2'!AF53</f>
        <v>75.433333333333337</v>
      </c>
      <c r="D53" s="23">
        <f>+'Datos M3'!AF53</f>
        <v>72.533333333333331</v>
      </c>
      <c r="E53" s="23">
        <f>+'Datos M4'!AF53</f>
        <v>48.666666666666664</v>
      </c>
      <c r="F53" s="23">
        <f>+'Datos M5'!AF53</f>
        <v>44.43333333333333</v>
      </c>
      <c r="G53" s="23">
        <f>+'Datos M6'!AF53</f>
        <v>58.366666666666667</v>
      </c>
      <c r="H53" s="23">
        <f>+'Datos M7'!AF53</f>
        <v>70.066666666666663</v>
      </c>
      <c r="I53" s="23">
        <f>+'Datos M8'!AF53</f>
        <v>46.133333333333333</v>
      </c>
      <c r="J53" s="23">
        <f>+'Datos M9'!AF53</f>
        <v>63.366666666666667</v>
      </c>
      <c r="K53" s="23">
        <f>+'Datos M10'!AF53</f>
        <v>50.733333333333334</v>
      </c>
      <c r="L53" s="20"/>
    </row>
    <row r="54" spans="1:12" x14ac:dyDescent="0.35">
      <c r="A54" s="22" t="s">
        <v>37</v>
      </c>
      <c r="B54" s="23">
        <f>+'Datos M1'!AF54</f>
        <v>0</v>
      </c>
      <c r="C54" s="23">
        <f>+'Datos M2'!AF54</f>
        <v>30.366666666666667</v>
      </c>
      <c r="D54" s="23">
        <f>+'Datos M3'!AF54</f>
        <v>39.633333333333333</v>
      </c>
      <c r="E54" s="23">
        <f>+'Datos M4'!AF54</f>
        <v>46.233333333333334</v>
      </c>
      <c r="F54" s="23">
        <f>+'Datos M5'!AF54</f>
        <v>46.133333333333333</v>
      </c>
      <c r="G54" s="23">
        <f>+'Datos M6'!AF54</f>
        <v>53.966666666666669</v>
      </c>
      <c r="H54" s="23">
        <f>+'Datos M7'!AF54</f>
        <v>61.966666666666669</v>
      </c>
      <c r="I54" s="23">
        <f>+'Datos M8'!AF54</f>
        <v>46.6</v>
      </c>
      <c r="J54" s="23">
        <f>+'Datos M9'!AF54</f>
        <v>68</v>
      </c>
      <c r="K54" s="23">
        <f>+'Datos M10'!AF54</f>
        <v>41.466666666666669</v>
      </c>
      <c r="L54" s="20"/>
    </row>
    <row r="55" spans="1:12" x14ac:dyDescent="0.35">
      <c r="A55" s="22" t="s">
        <v>38</v>
      </c>
      <c r="B55" s="23">
        <f>+'Datos M1'!AF55</f>
        <v>0</v>
      </c>
      <c r="C55" s="23">
        <f>+'Datos M2'!AF55</f>
        <v>0</v>
      </c>
      <c r="D55" s="23">
        <f>+'Datos M3'!AF55</f>
        <v>53.533333333333331</v>
      </c>
      <c r="E55" s="23">
        <f>+'Datos M4'!AF55</f>
        <v>65.8</v>
      </c>
      <c r="F55" s="23">
        <f>+'Datos M5'!AF55</f>
        <v>90.4</v>
      </c>
      <c r="G55" s="23">
        <f>+'Datos M6'!AF55</f>
        <v>43.766666666666666</v>
      </c>
      <c r="H55" s="23">
        <f>+'Datos M7'!AF55</f>
        <v>63.166666666666664</v>
      </c>
      <c r="I55" s="23">
        <f>+'Datos M8'!AF55</f>
        <v>44.833333333333336</v>
      </c>
      <c r="J55" s="23">
        <f>+'Datos M9'!AF55</f>
        <v>59</v>
      </c>
      <c r="K55" s="23">
        <f>+'Datos M10'!AF55</f>
        <v>47.6</v>
      </c>
      <c r="L55" s="20"/>
    </row>
    <row r="56" spans="1:12" x14ac:dyDescent="0.35">
      <c r="A56" s="22" t="s">
        <v>39</v>
      </c>
      <c r="B56" s="23">
        <f>+'Datos M1'!AF56</f>
        <v>0</v>
      </c>
      <c r="C56" s="23">
        <f>+'Datos M2'!AF56</f>
        <v>74.566666666666663</v>
      </c>
      <c r="D56" s="23">
        <f>+'Datos M3'!AF56</f>
        <v>51.766666666666666</v>
      </c>
      <c r="E56" s="23">
        <f>+'Datos M4'!AF56</f>
        <v>59.466666666666669</v>
      </c>
      <c r="F56" s="23">
        <f>+'Datos M5'!AF56</f>
        <v>44.733333333333334</v>
      </c>
      <c r="G56" s="23">
        <f>+'Datos M6'!AF56</f>
        <v>59.866666666666667</v>
      </c>
      <c r="H56" s="23">
        <f>+'Datos M7'!AF56</f>
        <v>69.8</v>
      </c>
      <c r="I56" s="23">
        <f>+'Datos M8'!AF56</f>
        <v>67.333333333333329</v>
      </c>
      <c r="J56" s="23">
        <f>+'Datos M9'!AF56</f>
        <v>64.666666666666671</v>
      </c>
      <c r="K56" s="23">
        <f>+'Datos M10'!AF56</f>
        <v>41.3</v>
      </c>
      <c r="L56" s="20"/>
    </row>
    <row r="57" spans="1:12" x14ac:dyDescent="0.35">
      <c r="A57" s="22" t="s">
        <v>176</v>
      </c>
      <c r="B57" s="23">
        <f>+'Datos M1'!AF57</f>
        <v>0</v>
      </c>
      <c r="C57" s="23">
        <f>+'Datos M2'!AF57</f>
        <v>67.599999999999994</v>
      </c>
      <c r="D57" s="23">
        <f>+'Datos M3'!AF57</f>
        <v>58</v>
      </c>
      <c r="E57" s="23">
        <f>+'Datos M4'!AF57</f>
        <v>58.93333333333333</v>
      </c>
      <c r="F57" s="23">
        <f>+'Datos M5'!AF57</f>
        <v>44.666666666666664</v>
      </c>
      <c r="G57" s="23">
        <f>+'Datos M6'!AF57</f>
        <v>49.466666666666669</v>
      </c>
      <c r="H57" s="23">
        <f>+'Datos M7'!AF57</f>
        <v>71.266666666666666</v>
      </c>
      <c r="I57" s="23">
        <f>+'Datos M8'!AF57</f>
        <v>51.333333333333336</v>
      </c>
      <c r="J57" s="23">
        <f>+'Datos M9'!AF57</f>
        <v>65.666666666666671</v>
      </c>
      <c r="K57" s="23">
        <f>+'Datos M10'!AF57</f>
        <v>51.466666666666669</v>
      </c>
      <c r="L57" s="20"/>
    </row>
    <row r="58" spans="1:12" x14ac:dyDescent="0.35">
      <c r="A58" s="22" t="s">
        <v>40</v>
      </c>
      <c r="B58" s="23">
        <f>+'Datos M1'!AF58</f>
        <v>0</v>
      </c>
      <c r="C58" s="23">
        <f>+'Datos M2'!AF58</f>
        <v>32.966666666666669</v>
      </c>
      <c r="D58" s="23">
        <f>+'Datos M3'!AF58</f>
        <v>59.7</v>
      </c>
      <c r="E58" s="23">
        <f>+'Datos M4'!AF58</f>
        <v>64.233333333333334</v>
      </c>
      <c r="F58" s="23">
        <f>+'Datos M5'!AF58</f>
        <v>45.8</v>
      </c>
      <c r="G58" s="23">
        <f>+'Datos M6'!AF58</f>
        <v>57.1</v>
      </c>
      <c r="H58" s="23">
        <f>+'Datos M7'!AF58</f>
        <v>54.533333333333331</v>
      </c>
      <c r="I58" s="23">
        <f>+'Datos M8'!AF58</f>
        <v>70.7</v>
      </c>
      <c r="J58" s="23">
        <f>+'Datos M9'!AF58</f>
        <v>69.900000000000006</v>
      </c>
      <c r="K58" s="23">
        <f>+'Datos M10'!AF58</f>
        <v>41.6</v>
      </c>
      <c r="L58" s="20"/>
    </row>
    <row r="59" spans="1:12" x14ac:dyDescent="0.35">
      <c r="A59" s="22" t="s">
        <v>41</v>
      </c>
      <c r="B59" s="23">
        <f>+'Datos M1'!AF59</f>
        <v>0</v>
      </c>
      <c r="C59" s="23">
        <f>+'Datos M2'!AF59</f>
        <v>41.3</v>
      </c>
      <c r="D59" s="23">
        <f>+'Datos M3'!AF59</f>
        <v>0</v>
      </c>
      <c r="E59" s="23">
        <f>+'Datos M4'!AF59</f>
        <v>61.06666666666667</v>
      </c>
      <c r="F59" s="23">
        <f>+'Datos M5'!AF59</f>
        <v>45.06666666666667</v>
      </c>
      <c r="G59" s="23">
        <f>+'Datos M6'!AF59</f>
        <v>54.666666666666664</v>
      </c>
      <c r="H59" s="23">
        <f>+'Datos M7'!AF59</f>
        <v>69</v>
      </c>
      <c r="I59" s="23">
        <f>+'Datos M8'!AF59</f>
        <v>59.2</v>
      </c>
      <c r="J59" s="23">
        <f>+'Datos M9'!AF59</f>
        <v>0</v>
      </c>
      <c r="K59" s="23">
        <f>+'Datos M10'!AF59</f>
        <v>47.166666666666664</v>
      </c>
      <c r="L59" s="20"/>
    </row>
    <row r="60" spans="1:12" x14ac:dyDescent="0.35">
      <c r="A60" s="22" t="s">
        <v>42</v>
      </c>
      <c r="B60" s="23">
        <f>+'Datos M1'!AF60</f>
        <v>0</v>
      </c>
      <c r="C60" s="23">
        <f>+'Datos M2'!AF60</f>
        <v>63.1</v>
      </c>
      <c r="D60" s="23">
        <f>+'Datos M3'!AF60</f>
        <v>0</v>
      </c>
      <c r="E60" s="23">
        <f>+'Datos M4'!AF60</f>
        <v>52.93333333333333</v>
      </c>
      <c r="F60" s="23">
        <f>+'Datos M5'!AF60</f>
        <v>92.733333333333334</v>
      </c>
      <c r="G60" s="23">
        <f>+'Datos M6'!AF60</f>
        <v>58.333333333333336</v>
      </c>
      <c r="H60" s="23">
        <f>+'Datos M7'!AF60</f>
        <v>42.366666666666667</v>
      </c>
      <c r="I60" s="23">
        <f>+'Datos M8'!AF60</f>
        <v>65.5</v>
      </c>
      <c r="J60" s="23">
        <f>+'Datos M9'!AF60</f>
        <v>47.166666666666664</v>
      </c>
      <c r="K60" s="23">
        <f>+'Datos M10'!AF60</f>
        <v>42.5</v>
      </c>
      <c r="L60" s="20"/>
    </row>
    <row r="61" spans="1:12" x14ac:dyDescent="0.35">
      <c r="A61" s="22" t="s">
        <v>43</v>
      </c>
      <c r="B61" s="23">
        <f>+'Datos M1'!AF61</f>
        <v>27.633333333333333</v>
      </c>
      <c r="C61" s="23">
        <f>+'Datos M2'!AF61</f>
        <v>77.966666666666669</v>
      </c>
      <c r="D61" s="23">
        <f>+'Datos M3'!AF61</f>
        <v>0</v>
      </c>
      <c r="E61" s="23">
        <f>+'Datos M4'!AF61</f>
        <v>55.533333333333331</v>
      </c>
      <c r="F61" s="23">
        <f>+'Datos M5'!AF61</f>
        <v>72.733333333333334</v>
      </c>
      <c r="G61" s="23">
        <f>+'Datos M6'!AF61</f>
        <v>69.666666666666671</v>
      </c>
      <c r="H61" s="23">
        <f>+'Datos M7'!AF61</f>
        <v>50.466666666666669</v>
      </c>
      <c r="I61" s="23">
        <f>+'Datos M8'!AF61</f>
        <v>46.6</v>
      </c>
      <c r="J61" s="23">
        <f>+'Datos M9'!AF61</f>
        <v>82.966666666666669</v>
      </c>
      <c r="K61" s="23">
        <f>+'Datos M10'!AF61</f>
        <v>41.333333333333336</v>
      </c>
      <c r="L61" s="20"/>
    </row>
    <row r="62" spans="1:12" x14ac:dyDescent="0.35">
      <c r="A62" s="22" t="s">
        <v>44</v>
      </c>
      <c r="B62" s="23">
        <f>+'Datos M1'!AF62</f>
        <v>57.833333333333336</v>
      </c>
      <c r="C62" s="23">
        <f>+'Datos M2'!AF62</f>
        <v>42.6</v>
      </c>
      <c r="D62" s="23">
        <f>+'Datos M3'!AF62</f>
        <v>50.166666666666664</v>
      </c>
      <c r="E62" s="23">
        <f>+'Datos M4'!AF62</f>
        <v>73.400000000000006</v>
      </c>
      <c r="F62" s="23">
        <f>+'Datos M5'!AF62</f>
        <v>52.9</v>
      </c>
      <c r="G62" s="23">
        <f>+'Datos M6'!AF62</f>
        <v>80</v>
      </c>
      <c r="H62" s="23">
        <f>+'Datos M7'!AF62</f>
        <v>80.8</v>
      </c>
      <c r="I62" s="23">
        <f>+'Datos M8'!AF62</f>
        <v>0</v>
      </c>
      <c r="J62" s="23">
        <f>+'Datos M9'!AF62</f>
        <v>34.533333333333331</v>
      </c>
      <c r="K62" s="23">
        <f>+'Datos M10'!AF62</f>
        <v>43.333333333333336</v>
      </c>
      <c r="L62" s="20"/>
    </row>
    <row r="63" spans="1:12" x14ac:dyDescent="0.35">
      <c r="A63" s="22" t="s">
        <v>177</v>
      </c>
      <c r="B63" s="23">
        <f>+'Datos M1'!AF63</f>
        <v>52.93333333333333</v>
      </c>
      <c r="C63" s="23">
        <f>+'Datos M2'!AF63</f>
        <v>43.233333333333334</v>
      </c>
      <c r="D63" s="23">
        <f>+'Datos M3'!AF63</f>
        <v>35.666666666666664</v>
      </c>
      <c r="E63" s="23">
        <f>+'Datos M4'!AF63</f>
        <v>69.733333333333334</v>
      </c>
      <c r="F63" s="23">
        <f>+'Datos M5'!AF63</f>
        <v>65.933333333333337</v>
      </c>
      <c r="G63" s="23">
        <f>+'Datos M6'!AF63</f>
        <v>0</v>
      </c>
      <c r="H63" s="23">
        <f>+'Datos M7'!AF63</f>
        <v>58.93333333333333</v>
      </c>
      <c r="I63" s="23">
        <f>+'Datos M8'!AF63</f>
        <v>67.266666666666666</v>
      </c>
      <c r="J63" s="23">
        <f>+'Datos M9'!AF63</f>
        <v>50.06666666666667</v>
      </c>
      <c r="K63" s="23">
        <f>+'Datos M10'!AF63</f>
        <v>48.93333333333333</v>
      </c>
      <c r="L63" s="20"/>
    </row>
    <row r="64" spans="1:12" x14ac:dyDescent="0.35">
      <c r="A64" s="22" t="s">
        <v>178</v>
      </c>
      <c r="B64" s="23">
        <f>+'Datos M1'!AF64</f>
        <v>0</v>
      </c>
      <c r="C64" s="23">
        <f>+'Datos M2'!AF64</f>
        <v>0</v>
      </c>
      <c r="D64" s="23">
        <f>+'Datos M3'!AF64</f>
        <v>35.200000000000003</v>
      </c>
      <c r="E64" s="23">
        <f>+'Datos M4'!AF64</f>
        <v>34.6</v>
      </c>
      <c r="F64" s="23">
        <f>+'Datos M5'!AF64</f>
        <v>47.8</v>
      </c>
      <c r="G64" s="23">
        <f>+'Datos M6'!AF64</f>
        <v>77</v>
      </c>
      <c r="H64" s="23">
        <f>+'Datos M7'!AF64</f>
        <v>48.766666666666666</v>
      </c>
      <c r="I64" s="23">
        <f>+'Datos M8'!AF64</f>
        <v>73.933333333333337</v>
      </c>
      <c r="J64" s="23">
        <f>+'Datos M9'!AF64</f>
        <v>43.833333333333336</v>
      </c>
      <c r="K64" s="23">
        <f>+'Datos M10'!AF64</f>
        <v>45.266666666666666</v>
      </c>
      <c r="L64" s="20"/>
    </row>
    <row r="65" spans="1:12" x14ac:dyDescent="0.35">
      <c r="A65" s="22" t="s">
        <v>45</v>
      </c>
      <c r="B65" s="23">
        <f>+'Datos M1'!AF65</f>
        <v>0</v>
      </c>
      <c r="C65" s="23">
        <f>+'Datos M2'!AF65</f>
        <v>36.43333333333333</v>
      </c>
      <c r="D65" s="23">
        <f>+'Datos M3'!AF65</f>
        <v>39.733333333333334</v>
      </c>
      <c r="E65" s="23">
        <f>+'Datos M4'!AF65</f>
        <v>38.833333333333336</v>
      </c>
      <c r="F65" s="23">
        <f>+'Datos M5'!AF65</f>
        <v>63.56666666666667</v>
      </c>
      <c r="G65" s="23">
        <f>+'Datos M6'!AF65</f>
        <v>53.033333333333331</v>
      </c>
      <c r="H65" s="23">
        <f>+'Datos M7'!AF65</f>
        <v>48.833333333333336</v>
      </c>
      <c r="I65" s="23">
        <f>+'Datos M8'!AF65</f>
        <v>60.866666666666667</v>
      </c>
      <c r="J65" s="23">
        <f>+'Datos M9'!AF65</f>
        <v>25.333333333333332</v>
      </c>
      <c r="K65" s="23">
        <f>+'Datos M10'!AF65</f>
        <v>41.7</v>
      </c>
      <c r="L65" s="20"/>
    </row>
    <row r="66" spans="1:12" x14ac:dyDescent="0.35">
      <c r="A66" s="22" t="s">
        <v>46</v>
      </c>
      <c r="B66" s="23">
        <f>+'Datos M1'!AF66</f>
        <v>0</v>
      </c>
      <c r="C66" s="23">
        <f>+'Datos M2'!AF66</f>
        <v>54.3</v>
      </c>
      <c r="D66" s="23">
        <f>+'Datos M3'!AF66</f>
        <v>60.6</v>
      </c>
      <c r="E66" s="23">
        <f>+'Datos M4'!AF66</f>
        <v>37.266666666666666</v>
      </c>
      <c r="F66" s="23">
        <f>+'Datos M5'!AF66</f>
        <v>53.6</v>
      </c>
      <c r="G66" s="23">
        <f>+'Datos M6'!AF66</f>
        <v>65.13333333333334</v>
      </c>
      <c r="H66" s="23">
        <f>+'Datos M7'!AF66</f>
        <v>41.366666666666667</v>
      </c>
      <c r="I66" s="23">
        <f>+'Datos M8'!AF66</f>
        <v>39.266666666666666</v>
      </c>
      <c r="J66" s="23">
        <f>+'Datos M9'!AF66</f>
        <v>59.93333333333333</v>
      </c>
      <c r="K66" s="23">
        <f>+'Datos M10'!AF66</f>
        <v>42.666666666666664</v>
      </c>
      <c r="L66" s="20"/>
    </row>
    <row r="67" spans="1:12" x14ac:dyDescent="0.35">
      <c r="A67" s="22" t="s">
        <v>47</v>
      </c>
      <c r="B67" s="23">
        <f>+'Datos M1'!AF67</f>
        <v>0</v>
      </c>
      <c r="C67" s="23">
        <f>+'Datos M2'!AF67</f>
        <v>34.56666666666667</v>
      </c>
      <c r="D67" s="23">
        <f>+'Datos M3'!AF67</f>
        <v>73.033333333333331</v>
      </c>
      <c r="E67" s="23">
        <f>+'Datos M4'!AF67</f>
        <v>52.666666666666664</v>
      </c>
      <c r="F67" s="23">
        <f>+'Datos M5'!AF67</f>
        <v>47.06666666666667</v>
      </c>
      <c r="G67" s="23">
        <f>+'Datos M6'!AF67</f>
        <v>49.666666666666664</v>
      </c>
      <c r="H67" s="23">
        <f>+'Datos M7'!AF67</f>
        <v>76.433333333333337</v>
      </c>
      <c r="I67" s="23">
        <f>+'Datos M8'!AF67</f>
        <v>56.4</v>
      </c>
      <c r="J67" s="23">
        <f>+'Datos M9'!AF67</f>
        <v>63.233333333333334</v>
      </c>
      <c r="K67" s="23">
        <f>+'Datos M10'!AF67</f>
        <v>53.4</v>
      </c>
      <c r="L67" s="20"/>
    </row>
    <row r="68" spans="1:12" x14ac:dyDescent="0.35">
      <c r="A68" s="22" t="s">
        <v>48</v>
      </c>
      <c r="B68" s="23">
        <f>+'Datos M1'!AF68</f>
        <v>0</v>
      </c>
      <c r="C68" s="23">
        <f>+'Datos M2'!AF68</f>
        <v>0</v>
      </c>
      <c r="D68" s="23">
        <f>+'Datos M3'!AF68</f>
        <v>46.333333333333336</v>
      </c>
      <c r="E68" s="23">
        <f>+'Datos M4'!AF68</f>
        <v>43.166666666666664</v>
      </c>
      <c r="F68" s="23">
        <f>+'Datos M5'!AF68</f>
        <v>73.733333333333334</v>
      </c>
      <c r="G68" s="23">
        <f>+'Datos M6'!AF68</f>
        <v>95</v>
      </c>
      <c r="H68" s="23">
        <f>+'Datos M7'!AF68</f>
        <v>52.966666666666669</v>
      </c>
      <c r="I68" s="23">
        <f>+'Datos M8'!AF68</f>
        <v>38.43333333333333</v>
      </c>
      <c r="J68" s="23">
        <f>+'Datos M9'!AF68</f>
        <v>33.5</v>
      </c>
      <c r="K68" s="23">
        <f>+'Datos M10'!AF68</f>
        <v>50.4</v>
      </c>
      <c r="L68" s="20"/>
    </row>
    <row r="69" spans="1:12" x14ac:dyDescent="0.35">
      <c r="A69" s="22" t="s">
        <v>179</v>
      </c>
      <c r="B69" s="23">
        <f>+'Datos M1'!AF69</f>
        <v>19.633333333333333</v>
      </c>
      <c r="C69" s="23">
        <f>+'Datos M2'!AF69</f>
        <v>44.06666666666667</v>
      </c>
      <c r="D69" s="23">
        <f>+'Datos M3'!AF69</f>
        <v>65.5</v>
      </c>
      <c r="E69" s="23">
        <f>+'Datos M4'!AF69</f>
        <v>85.2</v>
      </c>
      <c r="F69" s="23">
        <f>+'Datos M5'!AF69</f>
        <v>56.06666666666667</v>
      </c>
      <c r="G69" s="23">
        <f>+'Datos M6'!AF69</f>
        <v>53.56666666666667</v>
      </c>
      <c r="H69" s="23">
        <f>+'Datos M7'!AF69</f>
        <v>41.833333333333336</v>
      </c>
      <c r="I69" s="23">
        <f>+'Datos M8'!AF69</f>
        <v>57</v>
      </c>
      <c r="J69" s="23">
        <f>+'Datos M9'!AF69</f>
        <v>52.3</v>
      </c>
      <c r="K69" s="23">
        <f>+'Datos M10'!AF69</f>
        <v>46.866666666666667</v>
      </c>
      <c r="L69" s="20"/>
    </row>
    <row r="70" spans="1:12" x14ac:dyDescent="0.35">
      <c r="A70" s="22" t="s">
        <v>49</v>
      </c>
      <c r="B70" s="23">
        <f>+'Datos M1'!AF70</f>
        <v>27.566666666666666</v>
      </c>
      <c r="C70" s="23">
        <f>+'Datos M2'!AF70</f>
        <v>66.533333333333331</v>
      </c>
      <c r="D70" s="23">
        <f>+'Datos M3'!AF70</f>
        <v>61.3</v>
      </c>
      <c r="E70" s="23">
        <f>+'Datos M4'!AF70</f>
        <v>36.333333333333336</v>
      </c>
      <c r="F70" s="23">
        <f>+'Datos M5'!AF70</f>
        <v>63.133333333333333</v>
      </c>
      <c r="G70" s="23">
        <f>+'Datos M6'!AF70</f>
        <v>69.8</v>
      </c>
      <c r="H70" s="23">
        <f>+'Datos M7'!AF70</f>
        <v>39.633333333333333</v>
      </c>
      <c r="I70" s="23">
        <f>+'Datos M8'!AF70</f>
        <v>71.233333333333334</v>
      </c>
      <c r="J70" s="23">
        <f>+'Datos M9'!AF70</f>
        <v>38.233333333333334</v>
      </c>
      <c r="K70" s="23">
        <f>+'Datos M10'!AF70</f>
        <v>51.6</v>
      </c>
      <c r="L70" s="20"/>
    </row>
    <row r="71" spans="1:12" x14ac:dyDescent="0.35">
      <c r="A71" s="22" t="s">
        <v>50</v>
      </c>
      <c r="B71" s="23">
        <f>+'Datos M1'!AF71</f>
        <v>26.8</v>
      </c>
      <c r="C71" s="23">
        <f>+'Datos M2'!AF71</f>
        <v>62.766666666666666</v>
      </c>
      <c r="D71" s="23">
        <f>+'Datos M3'!AF71</f>
        <v>43.533333333333331</v>
      </c>
      <c r="E71" s="23">
        <f>+'Datos M4'!AF71</f>
        <v>64.400000000000006</v>
      </c>
      <c r="F71" s="23">
        <f>+'Datos M5'!AF71</f>
        <v>70.5</v>
      </c>
      <c r="G71" s="23">
        <f>+'Datos M6'!AF71</f>
        <v>39.233333333333334</v>
      </c>
      <c r="H71" s="23">
        <f>+'Datos M7'!AF71</f>
        <v>41.866666666666667</v>
      </c>
      <c r="I71" s="23">
        <f>+'Datos M8'!AF71</f>
        <v>67</v>
      </c>
      <c r="J71" s="23">
        <f>+'Datos M9'!AF71</f>
        <v>86.933333333333337</v>
      </c>
      <c r="K71" s="23">
        <f>+'Datos M10'!AF71</f>
        <v>43.5</v>
      </c>
      <c r="L71" s="20"/>
    </row>
    <row r="72" spans="1:12" x14ac:dyDescent="0.35">
      <c r="A72" s="22" t="s">
        <v>51</v>
      </c>
      <c r="B72" s="23">
        <f>+'Datos M1'!AF72</f>
        <v>0</v>
      </c>
      <c r="C72" s="23">
        <f>+'Datos M2'!AF72</f>
        <v>46.5</v>
      </c>
      <c r="D72" s="23">
        <f>+'Datos M3'!AF72</f>
        <v>55.1</v>
      </c>
      <c r="E72" s="23">
        <f>+'Datos M4'!AF72</f>
        <v>48.8</v>
      </c>
      <c r="F72" s="23">
        <f>+'Datos M5'!AF72</f>
        <v>48.93333333333333</v>
      </c>
      <c r="G72" s="23">
        <f>+'Datos M6'!AF72</f>
        <v>70.3</v>
      </c>
      <c r="H72" s="23">
        <f>+'Datos M7'!AF72</f>
        <v>64.566666666666663</v>
      </c>
      <c r="I72" s="23">
        <f>+'Datos M8'!AF72</f>
        <v>44.133333333333333</v>
      </c>
      <c r="J72" s="23">
        <f>+'Datos M9'!AF72</f>
        <v>50.266666666666666</v>
      </c>
      <c r="K72" s="23">
        <f>+'Datos M10'!AF72</f>
        <v>42.1</v>
      </c>
      <c r="L72" s="20"/>
    </row>
    <row r="73" spans="1:12" x14ac:dyDescent="0.35">
      <c r="A73" s="22" t="s">
        <v>52</v>
      </c>
      <c r="B73" s="23">
        <f>+'Datos M1'!AF73</f>
        <v>0</v>
      </c>
      <c r="C73" s="23">
        <f>+'Datos M2'!AF73</f>
        <v>0</v>
      </c>
      <c r="D73" s="23">
        <f>+'Datos M3'!AF73</f>
        <v>83.333333333333329</v>
      </c>
      <c r="E73" s="23">
        <f>+'Datos M4'!AF73</f>
        <v>52.56666666666667</v>
      </c>
      <c r="F73" s="23">
        <f>+'Datos M5'!AF73</f>
        <v>50.033333333333331</v>
      </c>
      <c r="G73" s="23">
        <f>+'Datos M6'!AF73</f>
        <v>61.733333333333334</v>
      </c>
      <c r="H73" s="23">
        <f>+'Datos M7'!AF73</f>
        <v>54.56666666666667</v>
      </c>
      <c r="I73" s="23">
        <f>+'Datos M8'!AF73</f>
        <v>35.333333333333336</v>
      </c>
      <c r="J73" s="23">
        <f>+'Datos M9'!AF73</f>
        <v>29.3</v>
      </c>
      <c r="K73" s="23">
        <f>+'Datos M10'!AF73</f>
        <v>53.2</v>
      </c>
      <c r="L73" s="20"/>
    </row>
    <row r="74" spans="1:12" x14ac:dyDescent="0.35">
      <c r="A74" s="22" t="s">
        <v>53</v>
      </c>
      <c r="B74" s="23">
        <f>+'Datos M1'!AF74</f>
        <v>0</v>
      </c>
      <c r="C74" s="23">
        <f>+'Datos M2'!AF74</f>
        <v>72.533333333333331</v>
      </c>
      <c r="D74" s="23">
        <f>+'Datos M3'!AF74</f>
        <v>49.166666666666664</v>
      </c>
      <c r="E74" s="23">
        <f>+'Datos M4'!AF74</f>
        <v>60.3</v>
      </c>
      <c r="F74" s="23">
        <f>+'Datos M5'!AF74</f>
        <v>64.233333333333334</v>
      </c>
      <c r="G74" s="23">
        <f>+'Datos M6'!AF74</f>
        <v>43.8</v>
      </c>
      <c r="H74" s="23">
        <f>+'Datos M7'!AF74</f>
        <v>31</v>
      </c>
      <c r="I74" s="23">
        <f>+'Datos M8'!AF74</f>
        <v>77.166666666666671</v>
      </c>
      <c r="J74" s="23">
        <f>+'Datos M9'!AF74</f>
        <v>0</v>
      </c>
      <c r="K74" s="23">
        <f>+'Datos M10'!AF74</f>
        <v>39.93333333333333</v>
      </c>
      <c r="L74" s="20"/>
    </row>
    <row r="75" spans="1:12" x14ac:dyDescent="0.35">
      <c r="A75" s="22" t="s">
        <v>54</v>
      </c>
      <c r="B75" s="23">
        <f>+'Datos M1'!AF75</f>
        <v>0</v>
      </c>
      <c r="C75" s="23">
        <f>+'Datos M2'!AF75</f>
        <v>48.366666666666667</v>
      </c>
      <c r="D75" s="23">
        <f>+'Datos M3'!AF75</f>
        <v>78.36666666666666</v>
      </c>
      <c r="E75" s="23">
        <f>+'Datos M4'!AF75</f>
        <v>60.633333333333333</v>
      </c>
      <c r="F75" s="23">
        <f>+'Datos M5'!AF75</f>
        <v>59.833333333333336</v>
      </c>
      <c r="G75" s="23">
        <f>+'Datos M6'!AF75</f>
        <v>48.43333333333333</v>
      </c>
      <c r="H75" s="23">
        <f>+'Datos M7'!AF75</f>
        <v>56.033333333333331</v>
      </c>
      <c r="I75" s="23">
        <f>+'Datos M8'!AF75</f>
        <v>50.6</v>
      </c>
      <c r="J75" s="23">
        <f>+'Datos M9'!AF75</f>
        <v>53.633333333333333</v>
      </c>
      <c r="K75" s="23">
        <f>+'Datos M10'!AF75</f>
        <v>46.366666666666667</v>
      </c>
      <c r="L75" s="20"/>
    </row>
    <row r="76" spans="1:12" x14ac:dyDescent="0.35">
      <c r="A76" s="22" t="s">
        <v>180</v>
      </c>
      <c r="B76" s="23">
        <f>+'Datos M1'!AF76</f>
        <v>27.333333333333332</v>
      </c>
      <c r="C76" s="23">
        <f>+'Datos M2'!AF76</f>
        <v>46.366666666666667</v>
      </c>
      <c r="D76" s="23">
        <f>+'Datos M3'!AF76</f>
        <v>53.533333333333331</v>
      </c>
      <c r="E76" s="23">
        <f>+'Datos M4'!AF76</f>
        <v>71.333333333333329</v>
      </c>
      <c r="F76" s="23">
        <f>+'Datos M5'!AF76</f>
        <v>43.666666666666664</v>
      </c>
      <c r="G76" s="23">
        <f>+'Datos M6'!AF76</f>
        <v>48.333333333333336</v>
      </c>
      <c r="H76" s="23">
        <f>+'Datos M7'!AF76</f>
        <v>39.43333333333333</v>
      </c>
      <c r="I76" s="23">
        <f>+'Datos M8'!AF76</f>
        <v>48.766666666666666</v>
      </c>
      <c r="J76" s="23">
        <f>+'Datos M9'!AF76</f>
        <v>32.4</v>
      </c>
      <c r="K76" s="23">
        <f>+'Datos M10'!AF76</f>
        <v>40.633333333333333</v>
      </c>
      <c r="L76" s="20"/>
    </row>
    <row r="77" spans="1:12" x14ac:dyDescent="0.35">
      <c r="A77" s="22" t="s">
        <v>55</v>
      </c>
      <c r="B77" s="23">
        <f>+'Datos M1'!AF77</f>
        <v>0</v>
      </c>
      <c r="C77" s="23">
        <f>+'Datos M2'!AF77</f>
        <v>65.7</v>
      </c>
      <c r="D77" s="23">
        <f>+'Datos M3'!AF77</f>
        <v>45.266666666666666</v>
      </c>
      <c r="E77" s="23">
        <f>+'Datos M4'!AF77</f>
        <v>51.56666666666667</v>
      </c>
      <c r="F77" s="23">
        <f>+'Datos M5'!AF77</f>
        <v>35.93333333333333</v>
      </c>
      <c r="G77" s="23">
        <f>+'Datos M6'!AF77</f>
        <v>66.900000000000006</v>
      </c>
      <c r="H77" s="23">
        <f>+'Datos M7'!AF77</f>
        <v>66.233333333333334</v>
      </c>
      <c r="I77" s="23">
        <f>+'Datos M8'!AF77</f>
        <v>42.7</v>
      </c>
      <c r="J77" s="23">
        <f>+'Datos M9'!AF77</f>
        <v>0</v>
      </c>
      <c r="K77" s="23">
        <f>+'Datos M10'!AF77</f>
        <v>51.7</v>
      </c>
      <c r="L77" s="20"/>
    </row>
    <row r="78" spans="1:12" x14ac:dyDescent="0.35">
      <c r="A78" s="22" t="s">
        <v>56</v>
      </c>
      <c r="B78" s="23">
        <f>+'Datos M1'!AF78</f>
        <v>0</v>
      </c>
      <c r="C78" s="23">
        <f>+'Datos M2'!AF78</f>
        <v>37.133333333333333</v>
      </c>
      <c r="D78" s="23">
        <f>+'Datos M3'!AF78</f>
        <v>56.266666666666666</v>
      </c>
      <c r="E78" s="23">
        <f>+'Datos M4'!AF78</f>
        <v>57.133333333333333</v>
      </c>
      <c r="F78" s="23">
        <f>+'Datos M5'!AF78</f>
        <v>83.566666666666663</v>
      </c>
      <c r="G78" s="23">
        <f>+'Datos M6'!AF78</f>
        <v>49.7</v>
      </c>
      <c r="H78" s="23">
        <f>+'Datos M7'!AF78</f>
        <v>43.06666666666667</v>
      </c>
      <c r="I78" s="23">
        <f>+'Datos M8'!AF78</f>
        <v>52.866666666666667</v>
      </c>
      <c r="J78" s="23">
        <f>+'Datos M9'!AF78</f>
        <v>33.1</v>
      </c>
      <c r="K78" s="23">
        <f>+'Datos M10'!AF78</f>
        <v>42.866666666666667</v>
      </c>
      <c r="L78" s="20"/>
    </row>
    <row r="79" spans="1:12" x14ac:dyDescent="0.35">
      <c r="A79" s="22" t="s">
        <v>57</v>
      </c>
      <c r="B79" s="23">
        <f>+'Datos M1'!AF79</f>
        <v>0</v>
      </c>
      <c r="C79" s="23">
        <f>+'Datos M2'!AF79</f>
        <v>69.166666666666671</v>
      </c>
      <c r="D79" s="23">
        <f>+'Datos M3'!AF79</f>
        <v>95.933333333333337</v>
      </c>
      <c r="E79" s="23">
        <f>+'Datos M4'!AF79</f>
        <v>35.9</v>
      </c>
      <c r="F79" s="23">
        <f>+'Datos M5'!AF79</f>
        <v>42.366666666666667</v>
      </c>
      <c r="G79" s="23">
        <f>+'Datos M6'!AF79</f>
        <v>77.900000000000006</v>
      </c>
      <c r="H79" s="23">
        <f>+'Datos M7'!AF79</f>
        <v>55.9</v>
      </c>
      <c r="I79" s="23">
        <f>+'Datos M8'!AF79</f>
        <v>69.433333333333337</v>
      </c>
      <c r="J79" s="23">
        <f>+'Datos M9'!AF79</f>
        <v>37.633333333333333</v>
      </c>
      <c r="K79" s="23">
        <f>+'Datos M10'!AF79</f>
        <v>50.866666666666667</v>
      </c>
      <c r="L79" s="20"/>
    </row>
    <row r="80" spans="1:12" x14ac:dyDescent="0.35">
      <c r="A80" s="22" t="s">
        <v>58</v>
      </c>
      <c r="B80" s="23">
        <f>+'Datos M1'!AF80</f>
        <v>0</v>
      </c>
      <c r="C80" s="23">
        <f>+'Datos M2'!AF80</f>
        <v>45.733333333333334</v>
      </c>
      <c r="D80" s="23">
        <f>+'Datos M3'!AF80</f>
        <v>48.166666666666664</v>
      </c>
      <c r="E80" s="23">
        <f>+'Datos M4'!AF80</f>
        <v>59.56666666666667</v>
      </c>
      <c r="F80" s="23">
        <f>+'Datos M5'!AF80</f>
        <v>62.033333333333331</v>
      </c>
      <c r="G80" s="23">
        <f>+'Datos M6'!AF80</f>
        <v>35.166666666666664</v>
      </c>
      <c r="H80" s="23">
        <f>+'Datos M7'!AF80</f>
        <v>35.333333333333336</v>
      </c>
      <c r="I80" s="23">
        <f>+'Datos M8'!AF80</f>
        <v>51.43333333333333</v>
      </c>
      <c r="J80" s="23">
        <f>+'Datos M9'!AF80</f>
        <v>46.833333333333336</v>
      </c>
      <c r="K80" s="23">
        <f>+'Datos M10'!AF80</f>
        <v>44.366666666666667</v>
      </c>
      <c r="L80" s="20"/>
    </row>
    <row r="81" spans="1:12" x14ac:dyDescent="0.35">
      <c r="A81" s="22" t="s">
        <v>59</v>
      </c>
      <c r="B81" s="23">
        <f>+'Datos M1'!AF81</f>
        <v>0</v>
      </c>
      <c r="C81" s="23">
        <f>+'Datos M2'!AF81</f>
        <v>62.133333333333333</v>
      </c>
      <c r="D81" s="23">
        <f>+'Datos M3'!AF81</f>
        <v>36.266666666666666</v>
      </c>
      <c r="E81" s="23">
        <f>+'Datos M4'!AF81</f>
        <v>54.6</v>
      </c>
      <c r="F81" s="23">
        <f>+'Datos M5'!AF81</f>
        <v>54.466666666666669</v>
      </c>
      <c r="G81" s="23">
        <f>+'Datos M6'!AF81</f>
        <v>71.433333333333337</v>
      </c>
      <c r="H81" s="23">
        <f>+'Datos M7'!AF81</f>
        <v>37.299999999999997</v>
      </c>
      <c r="I81" s="23">
        <f>+'Datos M8'!AF81</f>
        <v>75.8</v>
      </c>
      <c r="J81" s="23">
        <f>+'Datos M9'!AF81</f>
        <v>84.9</v>
      </c>
      <c r="K81" s="23">
        <f>+'Datos M10'!AF81</f>
        <v>44.366666666666667</v>
      </c>
      <c r="L81" s="20"/>
    </row>
    <row r="82" spans="1:12" x14ac:dyDescent="0.35">
      <c r="A82" s="22" t="s">
        <v>181</v>
      </c>
      <c r="B82" s="23">
        <f>+'Datos M1'!AF82</f>
        <v>0</v>
      </c>
      <c r="C82" s="23">
        <f>+'Datos M2'!AF82</f>
        <v>35.200000000000003</v>
      </c>
      <c r="D82" s="23">
        <f>+'Datos M3'!AF82</f>
        <v>67.900000000000006</v>
      </c>
      <c r="E82" s="23">
        <f>+'Datos M4'!AF82</f>
        <v>68.900000000000006</v>
      </c>
      <c r="F82" s="23">
        <f>+'Datos M5'!AF82</f>
        <v>42.133333333333333</v>
      </c>
      <c r="G82" s="23">
        <f>+'Datos M6'!AF82</f>
        <v>56.633333333333333</v>
      </c>
      <c r="H82" s="23">
        <f>+'Datos M7'!AF82</f>
        <v>0</v>
      </c>
      <c r="I82" s="23">
        <f>+'Datos M8'!AF82</f>
        <v>34.533333333333331</v>
      </c>
      <c r="J82" s="23">
        <f>+'Datos M9'!AF82</f>
        <v>92.333333333333329</v>
      </c>
      <c r="K82" s="23">
        <f>+'Datos M10'!AF82</f>
        <v>49</v>
      </c>
      <c r="L82" s="20"/>
    </row>
    <row r="83" spans="1:12" x14ac:dyDescent="0.35">
      <c r="A83" s="22" t="s">
        <v>60</v>
      </c>
      <c r="B83" s="23">
        <f>+'Datos M1'!AF83</f>
        <v>0</v>
      </c>
      <c r="C83" s="23">
        <f>+'Datos M2'!AF83</f>
        <v>0</v>
      </c>
      <c r="D83" s="23">
        <f>+'Datos M3'!AF83</f>
        <v>58.9</v>
      </c>
      <c r="E83" s="23">
        <f>+'Datos M4'!AF83</f>
        <v>35.266666666666666</v>
      </c>
      <c r="F83" s="23">
        <f>+'Datos M5'!AF83</f>
        <v>44.2</v>
      </c>
      <c r="G83" s="23">
        <f>+'Datos M6'!AF83</f>
        <v>39.866666666666667</v>
      </c>
      <c r="H83" s="23">
        <f>+'Datos M7'!AF83</f>
        <v>56.9</v>
      </c>
      <c r="I83" s="23">
        <f>+'Datos M8'!AF83</f>
        <v>41.93333333333333</v>
      </c>
      <c r="J83" s="23">
        <f>+'Datos M9'!AF83</f>
        <v>30.033333333333335</v>
      </c>
      <c r="K83" s="23">
        <f>+'Datos M10'!AF83</f>
        <v>52.4</v>
      </c>
      <c r="L83" s="20"/>
    </row>
    <row r="84" spans="1:12" x14ac:dyDescent="0.35">
      <c r="A84" s="22" t="s">
        <v>61</v>
      </c>
      <c r="B84" s="23">
        <f>+'Datos M1'!AF84</f>
        <v>0</v>
      </c>
      <c r="C84" s="23">
        <f>+'Datos M2'!AF84</f>
        <v>69.8</v>
      </c>
      <c r="D84" s="23">
        <f>+'Datos M3'!AF84</f>
        <v>70.2</v>
      </c>
      <c r="E84" s="23">
        <f>+'Datos M4'!AF84</f>
        <v>55.7</v>
      </c>
      <c r="F84" s="23">
        <f>+'Datos M5'!AF84</f>
        <v>50.5</v>
      </c>
      <c r="G84" s="23">
        <f>+'Datos M6'!AF84</f>
        <v>62.766666666666666</v>
      </c>
      <c r="H84" s="23">
        <f>+'Datos M7'!AF84</f>
        <v>51.333333333333336</v>
      </c>
      <c r="I84" s="23">
        <f>+'Datos M8'!AF84</f>
        <v>60.7</v>
      </c>
      <c r="J84" s="23">
        <f>+'Datos M9'!AF84</f>
        <v>44.9</v>
      </c>
      <c r="K84" s="23">
        <f>+'Datos M10'!AF84</f>
        <v>41.533333333333331</v>
      </c>
      <c r="L84" s="20"/>
    </row>
    <row r="85" spans="1:12" x14ac:dyDescent="0.35">
      <c r="A85" s="22" t="s">
        <v>62</v>
      </c>
      <c r="B85" s="23">
        <f>+'Datos M1'!AF85</f>
        <v>0</v>
      </c>
      <c r="C85" s="23">
        <f>+'Datos M2'!AF85</f>
        <v>72.966666666666669</v>
      </c>
      <c r="D85" s="23">
        <f>+'Datos M3'!AF85</f>
        <v>74.599999999999994</v>
      </c>
      <c r="E85" s="23">
        <f>+'Datos M4'!AF85</f>
        <v>34.466666666666669</v>
      </c>
      <c r="F85" s="23">
        <f>+'Datos M5'!AF85</f>
        <v>50.333333333333336</v>
      </c>
      <c r="G85" s="23">
        <f>+'Datos M6'!AF85</f>
        <v>38.333333333333336</v>
      </c>
      <c r="H85" s="23">
        <f>+'Datos M7'!AF85</f>
        <v>63.7</v>
      </c>
      <c r="I85" s="23">
        <f>+'Datos M8'!AF85</f>
        <v>38.533333333333331</v>
      </c>
      <c r="J85" s="23">
        <f>+'Datos M9'!AF85</f>
        <v>55.1</v>
      </c>
      <c r="K85" s="23">
        <f>+'Datos M10'!AF85</f>
        <v>44.833333333333336</v>
      </c>
      <c r="L85" s="20"/>
    </row>
    <row r="86" spans="1:12" x14ac:dyDescent="0.35">
      <c r="A86" s="22" t="s">
        <v>63</v>
      </c>
      <c r="B86" s="23">
        <f>+'Datos M1'!AF86</f>
        <v>0</v>
      </c>
      <c r="C86" s="23">
        <f>+'Datos M2'!AF86</f>
        <v>0</v>
      </c>
      <c r="D86" s="23">
        <f>+'Datos M3'!AF86</f>
        <v>51.1</v>
      </c>
      <c r="E86" s="23">
        <f>+'Datos M4'!AF86</f>
        <v>49.233333333333334</v>
      </c>
      <c r="F86" s="23">
        <f>+'Datos M5'!AF86</f>
        <v>59.266666666666666</v>
      </c>
      <c r="G86" s="23">
        <f>+'Datos M6'!AF86</f>
        <v>66.433333333333337</v>
      </c>
      <c r="H86" s="23">
        <f>+'Datos M7'!AF86</f>
        <v>77.333333333333329</v>
      </c>
      <c r="I86" s="23">
        <f>+'Datos M8'!AF86</f>
        <v>62.233333333333334</v>
      </c>
      <c r="J86" s="23">
        <f>+'Datos M9'!AF86</f>
        <v>37.966666666666669</v>
      </c>
      <c r="K86" s="23">
        <f>+'Datos M10'!AF86</f>
        <v>56.766666666666666</v>
      </c>
      <c r="L86" s="20"/>
    </row>
    <row r="87" spans="1:12" x14ac:dyDescent="0.35">
      <c r="A87" s="22" t="s">
        <v>64</v>
      </c>
      <c r="B87" s="23">
        <f>+'Datos M1'!AF87</f>
        <v>0</v>
      </c>
      <c r="C87" s="23">
        <f>+'Datos M2'!AF87</f>
        <v>0</v>
      </c>
      <c r="D87" s="23">
        <f>+'Datos M3'!AF87</f>
        <v>51.1</v>
      </c>
      <c r="E87" s="23">
        <f>+'Datos M4'!AF87</f>
        <v>56.366666666666667</v>
      </c>
      <c r="F87" s="23">
        <f>+'Datos M5'!AF87</f>
        <v>72.033333333333331</v>
      </c>
      <c r="G87" s="23">
        <f>+'Datos M6'!AF87</f>
        <v>0</v>
      </c>
      <c r="H87" s="23">
        <f>+'Datos M7'!AF87</f>
        <v>43.1</v>
      </c>
      <c r="I87" s="23">
        <f>+'Datos M8'!AF87</f>
        <v>74.2</v>
      </c>
      <c r="J87" s="23">
        <f>+'Datos M9'!AF87</f>
        <v>57</v>
      </c>
      <c r="K87" s="23">
        <f>+'Datos M10'!AF87</f>
        <v>40.6</v>
      </c>
      <c r="L87" s="20"/>
    </row>
    <row r="88" spans="1:12" x14ac:dyDescent="0.35">
      <c r="A88" s="22" t="s">
        <v>182</v>
      </c>
      <c r="B88" s="23">
        <f>+'Datos M1'!AF88</f>
        <v>0</v>
      </c>
      <c r="C88" s="23">
        <f>+'Datos M2'!AF88</f>
        <v>0</v>
      </c>
      <c r="D88" s="23">
        <f>+'Datos M3'!AF88</f>
        <v>42.133333333333333</v>
      </c>
      <c r="E88" s="23">
        <f>+'Datos M4'!AF88</f>
        <v>38.799999999999997</v>
      </c>
      <c r="F88" s="23">
        <f>+'Datos M5'!AF88</f>
        <v>54.366666666666667</v>
      </c>
      <c r="G88" s="23">
        <f>+'Datos M6'!AF88</f>
        <v>46.466666666666669</v>
      </c>
      <c r="H88" s="23">
        <f>+'Datos M7'!AF88</f>
        <v>89.6</v>
      </c>
      <c r="I88" s="23">
        <f>+'Datos M8'!AF88</f>
        <v>75.533333333333331</v>
      </c>
      <c r="J88" s="23">
        <f>+'Datos M9'!AF88</f>
        <v>41.8</v>
      </c>
      <c r="K88" s="23">
        <f>+'Datos M10'!AF88</f>
        <v>0</v>
      </c>
      <c r="L88" s="20"/>
    </row>
    <row r="89" spans="1:12" x14ac:dyDescent="0.35">
      <c r="A89" s="22" t="s">
        <v>65</v>
      </c>
      <c r="B89" s="23">
        <f>+'Datos M1'!AF89</f>
        <v>53.6</v>
      </c>
      <c r="C89" s="23">
        <f>+'Datos M2'!AF89</f>
        <v>0</v>
      </c>
      <c r="D89" s="23">
        <f>+'Datos M3'!AF89</f>
        <v>72.900000000000006</v>
      </c>
      <c r="E89" s="23">
        <f>+'Datos M4'!AF89</f>
        <v>78.36666666666666</v>
      </c>
      <c r="F89" s="23">
        <f>+'Datos M5'!AF89</f>
        <v>71.966666666666669</v>
      </c>
      <c r="G89" s="23">
        <f>+'Datos M6'!AF89</f>
        <v>50.4</v>
      </c>
      <c r="H89" s="23">
        <f>+'Datos M7'!AF89</f>
        <v>58.93333333333333</v>
      </c>
      <c r="I89" s="23">
        <f>+'Datos M8'!AF89</f>
        <v>37.833333333333336</v>
      </c>
      <c r="J89" s="23">
        <f>+'Datos M9'!AF89</f>
        <v>43.4</v>
      </c>
      <c r="K89" s="23">
        <f>+'Datos M10'!AF89</f>
        <v>39</v>
      </c>
      <c r="L89" s="20"/>
    </row>
    <row r="90" spans="1:12" x14ac:dyDescent="0.35">
      <c r="A90" s="22" t="s">
        <v>66</v>
      </c>
      <c r="B90" s="23">
        <f>+'Datos M1'!AF90</f>
        <v>0</v>
      </c>
      <c r="C90" s="23">
        <f>+'Datos M2'!AF90</f>
        <v>0</v>
      </c>
      <c r="D90" s="23">
        <f>+'Datos M3'!AF90</f>
        <v>39.4</v>
      </c>
      <c r="E90" s="23">
        <f>+'Datos M4'!AF90</f>
        <v>46.4</v>
      </c>
      <c r="F90" s="23">
        <f>+'Datos M5'!AF90</f>
        <v>63.5</v>
      </c>
      <c r="G90" s="23">
        <f>+'Datos M6'!AF90</f>
        <v>63.7</v>
      </c>
      <c r="H90" s="23">
        <f>+'Datos M7'!AF90</f>
        <v>50.133333333333333</v>
      </c>
      <c r="I90" s="23">
        <f>+'Datos M8'!AF90</f>
        <v>41.93333333333333</v>
      </c>
      <c r="J90" s="23">
        <f>+'Datos M9'!AF90</f>
        <v>46.2</v>
      </c>
      <c r="K90" s="23">
        <f>+'Datos M10'!AF90</f>
        <v>54.266666666666666</v>
      </c>
      <c r="L90" s="20"/>
    </row>
    <row r="91" spans="1:12" x14ac:dyDescent="0.35">
      <c r="A91" s="22" t="s">
        <v>67</v>
      </c>
      <c r="B91" s="23">
        <f>+'Datos M1'!AF91</f>
        <v>50.166666666666664</v>
      </c>
      <c r="C91" s="23">
        <f>+'Datos M2'!AF91</f>
        <v>0</v>
      </c>
      <c r="D91" s="23">
        <f>+'Datos M3'!AF91</f>
        <v>42.4</v>
      </c>
      <c r="E91" s="23">
        <f>+'Datos M4'!AF91</f>
        <v>47.133333333333333</v>
      </c>
      <c r="F91" s="23">
        <f>+'Datos M5'!AF91</f>
        <v>73.36666666666666</v>
      </c>
      <c r="G91" s="23">
        <f>+'Datos M6'!AF91</f>
        <v>52.133333333333333</v>
      </c>
      <c r="H91" s="23">
        <f>+'Datos M7'!AF91</f>
        <v>39.966666666666669</v>
      </c>
      <c r="I91" s="23">
        <f>+'Datos M8'!AF91</f>
        <v>87.566666666666663</v>
      </c>
      <c r="J91" s="23">
        <f>+'Datos M9'!AF91</f>
        <v>37.466666666666669</v>
      </c>
      <c r="K91" s="23">
        <f>+'Datos M10'!AF91</f>
        <v>52.833333333333336</v>
      </c>
      <c r="L91" s="20"/>
    </row>
    <row r="92" spans="1:12" x14ac:dyDescent="0.35">
      <c r="A92" s="22" t="s">
        <v>68</v>
      </c>
      <c r="B92" s="23">
        <f>+'Datos M1'!AF92</f>
        <v>26.966666666666665</v>
      </c>
      <c r="C92" s="23">
        <f>+'Datos M2'!AF92</f>
        <v>0</v>
      </c>
      <c r="D92" s="23">
        <f>+'Datos M3'!AF92</f>
        <v>58.966666666666669</v>
      </c>
      <c r="E92" s="23">
        <f>+'Datos M4'!AF92</f>
        <v>52.366666666666667</v>
      </c>
      <c r="F92" s="23">
        <f>+'Datos M5'!AF92</f>
        <v>57.866666666666667</v>
      </c>
      <c r="G92" s="23">
        <f>+'Datos M6'!AF92</f>
        <v>40.266666666666666</v>
      </c>
      <c r="H92" s="23">
        <f>+'Datos M7'!AF92</f>
        <v>47.533333333333331</v>
      </c>
      <c r="I92" s="23">
        <f>+'Datos M8'!AF92</f>
        <v>89.13333333333334</v>
      </c>
      <c r="J92" s="23">
        <f>+'Datos M9'!AF92</f>
        <v>40</v>
      </c>
      <c r="K92" s="23">
        <f>+'Datos M10'!AF92</f>
        <v>47.733333333333334</v>
      </c>
      <c r="L92" s="20"/>
    </row>
    <row r="93" spans="1:12" x14ac:dyDescent="0.35">
      <c r="A93" s="22" t="s">
        <v>69</v>
      </c>
      <c r="B93" s="23">
        <f>+'Datos M1'!AF93</f>
        <v>0</v>
      </c>
      <c r="C93" s="23">
        <f>+'Datos M2'!AF93</f>
        <v>0</v>
      </c>
      <c r="D93" s="23">
        <f>+'Datos M3'!AF93</f>
        <v>32.366666666666667</v>
      </c>
      <c r="E93" s="23">
        <f>+'Datos M4'!AF93</f>
        <v>62.833333333333336</v>
      </c>
      <c r="F93" s="23">
        <f>+'Datos M5'!AF93</f>
        <v>41.766666666666666</v>
      </c>
      <c r="G93" s="23">
        <f>+'Datos M6'!AF93</f>
        <v>39.700000000000003</v>
      </c>
      <c r="H93" s="23">
        <f>+'Datos M7'!AF93</f>
        <v>46.8</v>
      </c>
      <c r="I93" s="23">
        <f>+'Datos M8'!AF93</f>
        <v>40.9</v>
      </c>
      <c r="J93" s="23">
        <f>+'Datos M9'!AF93</f>
        <v>59.466666666666669</v>
      </c>
      <c r="K93" s="23">
        <f>+'Datos M10'!AF93</f>
        <v>47</v>
      </c>
      <c r="L93" s="20"/>
    </row>
    <row r="94" spans="1:12" x14ac:dyDescent="0.35">
      <c r="A94" s="22" t="s">
        <v>70</v>
      </c>
      <c r="B94" s="23">
        <f>+'Datos M1'!AF94</f>
        <v>0</v>
      </c>
      <c r="C94" s="23">
        <f>+'Datos M2'!AF94</f>
        <v>0</v>
      </c>
      <c r="D94" s="23">
        <f>+'Datos M3'!AF94</f>
        <v>74.900000000000006</v>
      </c>
      <c r="E94" s="23">
        <f>+'Datos M4'!AF94</f>
        <v>53.033333333333331</v>
      </c>
      <c r="F94" s="23">
        <f>+'Datos M5'!AF94</f>
        <v>36.93333333333333</v>
      </c>
      <c r="G94" s="23">
        <f>+'Datos M6'!AF94</f>
        <v>69.7</v>
      </c>
      <c r="H94" s="23">
        <f>+'Datos M7'!AF94</f>
        <v>70.36666666666666</v>
      </c>
      <c r="I94" s="23">
        <f>+'Datos M8'!AF94</f>
        <v>39.56666666666667</v>
      </c>
      <c r="J94" s="23">
        <f>+'Datos M9'!AF94</f>
        <v>59.466666666666669</v>
      </c>
      <c r="K94" s="23">
        <f>+'Datos M10'!AF94</f>
        <v>61.466666666666669</v>
      </c>
      <c r="L94" s="20"/>
    </row>
    <row r="95" spans="1:12" x14ac:dyDescent="0.35">
      <c r="A95" s="22" t="s">
        <v>71</v>
      </c>
      <c r="B95" s="23">
        <f>+'Datos M1'!AF95</f>
        <v>0</v>
      </c>
      <c r="C95" s="23">
        <f>+'Datos M2'!AF95</f>
        <v>0</v>
      </c>
      <c r="D95" s="23">
        <f>+'Datos M3'!AF95</f>
        <v>60.133333333333333</v>
      </c>
      <c r="E95" s="23">
        <f>+'Datos M4'!AF95</f>
        <v>42.2</v>
      </c>
      <c r="F95" s="23">
        <f>+'Datos M5'!AF95</f>
        <v>57.533333333333331</v>
      </c>
      <c r="G95" s="23">
        <f>+'Datos M6'!AF95</f>
        <v>45.56666666666667</v>
      </c>
      <c r="H95" s="23">
        <f>+'Datos M7'!AF95</f>
        <v>66.099999999999994</v>
      </c>
      <c r="I95" s="23">
        <f>+'Datos M8'!AF95</f>
        <v>75.599999999999994</v>
      </c>
      <c r="J95" s="23">
        <f>+'Datos M9'!AF95</f>
        <v>37.200000000000003</v>
      </c>
      <c r="K95" s="23">
        <f>+'Datos M10'!AF95</f>
        <v>50.56666666666667</v>
      </c>
      <c r="L95" s="20"/>
    </row>
    <row r="96" spans="1:12" x14ac:dyDescent="0.35">
      <c r="A96" s="22" t="s">
        <v>72</v>
      </c>
      <c r="B96" s="23">
        <f>+'Datos M1'!AF96</f>
        <v>0</v>
      </c>
      <c r="C96" s="23">
        <f>+'Datos M2'!AF96</f>
        <v>0</v>
      </c>
      <c r="D96" s="23">
        <f>+'Datos M3'!AF96</f>
        <v>0</v>
      </c>
      <c r="E96" s="23">
        <f>+'Datos M4'!AF96</f>
        <v>44.133333333333333</v>
      </c>
      <c r="F96" s="23">
        <f>+'Datos M5'!AF96</f>
        <v>47.93333333333333</v>
      </c>
      <c r="G96" s="23">
        <f>+'Datos M6'!AF96</f>
        <v>61.666666666666664</v>
      </c>
      <c r="H96" s="23">
        <f>+'Datos M7'!AF96</f>
        <v>41.466666666666669</v>
      </c>
      <c r="I96" s="23">
        <f>+'Datos M8'!AF96</f>
        <v>53.56666666666667</v>
      </c>
      <c r="J96" s="23">
        <f>+'Datos M9'!AF96</f>
        <v>47.733333333333334</v>
      </c>
      <c r="K96" s="23">
        <f>+'Datos M10'!AF96</f>
        <v>45.266666666666666</v>
      </c>
      <c r="L96" s="20"/>
    </row>
    <row r="97" spans="1:12" x14ac:dyDescent="0.35">
      <c r="A97" s="22" t="s">
        <v>73</v>
      </c>
      <c r="B97" s="23">
        <f>+'Datos M1'!AF97</f>
        <v>0</v>
      </c>
      <c r="C97" s="23">
        <f>+'Datos M2'!AF97</f>
        <v>0</v>
      </c>
      <c r="D97" s="23">
        <f>+'Datos M3'!AF97</f>
        <v>47.2</v>
      </c>
      <c r="E97" s="23">
        <f>+'Datos M4'!AF97</f>
        <v>51.366666666666667</v>
      </c>
      <c r="F97" s="23">
        <f>+'Datos M5'!AF97</f>
        <v>51.633333333333333</v>
      </c>
      <c r="G97" s="23">
        <f>+'Datos M6'!AF97</f>
        <v>78.599999999999994</v>
      </c>
      <c r="H97" s="23">
        <f>+'Datos M7'!AF97</f>
        <v>80.466666666666669</v>
      </c>
      <c r="I97" s="23">
        <f>+'Datos M8'!AF97</f>
        <v>48.5</v>
      </c>
      <c r="J97" s="23">
        <f>+'Datos M9'!AF97</f>
        <v>61.766666666666666</v>
      </c>
      <c r="K97" s="23">
        <f>+'Datos M10'!AF97</f>
        <v>56.666666666666664</v>
      </c>
      <c r="L97" s="20"/>
    </row>
    <row r="98" spans="1:12" x14ac:dyDescent="0.35">
      <c r="A98" s="22" t="s">
        <v>74</v>
      </c>
      <c r="B98" s="23">
        <f>+'Datos M1'!AF98</f>
        <v>14.566666666666666</v>
      </c>
      <c r="C98" s="23">
        <f>+'Datos M2'!AF98</f>
        <v>0</v>
      </c>
      <c r="D98" s="23">
        <f>+'Datos M3'!AF98</f>
        <v>99.466666666666669</v>
      </c>
      <c r="E98" s="23">
        <f>+'Datos M4'!AF98</f>
        <v>59.7</v>
      </c>
      <c r="F98" s="23">
        <f>+'Datos M5'!AF98</f>
        <v>70.099999999999994</v>
      </c>
      <c r="G98" s="23">
        <f>+'Datos M6'!AF98</f>
        <v>59.3</v>
      </c>
      <c r="H98" s="23">
        <f>+'Datos M7'!AF98</f>
        <v>71.13333333333334</v>
      </c>
      <c r="I98" s="23">
        <f>+'Datos M8'!AF98</f>
        <v>58.966666666666669</v>
      </c>
      <c r="J98" s="23">
        <f>+'Datos M9'!AF98</f>
        <v>54.533333333333331</v>
      </c>
      <c r="K98" s="23">
        <f>+'Datos M10'!AF98</f>
        <v>49.466666666666669</v>
      </c>
      <c r="L98" s="20"/>
    </row>
    <row r="99" spans="1:12" x14ac:dyDescent="0.35">
      <c r="A99" s="22" t="s">
        <v>75</v>
      </c>
      <c r="B99" s="23">
        <f>+'Datos M1'!AF99</f>
        <v>31.133333333333333</v>
      </c>
      <c r="C99" s="23">
        <f>+'Datos M2'!AF99</f>
        <v>53.56666666666667</v>
      </c>
      <c r="D99" s="23">
        <f>+'Datos M3'!AF99</f>
        <v>45.266666666666666</v>
      </c>
      <c r="E99" s="23">
        <f>+'Datos M4'!AF99</f>
        <v>33.833333333333336</v>
      </c>
      <c r="F99" s="23">
        <f>+'Datos M5'!AF99</f>
        <v>39.9</v>
      </c>
      <c r="G99" s="23">
        <f>+'Datos M6'!AF99</f>
        <v>62</v>
      </c>
      <c r="H99" s="23">
        <f>+'Datos M7'!AF99</f>
        <v>38.233333333333334</v>
      </c>
      <c r="I99" s="23">
        <f>+'Datos M8'!AF99</f>
        <v>48.866666666666667</v>
      </c>
      <c r="J99" s="23">
        <f>+'Datos M9'!AF99</f>
        <v>42.3</v>
      </c>
      <c r="K99" s="23">
        <f>+'Datos M10'!AF99</f>
        <v>44.7</v>
      </c>
      <c r="L99" s="20"/>
    </row>
    <row r="100" spans="1:12" x14ac:dyDescent="0.35">
      <c r="A100" s="22" t="s">
        <v>76</v>
      </c>
      <c r="B100" s="23">
        <f>+'Datos M1'!AF100</f>
        <v>45.533333333333331</v>
      </c>
      <c r="C100" s="23">
        <f>+'Datos M2'!AF100</f>
        <v>92.833333333333329</v>
      </c>
      <c r="D100" s="23">
        <f>+'Datos M3'!AF100</f>
        <v>55.666666666666664</v>
      </c>
      <c r="E100" s="23">
        <f>+'Datos M4'!AF100</f>
        <v>94.233333333333334</v>
      </c>
      <c r="F100" s="23">
        <f>+'Datos M5'!AF100</f>
        <v>51.266666666666666</v>
      </c>
      <c r="G100" s="23">
        <f>+'Datos M6'!AF100</f>
        <v>45</v>
      </c>
      <c r="H100" s="23">
        <f>+'Datos M7'!AF100</f>
        <v>63.766666666666666</v>
      </c>
      <c r="I100" s="23">
        <f>+'Datos M8'!AF100</f>
        <v>92.033333333333331</v>
      </c>
      <c r="J100" s="23">
        <f>+'Datos M9'!AF100</f>
        <v>68.533333333333331</v>
      </c>
      <c r="K100" s="23">
        <f>+'Datos M10'!AF100</f>
        <v>51.366666666666667</v>
      </c>
      <c r="L100" s="20"/>
    </row>
    <row r="101" spans="1:12" x14ac:dyDescent="0.35">
      <c r="A101" s="22" t="s">
        <v>77</v>
      </c>
      <c r="B101" s="23">
        <f>+'Datos M1'!AF101</f>
        <v>22.066666666666666</v>
      </c>
      <c r="C101" s="23">
        <f>+'Datos M2'!AF101</f>
        <v>75.533333333333331</v>
      </c>
      <c r="D101" s="23">
        <f>+'Datos M3'!AF101</f>
        <v>62.93333333333333</v>
      </c>
      <c r="E101" s="23">
        <f>+'Datos M4'!AF101</f>
        <v>66.7</v>
      </c>
      <c r="F101" s="23">
        <f>+'Datos M5'!AF101</f>
        <v>49.6</v>
      </c>
      <c r="G101" s="23">
        <f>+'Datos M6'!AF101</f>
        <v>55.966666666666669</v>
      </c>
      <c r="H101" s="23">
        <f>+'Datos M7'!AF101</f>
        <v>0</v>
      </c>
      <c r="I101" s="23">
        <f>+'Datos M8'!AF101</f>
        <v>81.166666666666671</v>
      </c>
      <c r="J101" s="23">
        <f>+'Datos M9'!AF101</f>
        <v>33.6</v>
      </c>
      <c r="K101" s="23">
        <f>+'Datos M10'!AF101</f>
        <v>45.133333333333333</v>
      </c>
      <c r="L101" s="20"/>
    </row>
    <row r="102" spans="1:12" x14ac:dyDescent="0.35">
      <c r="A102" s="22" t="s">
        <v>78</v>
      </c>
      <c r="B102" s="23">
        <f>+'Datos M1'!AF102</f>
        <v>21.933333333333334</v>
      </c>
      <c r="C102" s="23">
        <f>+'Datos M2'!AF102</f>
        <v>68.966666666666669</v>
      </c>
      <c r="D102" s="23">
        <f>+'Datos M3'!AF102</f>
        <v>43.733333333333334</v>
      </c>
      <c r="E102" s="23">
        <f>+'Datos M4'!AF102</f>
        <v>76.933333333333337</v>
      </c>
      <c r="F102" s="23">
        <f>+'Datos M5'!AF102</f>
        <v>70.033333333333331</v>
      </c>
      <c r="G102" s="23">
        <f>+'Datos M6'!AF102</f>
        <v>36.133333333333333</v>
      </c>
      <c r="H102" s="23">
        <f>+'Datos M7'!AF102</f>
        <v>0</v>
      </c>
      <c r="I102" s="23">
        <f>+'Datos M8'!AF102</f>
        <v>42.966666666666669</v>
      </c>
      <c r="J102" s="23">
        <f>+'Datos M9'!AF102</f>
        <v>61.93333333333333</v>
      </c>
      <c r="K102" s="23">
        <f>+'Datos M10'!AF102</f>
        <v>49.833333333333336</v>
      </c>
      <c r="L102" s="20"/>
    </row>
    <row r="103" spans="1:12" x14ac:dyDescent="0.35">
      <c r="A103" s="22" t="s">
        <v>79</v>
      </c>
      <c r="B103" s="23">
        <f>+'Datos M1'!AF103</f>
        <v>19.533333333333335</v>
      </c>
      <c r="C103" s="23">
        <f>+'Datos M2'!AF103</f>
        <v>59.7</v>
      </c>
      <c r="D103" s="23">
        <f>+'Datos M3'!AF103</f>
        <v>50.166666666666664</v>
      </c>
      <c r="E103" s="23">
        <f>+'Datos M4'!AF103</f>
        <v>34.9</v>
      </c>
      <c r="F103" s="23">
        <f>+'Datos M5'!AF103</f>
        <v>41.5</v>
      </c>
      <c r="G103" s="23">
        <f>+'Datos M6'!AF103</f>
        <v>36.366666666666667</v>
      </c>
      <c r="H103" s="23">
        <f>+'Datos M7'!AF103</f>
        <v>0</v>
      </c>
      <c r="I103" s="23">
        <f>+'Datos M8'!AF103</f>
        <v>77.933333333333337</v>
      </c>
      <c r="J103" s="23">
        <f>+'Datos M9'!AF103</f>
        <v>52.033333333333331</v>
      </c>
      <c r="K103" s="23">
        <f>+'Datos M10'!AF103</f>
        <v>46.4</v>
      </c>
      <c r="L103" s="20"/>
    </row>
    <row r="104" spans="1:12" x14ac:dyDescent="0.35">
      <c r="A104" s="22" t="s">
        <v>183</v>
      </c>
      <c r="B104" s="23">
        <f>+'Datos M1'!AF104</f>
        <v>26.066666666666666</v>
      </c>
      <c r="C104" s="23">
        <f>+'Datos M2'!AF104</f>
        <v>63.533333333333331</v>
      </c>
      <c r="D104" s="23">
        <f>+'Datos M3'!AF104</f>
        <v>79.5</v>
      </c>
      <c r="E104" s="23">
        <f>+'Datos M4'!AF104</f>
        <v>73.7</v>
      </c>
      <c r="F104" s="23">
        <f>+'Datos M5'!AF104</f>
        <v>58.8</v>
      </c>
      <c r="G104" s="23">
        <f>+'Datos M6'!AF104</f>
        <v>71.86666666666666</v>
      </c>
      <c r="H104" s="23">
        <f>+'Datos M7'!AF104</f>
        <v>0</v>
      </c>
      <c r="I104" s="23">
        <f>+'Datos M8'!AF104</f>
        <v>58.766666666666666</v>
      </c>
      <c r="J104" s="23">
        <f>+'Datos M9'!AF104</f>
        <v>43.3</v>
      </c>
      <c r="K104" s="23">
        <f>+'Datos M10'!AF104</f>
        <v>51.06666666666667</v>
      </c>
      <c r="L104" s="20"/>
    </row>
    <row r="105" spans="1:12" x14ac:dyDescent="0.35">
      <c r="A105" s="22" t="s">
        <v>80</v>
      </c>
      <c r="B105" s="23">
        <f>+'Datos M1'!AF105</f>
        <v>33.1</v>
      </c>
      <c r="C105" s="23">
        <f>+'Datos M2'!AF105</f>
        <v>46.56666666666667</v>
      </c>
      <c r="D105" s="23">
        <f>+'Datos M3'!AF105</f>
        <v>66</v>
      </c>
      <c r="E105" s="23">
        <f>+'Datos M4'!AF105</f>
        <v>53</v>
      </c>
      <c r="F105" s="23">
        <f>+'Datos M5'!AF105</f>
        <v>0</v>
      </c>
      <c r="G105" s="23">
        <f>+'Datos M6'!AF105</f>
        <v>72.63333333333334</v>
      </c>
      <c r="H105" s="23">
        <f>+'Datos M7'!AF105</f>
        <v>0</v>
      </c>
      <c r="I105" s="23">
        <f>+'Datos M8'!AF105</f>
        <v>39.533333333333331</v>
      </c>
      <c r="J105" s="23">
        <f>+'Datos M9'!AF105</f>
        <v>52.666666666666664</v>
      </c>
      <c r="K105" s="23">
        <f>+'Datos M10'!AF105</f>
        <v>59.8</v>
      </c>
      <c r="L105" s="20"/>
    </row>
    <row r="106" spans="1:12" x14ac:dyDescent="0.35">
      <c r="A106" s="22" t="s">
        <v>81</v>
      </c>
      <c r="B106" s="23">
        <f>+'Datos M1'!AF106</f>
        <v>39.833333333333336</v>
      </c>
      <c r="C106" s="23">
        <f>+'Datos M2'!AF106</f>
        <v>62.333333333333336</v>
      </c>
      <c r="D106" s="23">
        <f>+'Datos M3'!AF106</f>
        <v>63.466666666666669</v>
      </c>
      <c r="E106" s="23">
        <f>+'Datos M4'!AF106</f>
        <v>49.9</v>
      </c>
      <c r="F106" s="23">
        <f>+'Datos M5'!AF106</f>
        <v>0</v>
      </c>
      <c r="G106" s="23">
        <f>+'Datos M6'!AF106</f>
        <v>59.166666666666664</v>
      </c>
      <c r="H106" s="23">
        <f>+'Datos M7'!AF106</f>
        <v>0</v>
      </c>
      <c r="I106" s="23">
        <f>+'Datos M8'!AF106</f>
        <v>84.733333333333334</v>
      </c>
      <c r="J106" s="23">
        <f>+'Datos M9'!AF106</f>
        <v>66.033333333333331</v>
      </c>
      <c r="K106" s="23">
        <f>+'Datos M10'!AF106</f>
        <v>42.466666666666669</v>
      </c>
      <c r="L106" s="20"/>
    </row>
    <row r="107" spans="1:12" x14ac:dyDescent="0.35">
      <c r="A107" s="22" t="s">
        <v>82</v>
      </c>
      <c r="B107" s="23">
        <f>+'Datos M1'!AF107</f>
        <v>40.466666666666669</v>
      </c>
      <c r="C107" s="23">
        <f>+'Datos M2'!AF107</f>
        <v>49.866666666666667</v>
      </c>
      <c r="D107" s="23">
        <f>+'Datos M3'!AF107</f>
        <v>61.4</v>
      </c>
      <c r="E107" s="23">
        <f>+'Datos M4'!AF107</f>
        <v>52.333333333333336</v>
      </c>
      <c r="F107" s="23">
        <f>+'Datos M5'!AF107</f>
        <v>0</v>
      </c>
      <c r="G107" s="23">
        <f>+'Datos M6'!AF107</f>
        <v>41.166666666666664</v>
      </c>
      <c r="H107" s="23">
        <f>+'Datos M7'!AF107</f>
        <v>0</v>
      </c>
      <c r="I107" s="23">
        <f>+'Datos M8'!AF107</f>
        <v>56.06666666666667</v>
      </c>
      <c r="J107" s="23">
        <f>+'Datos M9'!AF107</f>
        <v>37.466666666666669</v>
      </c>
      <c r="K107" s="23">
        <f>+'Datos M10'!AF107</f>
        <v>48.033333333333331</v>
      </c>
      <c r="L107" s="20"/>
    </row>
    <row r="108" spans="1:12" x14ac:dyDescent="0.35">
      <c r="A108" s="22" t="s">
        <v>83</v>
      </c>
      <c r="B108" s="23">
        <f>+'Datos M1'!AF108</f>
        <v>37.166666666666664</v>
      </c>
      <c r="C108" s="23">
        <f>+'Datos M2'!AF108</f>
        <v>37.866666666666667</v>
      </c>
      <c r="D108" s="23">
        <f>+'Datos M3'!AF108</f>
        <v>67.433333333333337</v>
      </c>
      <c r="E108" s="23">
        <f>+'Datos M4'!AF108</f>
        <v>57.56666666666667</v>
      </c>
      <c r="F108" s="23">
        <f>+'Datos M5'!AF108</f>
        <v>0</v>
      </c>
      <c r="G108" s="23">
        <f>+'Datos M6'!AF108</f>
        <v>0</v>
      </c>
      <c r="H108" s="23">
        <f>+'Datos M7'!AF108</f>
        <v>0</v>
      </c>
      <c r="I108" s="23">
        <f>+'Datos M8'!AF108</f>
        <v>51.2</v>
      </c>
      <c r="J108" s="23">
        <f>+'Datos M9'!AF108</f>
        <v>89.066666666666663</v>
      </c>
      <c r="K108" s="23">
        <f>+'Datos M10'!AF108</f>
        <v>42.366666666666667</v>
      </c>
      <c r="L108" s="20"/>
    </row>
    <row r="109" spans="1:12" x14ac:dyDescent="0.35">
      <c r="A109" s="22" t="s">
        <v>84</v>
      </c>
      <c r="B109" s="23">
        <f>+'Datos M1'!AF109</f>
        <v>18.033333333333335</v>
      </c>
      <c r="C109" s="23">
        <f>+'Datos M2'!AF109</f>
        <v>41.4</v>
      </c>
      <c r="D109" s="23">
        <f>+'Datos M3'!AF109</f>
        <v>56.56666666666667</v>
      </c>
      <c r="E109" s="23">
        <f>+'Datos M4'!AF109</f>
        <v>72.766666666666666</v>
      </c>
      <c r="F109" s="23">
        <f>+'Datos M5'!AF109</f>
        <v>0</v>
      </c>
      <c r="G109" s="23">
        <f>+'Datos M6'!AF109</f>
        <v>75.533333333333331</v>
      </c>
      <c r="H109" s="23">
        <f>+'Datos M7'!AF109</f>
        <v>0</v>
      </c>
      <c r="I109" s="23">
        <f>+'Datos M8'!AF109</f>
        <v>48.666666666666664</v>
      </c>
      <c r="J109" s="23">
        <f>+'Datos M9'!AF109</f>
        <v>56.56666666666667</v>
      </c>
      <c r="K109" s="23">
        <f>+'Datos M10'!AF109</f>
        <v>33.966666666666669</v>
      </c>
      <c r="L109" s="20"/>
    </row>
    <row r="110" spans="1:12" x14ac:dyDescent="0.35">
      <c r="A110" s="22" t="s">
        <v>85</v>
      </c>
      <c r="B110" s="23">
        <f>+'Datos M1'!AF110</f>
        <v>22.266666666666666</v>
      </c>
      <c r="C110" s="23">
        <f>+'Datos M2'!AF110</f>
        <v>63.8</v>
      </c>
      <c r="D110" s="23">
        <f>+'Datos M3'!AF110</f>
        <v>47</v>
      </c>
      <c r="E110" s="23">
        <f>+'Datos M4'!AF110</f>
        <v>60.866666666666667</v>
      </c>
      <c r="F110" s="23">
        <f>+'Datos M5'!AF110</f>
        <v>56.533333333333331</v>
      </c>
      <c r="G110" s="23">
        <f>+'Datos M6'!AF110</f>
        <v>64.400000000000006</v>
      </c>
      <c r="H110" s="23">
        <f>+'Datos M7'!AF110</f>
        <v>0</v>
      </c>
      <c r="I110" s="23">
        <f>+'Datos M8'!AF110</f>
        <v>45.966666666666669</v>
      </c>
      <c r="J110" s="23">
        <f>+'Datos M9'!AF110</f>
        <v>34.56666666666667</v>
      </c>
      <c r="K110" s="23">
        <f>+'Datos M10'!AF110</f>
        <v>48.133333333333333</v>
      </c>
      <c r="L110" s="20"/>
    </row>
    <row r="111" spans="1:12" x14ac:dyDescent="0.35">
      <c r="A111" s="22" t="s">
        <v>86</v>
      </c>
      <c r="B111" s="23">
        <f>+'Datos M1'!AF111</f>
        <v>35.733333333333334</v>
      </c>
      <c r="C111" s="23">
        <f>+'Datos M2'!AF111</f>
        <v>60.3</v>
      </c>
      <c r="D111" s="23">
        <f>+'Datos M3'!AF111</f>
        <v>78.5</v>
      </c>
      <c r="E111" s="23">
        <f>+'Datos M4'!AF111</f>
        <v>46.766666666666666</v>
      </c>
      <c r="F111" s="23">
        <f>+'Datos M5'!AF111</f>
        <v>50.766666666666666</v>
      </c>
      <c r="G111" s="23">
        <f>+'Datos M6'!AF111</f>
        <v>55.3</v>
      </c>
      <c r="H111" s="23">
        <f>+'Datos M7'!AF111</f>
        <v>0</v>
      </c>
      <c r="I111" s="23">
        <f>+'Datos M8'!AF111</f>
        <v>61.1</v>
      </c>
      <c r="J111" s="23">
        <f>+'Datos M9'!AF111</f>
        <v>49.56666666666667</v>
      </c>
      <c r="K111" s="23">
        <f>+'Datos M10'!AF111</f>
        <v>0</v>
      </c>
      <c r="L111" s="20"/>
    </row>
    <row r="112" spans="1:12" x14ac:dyDescent="0.35">
      <c r="A112" s="22" t="s">
        <v>87</v>
      </c>
      <c r="B112" s="23">
        <f>+'Datos M1'!AF112</f>
        <v>31.6</v>
      </c>
      <c r="C112" s="23">
        <f>+'Datos M2'!AF112</f>
        <v>39.133333333333333</v>
      </c>
      <c r="D112" s="23">
        <f>+'Datos M3'!AF112</f>
        <v>66.666666666666671</v>
      </c>
      <c r="E112" s="23">
        <f>+'Datos M4'!AF112</f>
        <v>64.599999999999994</v>
      </c>
      <c r="F112" s="23">
        <f>+'Datos M5'!AF112</f>
        <v>42.9</v>
      </c>
      <c r="G112" s="23">
        <f>+'Datos M6'!AF112</f>
        <v>70.900000000000006</v>
      </c>
      <c r="H112" s="23">
        <f>+'Datos M7'!AF112</f>
        <v>0</v>
      </c>
      <c r="I112" s="23">
        <f>+'Datos M8'!AF112</f>
        <v>40.833333333333336</v>
      </c>
      <c r="J112" s="23">
        <f>+'Datos M9'!AF112</f>
        <v>53.43333333333333</v>
      </c>
      <c r="K112" s="23">
        <f>+'Datos M10'!AF112</f>
        <v>38.366666666666667</v>
      </c>
      <c r="L112" s="20"/>
    </row>
    <row r="113" spans="1:12" x14ac:dyDescent="0.35">
      <c r="A113" s="22" t="s">
        <v>88</v>
      </c>
      <c r="B113" s="23">
        <f>+'Datos M1'!AF113</f>
        <v>31.8</v>
      </c>
      <c r="C113" s="23">
        <f>+'Datos M2'!AF113</f>
        <v>67.433333333333337</v>
      </c>
      <c r="D113" s="23">
        <f>+'Datos M3'!AF113</f>
        <v>58.7</v>
      </c>
      <c r="E113" s="23">
        <f>+'Datos M4'!AF113</f>
        <v>55.3</v>
      </c>
      <c r="F113" s="23">
        <f>+'Datos M5'!AF113</f>
        <v>47.666666666666664</v>
      </c>
      <c r="G113" s="23">
        <f>+'Datos M6'!AF113</f>
        <v>75.400000000000006</v>
      </c>
      <c r="H113" s="23">
        <f>+'Datos M7'!AF113</f>
        <v>0</v>
      </c>
      <c r="I113" s="23">
        <f>+'Datos M8'!AF113</f>
        <v>41.6</v>
      </c>
      <c r="J113" s="23">
        <f>+'Datos M9'!AF113</f>
        <v>52.866666666666667</v>
      </c>
      <c r="K113" s="23">
        <f>+'Datos M10'!AF113</f>
        <v>51.666666666666664</v>
      </c>
      <c r="L113" s="20"/>
    </row>
    <row r="114" spans="1:12" x14ac:dyDescent="0.35">
      <c r="A114" s="22" t="s">
        <v>89</v>
      </c>
      <c r="B114" s="23">
        <f>+'Datos M1'!AF114</f>
        <v>27.366666666666667</v>
      </c>
      <c r="C114" s="23">
        <f>+'Datos M2'!AF114</f>
        <v>51.533333333333331</v>
      </c>
      <c r="D114" s="23">
        <f>+'Datos M3'!AF114</f>
        <v>68.966666666666669</v>
      </c>
      <c r="E114" s="23">
        <f>+'Datos M4'!AF114</f>
        <v>61.56666666666667</v>
      </c>
      <c r="F114" s="23">
        <f>+'Datos M5'!AF114</f>
        <v>62.5</v>
      </c>
      <c r="G114" s="23">
        <f>+'Datos M6'!AF114</f>
        <v>46.733333333333334</v>
      </c>
      <c r="H114" s="23">
        <f>+'Datos M7'!AF114</f>
        <v>0</v>
      </c>
      <c r="I114" s="23">
        <f>+'Datos M8'!AF114</f>
        <v>73.333333333333329</v>
      </c>
      <c r="J114" s="23">
        <f>+'Datos M9'!AF114</f>
        <v>74.900000000000006</v>
      </c>
      <c r="K114" s="23">
        <f>+'Datos M10'!AF114</f>
        <v>53.3</v>
      </c>
      <c r="L114" s="20"/>
    </row>
    <row r="115" spans="1:12" x14ac:dyDescent="0.35">
      <c r="A115" s="22" t="s">
        <v>196</v>
      </c>
      <c r="B115" s="23">
        <f>+'Datos M1'!AF115</f>
        <v>26.833333333333332</v>
      </c>
      <c r="C115" s="23">
        <f>+'Datos M2'!AF115</f>
        <v>41.266666666666666</v>
      </c>
      <c r="D115" s="23">
        <f>+'Datos M3'!AF115</f>
        <v>57.666666666666664</v>
      </c>
      <c r="E115" s="23">
        <f>+'Datos M4'!AF115</f>
        <v>94.933333333333337</v>
      </c>
      <c r="F115" s="23">
        <f>+'Datos M5'!AF115</f>
        <v>38.233333333333334</v>
      </c>
      <c r="G115" s="23">
        <f>+'Datos M6'!AF115</f>
        <v>51.533333333333331</v>
      </c>
      <c r="H115" s="23">
        <f>+'Datos M7'!AF115</f>
        <v>0</v>
      </c>
      <c r="I115" s="23">
        <f>+'Datos M8'!AF115</f>
        <v>54.43333333333333</v>
      </c>
      <c r="J115" s="23">
        <f>+'Datos M9'!AF115</f>
        <v>70.36666666666666</v>
      </c>
      <c r="K115" s="23">
        <f>+'Datos M10'!AF115</f>
        <v>39.93333333333333</v>
      </c>
      <c r="L115" s="20"/>
    </row>
    <row r="116" spans="1:12" x14ac:dyDescent="0.35">
      <c r="A116" s="22" t="s">
        <v>90</v>
      </c>
      <c r="B116" s="23">
        <f>+'Datos M1'!AF116</f>
        <v>0</v>
      </c>
      <c r="C116" s="23">
        <f>+'Datos M2'!AF116</f>
        <v>51.2</v>
      </c>
      <c r="D116" s="23">
        <f>+'Datos M3'!AF116</f>
        <v>45.733333333333334</v>
      </c>
      <c r="E116" s="23">
        <f>+'Datos M4'!AF116</f>
        <v>59.266666666666666</v>
      </c>
      <c r="F116" s="23">
        <f>+'Datos M5'!AF116</f>
        <v>40.766666666666666</v>
      </c>
      <c r="G116" s="23">
        <f>+'Datos M6'!AF116</f>
        <v>74.2</v>
      </c>
      <c r="H116" s="23">
        <f>+'Datos M7'!AF116</f>
        <v>0</v>
      </c>
      <c r="I116" s="23">
        <f>+'Datos M8'!AF116</f>
        <v>59.466666666666669</v>
      </c>
      <c r="J116" s="23">
        <f>+'Datos M9'!AF116</f>
        <v>36.133333333333333</v>
      </c>
      <c r="K116" s="23">
        <f>+'Datos M10'!AF116</f>
        <v>51.966666666666669</v>
      </c>
      <c r="L116" s="20"/>
    </row>
    <row r="117" spans="1:12" x14ac:dyDescent="0.35">
      <c r="A117" s="22" t="s">
        <v>91</v>
      </c>
      <c r="B117" s="23">
        <f>+'Datos M1'!AF117</f>
        <v>0</v>
      </c>
      <c r="C117" s="23">
        <f>+'Datos M2'!AF117</f>
        <v>0</v>
      </c>
      <c r="D117" s="23">
        <f>+'Datos M3'!AF117</f>
        <v>107.86666666666666</v>
      </c>
      <c r="E117" s="23">
        <f>+'Datos M4'!AF117</f>
        <v>35.666666666666664</v>
      </c>
      <c r="F117" s="23">
        <f>+'Datos M5'!AF117</f>
        <v>52.266666666666666</v>
      </c>
      <c r="G117" s="23">
        <f>+'Datos M6'!AF117</f>
        <v>47.833333333333336</v>
      </c>
      <c r="H117" s="23">
        <f>+'Datos M7'!AF117</f>
        <v>57.7</v>
      </c>
      <c r="I117" s="23">
        <f>+'Datos M8'!AF117</f>
        <v>36.966666666666669</v>
      </c>
      <c r="J117" s="23">
        <f>+'Datos M9'!AF117</f>
        <v>63.9</v>
      </c>
      <c r="K117" s="23">
        <f>+'Datos M10'!AF117</f>
        <v>54</v>
      </c>
      <c r="L117" s="20"/>
    </row>
    <row r="118" spans="1:12" x14ac:dyDescent="0.35">
      <c r="A118" s="22" t="s">
        <v>92</v>
      </c>
      <c r="B118" s="23">
        <f>+'Datos M1'!AF118</f>
        <v>0</v>
      </c>
      <c r="C118" s="23">
        <f>+'Datos M2'!AF118</f>
        <v>69.7</v>
      </c>
      <c r="D118" s="23">
        <f>+'Datos M3'!AF118</f>
        <v>58.266666666666666</v>
      </c>
      <c r="E118" s="23">
        <f>+'Datos M4'!AF118</f>
        <v>33.766666666666666</v>
      </c>
      <c r="F118" s="23">
        <f>+'Datos M5'!AF118</f>
        <v>73.033333333333331</v>
      </c>
      <c r="G118" s="23">
        <f>+'Datos M6'!AF118</f>
        <v>73.8</v>
      </c>
      <c r="H118" s="23">
        <f>+'Datos M7'!AF118</f>
        <v>48.466666666666669</v>
      </c>
      <c r="I118" s="23">
        <f>+'Datos M8'!AF118</f>
        <v>51.43333333333333</v>
      </c>
      <c r="J118" s="23">
        <f>+'Datos M9'!AF118</f>
        <v>45</v>
      </c>
      <c r="K118" s="23">
        <f>+'Datos M10'!AF118</f>
        <v>47.7</v>
      </c>
      <c r="L118" s="20"/>
    </row>
    <row r="119" spans="1:12" x14ac:dyDescent="0.35">
      <c r="A119" s="22" t="s">
        <v>93</v>
      </c>
      <c r="B119" s="23">
        <f>+'Datos M1'!AF119</f>
        <v>0</v>
      </c>
      <c r="C119" s="23">
        <f>+'Datos M2'!AF119</f>
        <v>0</v>
      </c>
      <c r="D119" s="23">
        <f>+'Datos M3'!AF119</f>
        <v>40.266666666666666</v>
      </c>
      <c r="E119" s="23">
        <f>+'Datos M4'!AF119</f>
        <v>50.666666666666664</v>
      </c>
      <c r="F119" s="23">
        <f>+'Datos M5'!AF119</f>
        <v>39.56666666666667</v>
      </c>
      <c r="G119" s="23">
        <f>+'Datos M6'!AF119</f>
        <v>43.866666666666667</v>
      </c>
      <c r="H119" s="23">
        <f>+'Datos M7'!AF119</f>
        <v>43.56666666666667</v>
      </c>
      <c r="I119" s="23">
        <f>+'Datos M8'!AF119</f>
        <v>77.5</v>
      </c>
      <c r="J119" s="23">
        <f>+'Datos M9'!AF119</f>
        <v>70.433333333333337</v>
      </c>
      <c r="K119" s="23">
        <f>+'Datos M10'!AF119</f>
        <v>63.233333333333334</v>
      </c>
      <c r="L119" s="20"/>
    </row>
    <row r="120" spans="1:12" x14ac:dyDescent="0.35">
      <c r="A120" s="22" t="s">
        <v>94</v>
      </c>
      <c r="B120" s="23">
        <f>+'Datos M1'!AF120</f>
        <v>0</v>
      </c>
      <c r="C120" s="23">
        <f>+'Datos M2'!AF120</f>
        <v>0</v>
      </c>
      <c r="D120" s="23">
        <f>+'Datos M3'!AF120</f>
        <v>61.1</v>
      </c>
      <c r="E120" s="23">
        <f>+'Datos M4'!AF120</f>
        <v>73.066666666666663</v>
      </c>
      <c r="F120" s="23">
        <f>+'Datos M5'!AF120</f>
        <v>59.666666666666664</v>
      </c>
      <c r="G120" s="23">
        <f>+'Datos M6'!AF120</f>
        <v>94.2</v>
      </c>
      <c r="H120" s="23">
        <f>+'Datos M7'!AF120</f>
        <v>0</v>
      </c>
      <c r="I120" s="23">
        <f>+'Datos M8'!AF120</f>
        <v>35.166666666666664</v>
      </c>
      <c r="J120" s="23">
        <f>+'Datos M9'!AF120</f>
        <v>44.9</v>
      </c>
      <c r="K120" s="23">
        <f>+'Datos M10'!AF120</f>
        <v>42.8</v>
      </c>
      <c r="L120" s="20"/>
    </row>
    <row r="121" spans="1:12" x14ac:dyDescent="0.35">
      <c r="A121" s="22" t="s">
        <v>95</v>
      </c>
      <c r="B121" s="23">
        <f>+'Datos M1'!AF121</f>
        <v>0</v>
      </c>
      <c r="C121" s="23">
        <f>+'Datos M2'!AF121</f>
        <v>0</v>
      </c>
      <c r="D121" s="23">
        <f>+'Datos M3'!AF121</f>
        <v>56.466666666666669</v>
      </c>
      <c r="E121" s="23">
        <f>+'Datos M4'!AF121</f>
        <v>76.766666666666666</v>
      </c>
      <c r="F121" s="23">
        <f>+'Datos M5'!AF121</f>
        <v>47.56666666666667</v>
      </c>
      <c r="G121" s="23">
        <f>+'Datos M6'!AF121</f>
        <v>54.3</v>
      </c>
      <c r="H121" s="23">
        <f>+'Datos M7'!AF121</f>
        <v>75.433333333333337</v>
      </c>
      <c r="I121" s="23">
        <f>+'Datos M8'!AF121</f>
        <v>63.56666666666667</v>
      </c>
      <c r="J121" s="23">
        <f>+'Datos M9'!AF121</f>
        <v>89.13333333333334</v>
      </c>
      <c r="K121" s="23">
        <f>+'Datos M10'!AF121</f>
        <v>42.43333333333333</v>
      </c>
      <c r="L121" s="20"/>
    </row>
    <row r="122" spans="1:12" x14ac:dyDescent="0.35">
      <c r="A122" s="22" t="s">
        <v>96</v>
      </c>
      <c r="B122" s="23">
        <f>+'Datos M1'!AF122</f>
        <v>19</v>
      </c>
      <c r="C122" s="23">
        <f>+'Datos M2'!AF122</f>
        <v>44</v>
      </c>
      <c r="D122" s="23">
        <f>+'Datos M3'!AF122</f>
        <v>50.133333333333333</v>
      </c>
      <c r="E122" s="23">
        <f>+'Datos M4'!AF122</f>
        <v>62.266666666666666</v>
      </c>
      <c r="F122" s="23">
        <f>+'Datos M5'!AF122</f>
        <v>51.733333333333334</v>
      </c>
      <c r="G122" s="23">
        <f>+'Datos M6'!AF122</f>
        <v>63.166666666666664</v>
      </c>
      <c r="H122" s="23">
        <f>+'Datos M7'!AF122</f>
        <v>53.133333333333333</v>
      </c>
      <c r="I122" s="23">
        <f>+'Datos M8'!AF122</f>
        <v>64.333333333333329</v>
      </c>
      <c r="J122" s="23">
        <f>+'Datos M9'!AF122</f>
        <v>62.466666666666669</v>
      </c>
      <c r="K122" s="23">
        <f>+'Datos M10'!AF122</f>
        <v>38.6</v>
      </c>
      <c r="L122" s="20"/>
    </row>
    <row r="123" spans="1:12" x14ac:dyDescent="0.35">
      <c r="A123" s="22" t="s">
        <v>97</v>
      </c>
      <c r="B123" s="23">
        <f>+'Datos M1'!AF123</f>
        <v>23.133333333333333</v>
      </c>
      <c r="C123" s="23">
        <f>+'Datos M2'!AF123</f>
        <v>58.833333333333336</v>
      </c>
      <c r="D123" s="23">
        <f>+'Datos M3'!AF123</f>
        <v>56.266666666666666</v>
      </c>
      <c r="E123" s="23">
        <f>+'Datos M4'!AF123</f>
        <v>0</v>
      </c>
      <c r="F123" s="23">
        <f>+'Datos M5'!AF123</f>
        <v>72.5</v>
      </c>
      <c r="G123" s="23">
        <f>+'Datos M6'!AF123</f>
        <v>0</v>
      </c>
      <c r="H123" s="23">
        <f>+'Datos M7'!AF123</f>
        <v>63.966666666666669</v>
      </c>
      <c r="I123" s="23">
        <f>+'Datos M8'!AF123</f>
        <v>70.099999999999994</v>
      </c>
      <c r="J123" s="23">
        <f>+'Datos M9'!AF123</f>
        <v>26.433333333333334</v>
      </c>
      <c r="K123" s="23">
        <f>+'Datos M10'!AF123</f>
        <v>41.1</v>
      </c>
      <c r="L123" s="20"/>
    </row>
    <row r="124" spans="1:12" x14ac:dyDescent="0.35">
      <c r="A124" s="22" t="s">
        <v>98</v>
      </c>
      <c r="B124" s="23">
        <f>+'Datos M1'!AF124</f>
        <v>18</v>
      </c>
      <c r="C124" s="23">
        <f>+'Datos M2'!AF124</f>
        <v>0</v>
      </c>
      <c r="D124" s="23">
        <f>+'Datos M3'!AF124</f>
        <v>73.766666666666666</v>
      </c>
      <c r="E124" s="23">
        <f>+'Datos M4'!AF124</f>
        <v>52.9</v>
      </c>
      <c r="F124" s="23">
        <f>+'Datos M5'!AF124</f>
        <v>48.666666666666664</v>
      </c>
      <c r="G124" s="23">
        <f>+'Datos M6'!AF124</f>
        <v>46.133333333333333</v>
      </c>
      <c r="H124" s="23">
        <f>+'Datos M7'!AF124</f>
        <v>76.266666666666666</v>
      </c>
      <c r="I124" s="23">
        <f>+'Datos M8'!AF124</f>
        <v>54.333333333333336</v>
      </c>
      <c r="J124" s="23">
        <f>+'Datos M9'!AF124</f>
        <v>52.766666666666666</v>
      </c>
      <c r="K124" s="23">
        <f>+'Datos M10'!AF124</f>
        <v>53.233333333333334</v>
      </c>
      <c r="L124" s="20"/>
    </row>
    <row r="125" spans="1:12" x14ac:dyDescent="0.35">
      <c r="A125" s="22" t="s">
        <v>184</v>
      </c>
      <c r="B125" s="23">
        <f>+'Datos M1'!AF125</f>
        <v>31.733333333333334</v>
      </c>
      <c r="C125" s="23">
        <f>+'Datos M2'!AF125</f>
        <v>0</v>
      </c>
      <c r="D125" s="23">
        <f>+'Datos M3'!AF125</f>
        <v>46.533333333333331</v>
      </c>
      <c r="E125" s="23">
        <f>+'Datos M4'!AF125</f>
        <v>67.599999999999994</v>
      </c>
      <c r="F125" s="23">
        <f>+'Datos M5'!AF125</f>
        <v>52.166666666666664</v>
      </c>
      <c r="G125" s="23">
        <f>+'Datos M6'!AF125</f>
        <v>73.166666666666671</v>
      </c>
      <c r="H125" s="23">
        <f>+'Datos M7'!AF125</f>
        <v>42.6</v>
      </c>
      <c r="I125" s="23">
        <f>+'Datos M8'!AF125</f>
        <v>79.066666666666663</v>
      </c>
      <c r="J125" s="23">
        <f>+'Datos M9'!AF125</f>
        <v>0</v>
      </c>
      <c r="K125" s="23">
        <f>+'Datos M10'!AF125</f>
        <v>45</v>
      </c>
      <c r="L125" s="20"/>
    </row>
    <row r="126" spans="1:12" x14ac:dyDescent="0.35">
      <c r="A126" s="22" t="s">
        <v>99</v>
      </c>
      <c r="B126" s="23">
        <f>+'Datos M1'!AF126</f>
        <v>0</v>
      </c>
      <c r="C126" s="23">
        <f>+'Datos M2'!AF126</f>
        <v>0</v>
      </c>
      <c r="D126" s="23">
        <f>+'Datos M3'!AF126</f>
        <v>43.733333333333334</v>
      </c>
      <c r="E126" s="23">
        <f>+'Datos M4'!AF126</f>
        <v>61.166666666666664</v>
      </c>
      <c r="F126" s="23">
        <f>+'Datos M5'!AF126</f>
        <v>38.1</v>
      </c>
      <c r="G126" s="23">
        <f>+'Datos M6'!AF126</f>
        <v>61.56666666666667</v>
      </c>
      <c r="H126" s="23">
        <f>+'Datos M7'!AF126</f>
        <v>62.533333333333331</v>
      </c>
      <c r="I126" s="23">
        <f>+'Datos M8'!AF126</f>
        <v>0</v>
      </c>
      <c r="J126" s="23">
        <f>+'Datos M9'!AF126</f>
        <v>95.066666666666663</v>
      </c>
      <c r="K126" s="23">
        <f>+'Datos M10'!AF126</f>
        <v>42.6</v>
      </c>
      <c r="L126" s="20"/>
    </row>
    <row r="127" spans="1:12" x14ac:dyDescent="0.35">
      <c r="A127" s="22" t="s">
        <v>100</v>
      </c>
      <c r="B127" s="23">
        <f>+'Datos M1'!AF127</f>
        <v>0</v>
      </c>
      <c r="C127" s="23">
        <f>+'Datos M2'!AF127</f>
        <v>0</v>
      </c>
      <c r="D127" s="23">
        <f>+'Datos M3'!AF127</f>
        <v>44.366666666666667</v>
      </c>
      <c r="E127" s="23">
        <f>+'Datos M4'!AF127</f>
        <v>60.5</v>
      </c>
      <c r="F127" s="23">
        <f>+'Datos M5'!AF127</f>
        <v>44.333333333333336</v>
      </c>
      <c r="G127" s="23">
        <f>+'Datos M6'!AF127</f>
        <v>37.266666666666666</v>
      </c>
      <c r="H127" s="23">
        <f>+'Datos M7'!AF127</f>
        <v>0</v>
      </c>
      <c r="I127" s="23">
        <f>+'Datos M8'!AF127</f>
        <v>0</v>
      </c>
      <c r="J127" s="23">
        <f>+'Datos M9'!AF127</f>
        <v>0</v>
      </c>
      <c r="K127" s="23">
        <f>+'Datos M10'!AF127</f>
        <v>40.633333333333333</v>
      </c>
      <c r="L127" s="20"/>
    </row>
    <row r="128" spans="1:12" x14ac:dyDescent="0.35">
      <c r="A128" s="22" t="s">
        <v>101</v>
      </c>
      <c r="B128" s="23">
        <f>+'Datos M1'!AF128</f>
        <v>24</v>
      </c>
      <c r="C128" s="23">
        <f>+'Datos M2'!AF128</f>
        <v>0</v>
      </c>
      <c r="D128" s="23">
        <f>+'Datos M3'!AF128</f>
        <v>41.7</v>
      </c>
      <c r="E128" s="23">
        <f>+'Datos M4'!AF128</f>
        <v>55.43333333333333</v>
      </c>
      <c r="F128" s="23">
        <f>+'Datos M5'!AF128</f>
        <v>41</v>
      </c>
      <c r="G128" s="23">
        <f>+'Datos M6'!AF128</f>
        <v>51.5</v>
      </c>
      <c r="H128" s="23">
        <f>+'Datos M7'!AF128</f>
        <v>0</v>
      </c>
      <c r="I128" s="23">
        <f>+'Datos M8'!AF128</f>
        <v>0</v>
      </c>
      <c r="J128" s="23">
        <f>+'Datos M9'!AF128</f>
        <v>64.099999999999994</v>
      </c>
      <c r="K128" s="23">
        <f>+'Datos M10'!AF128</f>
        <v>43.2</v>
      </c>
      <c r="L128" s="20"/>
    </row>
    <row r="129" spans="1:12" x14ac:dyDescent="0.35">
      <c r="A129" s="22" t="s">
        <v>185</v>
      </c>
      <c r="B129" s="23">
        <f>+'Datos M1'!AF129</f>
        <v>0</v>
      </c>
      <c r="C129" s="23">
        <f>+'Datos M2'!AF129</f>
        <v>59.233333333333334</v>
      </c>
      <c r="D129" s="23">
        <f>+'Datos M3'!AF129</f>
        <v>68.63333333333334</v>
      </c>
      <c r="E129" s="23">
        <f>+'Datos M4'!AF129</f>
        <v>65.2</v>
      </c>
      <c r="F129" s="23">
        <f>+'Datos M5'!AF129</f>
        <v>81.36666666666666</v>
      </c>
      <c r="G129" s="23">
        <f>+'Datos M6'!AF129</f>
        <v>79.533333333333331</v>
      </c>
      <c r="H129" s="23">
        <f>+'Datos M7'!AF129</f>
        <v>0</v>
      </c>
      <c r="I129" s="23">
        <f>+'Datos M8'!AF129</f>
        <v>68.36666666666666</v>
      </c>
      <c r="J129" s="23">
        <f>+'Datos M9'!AF129</f>
        <v>71.966666666666669</v>
      </c>
      <c r="K129" s="23">
        <f>+'Datos M10'!AF129</f>
        <v>42.966666666666669</v>
      </c>
      <c r="L129" s="20"/>
    </row>
    <row r="130" spans="1:12" x14ac:dyDescent="0.35">
      <c r="A130" s="22" t="s">
        <v>102</v>
      </c>
      <c r="B130" s="23">
        <f>+'Datos M1'!AF130</f>
        <v>0</v>
      </c>
      <c r="C130" s="23">
        <f>+'Datos M2'!AF130</f>
        <v>79.13333333333334</v>
      </c>
      <c r="D130" s="23">
        <f>+'Datos M3'!AF130</f>
        <v>47.43333333333333</v>
      </c>
      <c r="E130" s="23">
        <f>+'Datos M4'!AF130</f>
        <v>54.133333333333333</v>
      </c>
      <c r="F130" s="23">
        <f>+'Datos M5'!AF130</f>
        <v>72.733333333333334</v>
      </c>
      <c r="G130" s="23">
        <f>+'Datos M6'!AF130</f>
        <v>52.266666666666666</v>
      </c>
      <c r="H130" s="23">
        <f>+'Datos M7'!AF130</f>
        <v>0</v>
      </c>
      <c r="I130" s="23">
        <f>+'Datos M8'!AF130</f>
        <v>57.43333333333333</v>
      </c>
      <c r="J130" s="23">
        <f>+'Datos M9'!AF130</f>
        <v>77.966666666666669</v>
      </c>
      <c r="K130" s="23">
        <f>+'Datos M10'!AF130</f>
        <v>46.8</v>
      </c>
      <c r="L130" s="20"/>
    </row>
    <row r="131" spans="1:12" x14ac:dyDescent="0.35">
      <c r="A131" s="22" t="s">
        <v>103</v>
      </c>
      <c r="B131" s="23">
        <f>+'Datos M1'!AF131</f>
        <v>0</v>
      </c>
      <c r="C131" s="23">
        <f>+'Datos M2'!AF131</f>
        <v>38.4</v>
      </c>
      <c r="D131" s="23">
        <f>+'Datos M3'!AF131</f>
        <v>54.2</v>
      </c>
      <c r="E131" s="23">
        <f>+'Datos M4'!AF131</f>
        <v>60.166666666666664</v>
      </c>
      <c r="F131" s="23">
        <f>+'Datos M5'!AF131</f>
        <v>29.766666666666666</v>
      </c>
      <c r="G131" s="23">
        <f>+'Datos M6'!AF131</f>
        <v>50.43333333333333</v>
      </c>
      <c r="H131" s="23">
        <f>+'Datos M7'!AF131</f>
        <v>0</v>
      </c>
      <c r="I131" s="23">
        <f>+'Datos M8'!AF131</f>
        <v>0</v>
      </c>
      <c r="J131" s="23">
        <f>+'Datos M9'!AF131</f>
        <v>85.86666666666666</v>
      </c>
      <c r="K131" s="23">
        <f>+'Datos M10'!AF131</f>
        <v>49.266666666666666</v>
      </c>
      <c r="L131" s="20"/>
    </row>
    <row r="132" spans="1:12" x14ac:dyDescent="0.35">
      <c r="A132" s="22" t="s">
        <v>186</v>
      </c>
      <c r="B132" s="23">
        <f>+'Datos M1'!AF132</f>
        <v>0</v>
      </c>
      <c r="C132" s="23">
        <f>+'Datos M2'!AF132</f>
        <v>75.63333333333334</v>
      </c>
      <c r="D132" s="23">
        <f>+'Datos M3'!AF132</f>
        <v>40.799999999999997</v>
      </c>
      <c r="E132" s="23">
        <f>+'Datos M4'!AF132</f>
        <v>61.9</v>
      </c>
      <c r="F132" s="23">
        <f>+'Datos M5'!AF132</f>
        <v>61</v>
      </c>
      <c r="G132" s="23">
        <f>+'Datos M6'!AF132</f>
        <v>50.033333333333331</v>
      </c>
      <c r="H132" s="23">
        <f>+'Datos M7'!AF132</f>
        <v>0</v>
      </c>
      <c r="I132" s="23">
        <f>+'Datos M8'!AF132</f>
        <v>51.133333333333333</v>
      </c>
      <c r="J132" s="23">
        <f>+'Datos M9'!AF132</f>
        <v>40.633333333333333</v>
      </c>
      <c r="K132" s="23">
        <f>+'Datos M10'!AF132</f>
        <v>40.5</v>
      </c>
      <c r="L132" s="20"/>
    </row>
    <row r="133" spans="1:12" x14ac:dyDescent="0.35">
      <c r="A133" s="22" t="s">
        <v>104</v>
      </c>
      <c r="B133" s="23">
        <f>+'Datos M1'!AF133</f>
        <v>0</v>
      </c>
      <c r="C133" s="23">
        <f>+'Datos M2'!AF133</f>
        <v>62.033333333333331</v>
      </c>
      <c r="D133" s="23">
        <f>+'Datos M3'!AF133</f>
        <v>0</v>
      </c>
      <c r="E133" s="23">
        <f>+'Datos M4'!AF133</f>
        <v>47.93333333333333</v>
      </c>
      <c r="F133" s="23">
        <f>+'Datos M5'!AF133</f>
        <v>44.266666666666666</v>
      </c>
      <c r="G133" s="23">
        <f>+'Datos M6'!AF133</f>
        <v>54.033333333333331</v>
      </c>
      <c r="H133" s="23">
        <f>+'Datos M7'!AF133</f>
        <v>0</v>
      </c>
      <c r="I133" s="23">
        <f>+'Datos M8'!AF133</f>
        <v>42.166666666666664</v>
      </c>
      <c r="J133" s="23">
        <f>+'Datos M9'!AF133</f>
        <v>40.333333333333336</v>
      </c>
      <c r="K133" s="23">
        <f>+'Datos M10'!AF133</f>
        <v>44.2</v>
      </c>
      <c r="L133" s="20"/>
    </row>
    <row r="134" spans="1:12" x14ac:dyDescent="0.35">
      <c r="A134" s="22" t="s">
        <v>187</v>
      </c>
      <c r="B134" s="23">
        <f>+'Datos M1'!AF134</f>
        <v>58.4</v>
      </c>
      <c r="C134" s="23">
        <f>+'Datos M2'!AF134</f>
        <v>74.7</v>
      </c>
      <c r="D134" s="23">
        <f>+'Datos M3'!AF134</f>
        <v>68.8</v>
      </c>
      <c r="E134" s="23">
        <f>+'Datos M4'!AF134</f>
        <v>81.3</v>
      </c>
      <c r="F134" s="23">
        <f>+'Datos M5'!AF134</f>
        <v>38.633333333333333</v>
      </c>
      <c r="G134" s="23">
        <f>+'Datos M6'!AF134</f>
        <v>67.13333333333334</v>
      </c>
      <c r="H134" s="23">
        <f>+'Datos M7'!AF134</f>
        <v>0</v>
      </c>
      <c r="I134" s="23">
        <f>+'Datos M8'!AF134</f>
        <v>39.1</v>
      </c>
      <c r="J134" s="23">
        <f>+'Datos M9'!AF134</f>
        <v>70.333333333333329</v>
      </c>
      <c r="K134" s="23">
        <f>+'Datos M10'!AF134</f>
        <v>0</v>
      </c>
      <c r="L134" s="20"/>
    </row>
    <row r="135" spans="1:12" x14ac:dyDescent="0.35">
      <c r="A135" s="22" t="s">
        <v>160</v>
      </c>
      <c r="B135" s="23">
        <f>+'Datos M1'!AF135</f>
        <v>0</v>
      </c>
      <c r="C135" s="23">
        <f>+'Datos M2'!AF135</f>
        <v>43.666666666666664</v>
      </c>
      <c r="D135" s="23">
        <f>+'Datos M3'!AF135</f>
        <v>0</v>
      </c>
      <c r="E135" s="23">
        <f>+'Datos M4'!AF135</f>
        <v>67.766666666666666</v>
      </c>
      <c r="F135" s="23">
        <f>+'Datos M5'!AF135</f>
        <v>42.866666666666667</v>
      </c>
      <c r="G135" s="23">
        <f>+'Datos M6'!AF135</f>
        <v>63.766666666666666</v>
      </c>
      <c r="H135" s="23">
        <f>+'Datos M7'!AF135</f>
        <v>0</v>
      </c>
      <c r="I135" s="23">
        <f>+'Datos M8'!AF135</f>
        <v>67.86666666666666</v>
      </c>
      <c r="J135" s="23">
        <f>+'Datos M9'!AF135</f>
        <v>53.4</v>
      </c>
      <c r="K135" s="23">
        <f>+'Datos M10'!AF135</f>
        <v>0</v>
      </c>
      <c r="L135" s="20"/>
    </row>
    <row r="136" spans="1:12" x14ac:dyDescent="0.35">
      <c r="A136" s="22" t="s">
        <v>105</v>
      </c>
      <c r="B136" s="23">
        <f>+'Datos M1'!AF136</f>
        <v>0</v>
      </c>
      <c r="C136" s="23">
        <f>+'Datos M2'!AF136</f>
        <v>54.233333333333334</v>
      </c>
      <c r="D136" s="23">
        <f>+'Datos M3'!AF136</f>
        <v>44.466666666666669</v>
      </c>
      <c r="E136" s="23">
        <f>+'Datos M4'!AF136</f>
        <v>39.333333333333336</v>
      </c>
      <c r="F136" s="23">
        <f>+'Datos M5'!AF136</f>
        <v>45.133333333333333</v>
      </c>
      <c r="G136" s="23">
        <f>+'Datos M6'!AF136</f>
        <v>77.033333333333331</v>
      </c>
      <c r="H136" s="23">
        <f>+'Datos M7'!AF136</f>
        <v>0</v>
      </c>
      <c r="I136" s="23">
        <f>+'Datos M8'!AF136</f>
        <v>66.733333333333334</v>
      </c>
      <c r="J136" s="23">
        <f>+'Datos M9'!AF136</f>
        <v>53.833333333333336</v>
      </c>
      <c r="K136" s="23">
        <f>+'Datos M10'!AF136</f>
        <v>0</v>
      </c>
      <c r="L136" s="20"/>
    </row>
    <row r="137" spans="1:12" x14ac:dyDescent="0.35">
      <c r="A137" s="22" t="s">
        <v>106</v>
      </c>
      <c r="B137" s="23">
        <f>+'Datos M1'!AF137</f>
        <v>0</v>
      </c>
      <c r="C137" s="23">
        <f>+'Datos M2'!AF137</f>
        <v>70.933333333333337</v>
      </c>
      <c r="D137" s="23">
        <f>+'Datos M3'!AF137</f>
        <v>35.366666666666667</v>
      </c>
      <c r="E137" s="23">
        <f>+'Datos M4'!AF137</f>
        <v>36.166666666666664</v>
      </c>
      <c r="F137" s="23">
        <f>+'Datos M5'!AF137</f>
        <v>43.4</v>
      </c>
      <c r="G137" s="23">
        <f>+'Datos M6'!AF137</f>
        <v>40.799999999999997</v>
      </c>
      <c r="H137" s="23">
        <f>+'Datos M7'!AF137</f>
        <v>0</v>
      </c>
      <c r="I137" s="23">
        <f>+'Datos M8'!AF137</f>
        <v>54.06666666666667</v>
      </c>
      <c r="J137" s="23">
        <f>+'Datos M9'!AF137</f>
        <v>54.633333333333333</v>
      </c>
      <c r="K137" s="23">
        <f>+'Datos M10'!AF137</f>
        <v>47.06666666666667</v>
      </c>
      <c r="L137" s="20"/>
    </row>
    <row r="138" spans="1:12" x14ac:dyDescent="0.35">
      <c r="A138" s="22" t="s">
        <v>188</v>
      </c>
      <c r="B138" s="23">
        <f>+'Datos M1'!AF138</f>
        <v>0</v>
      </c>
      <c r="C138" s="23">
        <f>+'Datos M2'!AF138</f>
        <v>45.233333333333334</v>
      </c>
      <c r="D138" s="23">
        <f>+'Datos M3'!AF138</f>
        <v>50.133333333333333</v>
      </c>
      <c r="E138" s="23">
        <f>+'Datos M4'!AF138</f>
        <v>51.633333333333333</v>
      </c>
      <c r="F138" s="23">
        <f>+'Datos M5'!AF138</f>
        <v>43.966666666666669</v>
      </c>
      <c r="G138" s="23">
        <f>+'Datos M6'!AF138</f>
        <v>43.06666666666667</v>
      </c>
      <c r="H138" s="23">
        <f>+'Datos M7'!AF138</f>
        <v>0</v>
      </c>
      <c r="I138" s="23">
        <f>+'Datos M8'!AF138</f>
        <v>51.466666666666669</v>
      </c>
      <c r="J138" s="23">
        <f>+'Datos M9'!AF138</f>
        <v>28.333333333333332</v>
      </c>
      <c r="K138" s="23">
        <f>+'Datos M10'!AF138</f>
        <v>51.666666666666664</v>
      </c>
      <c r="L138" s="20"/>
    </row>
    <row r="139" spans="1:12" x14ac:dyDescent="0.35">
      <c r="A139" s="22" t="s">
        <v>107</v>
      </c>
      <c r="B139" s="23">
        <f>+'Datos M1'!AF139</f>
        <v>0</v>
      </c>
      <c r="C139" s="23">
        <f>+'Datos M2'!AF139</f>
        <v>65.666666666666671</v>
      </c>
      <c r="D139" s="23">
        <f>+'Datos M3'!AF139</f>
        <v>46.9</v>
      </c>
      <c r="E139" s="23">
        <f>+'Datos M4'!AF139</f>
        <v>55.43333333333333</v>
      </c>
      <c r="F139" s="23">
        <f>+'Datos M5'!AF139</f>
        <v>46.233333333333334</v>
      </c>
      <c r="G139" s="23">
        <f>+'Datos M6'!AF139</f>
        <v>50.266666666666666</v>
      </c>
      <c r="H139" s="23">
        <f>+'Datos M7'!AF139</f>
        <v>0</v>
      </c>
      <c r="I139" s="23">
        <f>+'Datos M8'!AF139</f>
        <v>47.166666666666664</v>
      </c>
      <c r="J139" s="23">
        <f>+'Datos M9'!AF139</f>
        <v>79.966666666666669</v>
      </c>
      <c r="K139" s="23">
        <f>+'Datos M10'!AF139</f>
        <v>40.833333333333336</v>
      </c>
      <c r="L139" s="20"/>
    </row>
    <row r="140" spans="1:12" x14ac:dyDescent="0.35">
      <c r="A140" s="22" t="s">
        <v>108</v>
      </c>
      <c r="B140" s="23">
        <f>+'Datos M1'!AF140</f>
        <v>0</v>
      </c>
      <c r="C140" s="23">
        <f>+'Datos M2'!AF140</f>
        <v>65.066666666666663</v>
      </c>
      <c r="D140" s="23">
        <f>+'Datos M3'!AF140</f>
        <v>67</v>
      </c>
      <c r="E140" s="23">
        <f>+'Datos M4'!AF140</f>
        <v>55.6</v>
      </c>
      <c r="F140" s="23">
        <f>+'Datos M5'!AF140</f>
        <v>38.43333333333333</v>
      </c>
      <c r="G140" s="23">
        <f>+'Datos M6'!AF140</f>
        <v>78.63333333333334</v>
      </c>
      <c r="H140" s="23">
        <f>+'Datos M7'!AF140</f>
        <v>0</v>
      </c>
      <c r="I140" s="23">
        <f>+'Datos M8'!AF140</f>
        <v>72.533333333333331</v>
      </c>
      <c r="J140" s="23">
        <f>+'Datos M9'!AF140</f>
        <v>50.43333333333333</v>
      </c>
      <c r="K140" s="23">
        <f>+'Datos M10'!AF140</f>
        <v>39.533333333333331</v>
      </c>
      <c r="L140" s="20"/>
    </row>
    <row r="141" spans="1:12" x14ac:dyDescent="0.35">
      <c r="A141" s="22" t="s">
        <v>109</v>
      </c>
      <c r="B141" s="23">
        <f>+'Datos M1'!AF141</f>
        <v>0</v>
      </c>
      <c r="C141" s="23">
        <f>+'Datos M2'!AF141</f>
        <v>55.43333333333333</v>
      </c>
      <c r="D141" s="23">
        <f>+'Datos M3'!AF141</f>
        <v>42.7</v>
      </c>
      <c r="E141" s="23">
        <f>+'Datos M4'!AF141</f>
        <v>54.9</v>
      </c>
      <c r="F141" s="23">
        <f>+'Datos M5'!AF141</f>
        <v>77.166666666666671</v>
      </c>
      <c r="G141" s="23">
        <f>+'Datos M6'!AF141</f>
        <v>0</v>
      </c>
      <c r="H141" s="23">
        <f>+'Datos M7'!AF141</f>
        <v>0</v>
      </c>
      <c r="I141" s="23">
        <f>+'Datos M8'!AF141</f>
        <v>52.43333333333333</v>
      </c>
      <c r="J141" s="23">
        <f>+'Datos M9'!AF141</f>
        <v>42.466666666666669</v>
      </c>
      <c r="K141" s="23">
        <f>+'Datos M10'!AF141</f>
        <v>53.93333333333333</v>
      </c>
      <c r="L141" s="20"/>
    </row>
    <row r="142" spans="1:12" x14ac:dyDescent="0.35">
      <c r="A142" s="22" t="s">
        <v>189</v>
      </c>
      <c r="B142" s="23">
        <f>+'Datos M1'!AF142</f>
        <v>0</v>
      </c>
      <c r="C142" s="23">
        <f>+'Datos M2'!AF142</f>
        <v>46.6</v>
      </c>
      <c r="D142" s="23">
        <f>+'Datos M3'!AF142</f>
        <v>32.5</v>
      </c>
      <c r="E142" s="23">
        <f>+'Datos M4'!AF142</f>
        <v>40.466666666666669</v>
      </c>
      <c r="F142" s="23">
        <f>+'Datos M5'!AF142</f>
        <v>57.366666666666667</v>
      </c>
      <c r="G142" s="23">
        <f>+'Datos M6'!AF142</f>
        <v>56.3</v>
      </c>
      <c r="H142" s="23">
        <f>+'Datos M7'!AF142</f>
        <v>0</v>
      </c>
      <c r="I142" s="23">
        <f>+'Datos M8'!AF142</f>
        <v>74.099999999999994</v>
      </c>
      <c r="J142" s="23">
        <f>+'Datos M9'!AF142</f>
        <v>65.266666666666666</v>
      </c>
      <c r="K142" s="23">
        <f>+'Datos M10'!AF142</f>
        <v>40.333333333333336</v>
      </c>
      <c r="L142" s="20"/>
    </row>
    <row r="143" spans="1:12" x14ac:dyDescent="0.35">
      <c r="A143" s="22" t="s">
        <v>110</v>
      </c>
      <c r="B143" s="23">
        <f>+'Datos M1'!AF143</f>
        <v>0</v>
      </c>
      <c r="C143" s="23">
        <f>+'Datos M2'!AF143</f>
        <v>50.833333333333336</v>
      </c>
      <c r="D143" s="23">
        <f>+'Datos M3'!AF143</f>
        <v>41.5</v>
      </c>
      <c r="E143" s="23">
        <f>+'Datos M4'!AF143</f>
        <v>60.233333333333334</v>
      </c>
      <c r="F143" s="23">
        <f>+'Datos M5'!AF143</f>
        <v>80.2</v>
      </c>
      <c r="G143" s="23">
        <f>+'Datos M6'!AF143</f>
        <v>47.033333333333331</v>
      </c>
      <c r="H143" s="23">
        <f>+'Datos M7'!AF143</f>
        <v>0</v>
      </c>
      <c r="I143" s="23">
        <f>+'Datos M8'!AF143</f>
        <v>82.1</v>
      </c>
      <c r="J143" s="23">
        <f>+'Datos M9'!AF143</f>
        <v>101.76666666666667</v>
      </c>
      <c r="K143" s="23">
        <f>+'Datos M10'!AF143</f>
        <v>62.266666666666666</v>
      </c>
      <c r="L143" s="20"/>
    </row>
    <row r="144" spans="1:12" x14ac:dyDescent="0.35">
      <c r="A144" s="22" t="s">
        <v>111</v>
      </c>
      <c r="B144" s="23">
        <f>+'Datos M1'!AF144</f>
        <v>0</v>
      </c>
      <c r="C144" s="23">
        <f>+'Datos M2'!AF144</f>
        <v>69.2</v>
      </c>
      <c r="D144" s="23">
        <f>+'Datos M3'!AF144</f>
        <v>67.533333333333331</v>
      </c>
      <c r="E144" s="23">
        <f>+'Datos M4'!AF144</f>
        <v>77.3</v>
      </c>
      <c r="F144" s="23">
        <f>+'Datos M5'!AF144</f>
        <v>49.4</v>
      </c>
      <c r="G144" s="23">
        <f>+'Datos M6'!AF144</f>
        <v>59.533333333333331</v>
      </c>
      <c r="H144" s="23">
        <f>+'Datos M7'!AF144</f>
        <v>0</v>
      </c>
      <c r="I144" s="23">
        <f>+'Datos M8'!AF144</f>
        <v>50.366666666666667</v>
      </c>
      <c r="J144" s="23">
        <f>+'Datos M9'!AF144</f>
        <v>46.43333333333333</v>
      </c>
      <c r="K144" s="23">
        <f>+'Datos M10'!AF144</f>
        <v>39.6</v>
      </c>
      <c r="L144" s="20"/>
    </row>
    <row r="145" spans="1:12" x14ac:dyDescent="0.35">
      <c r="A145" s="22" t="s">
        <v>112</v>
      </c>
      <c r="B145" s="23">
        <f>+'Datos M1'!AF145</f>
        <v>0</v>
      </c>
      <c r="C145" s="23">
        <f>+'Datos M2'!AF145</f>
        <v>0</v>
      </c>
      <c r="D145" s="23">
        <f>+'Datos M3'!AF145</f>
        <v>56.833333333333336</v>
      </c>
      <c r="E145" s="23">
        <f>+'Datos M4'!AF145</f>
        <v>78.566666666666663</v>
      </c>
      <c r="F145" s="23">
        <f>+'Datos M5'!AF145</f>
        <v>52.06666666666667</v>
      </c>
      <c r="G145" s="23">
        <f>+'Datos M6'!AF145</f>
        <v>53.766666666666666</v>
      </c>
      <c r="H145" s="23">
        <f>+'Datos M7'!AF145</f>
        <v>0</v>
      </c>
      <c r="I145" s="23">
        <f>+'Datos M8'!AF145</f>
        <v>72.966666666666669</v>
      </c>
      <c r="J145" s="23">
        <f>+'Datos M9'!AF145</f>
        <v>65.13333333333334</v>
      </c>
      <c r="K145" s="23">
        <f>+'Datos M10'!AF145</f>
        <v>52.166666666666664</v>
      </c>
      <c r="L145" s="20"/>
    </row>
    <row r="146" spans="1:12" x14ac:dyDescent="0.35">
      <c r="A146" s="22" t="s">
        <v>113</v>
      </c>
      <c r="B146" s="23">
        <f>+'Datos M1'!AF146</f>
        <v>0</v>
      </c>
      <c r="C146" s="23">
        <f>+'Datos M2'!AF146</f>
        <v>0</v>
      </c>
      <c r="D146" s="23">
        <f>+'Datos M3'!AF146</f>
        <v>62.033333333333331</v>
      </c>
      <c r="E146" s="23">
        <f>+'Datos M4'!AF146</f>
        <v>47.633333333333333</v>
      </c>
      <c r="F146" s="23">
        <f>+'Datos M5'!AF146</f>
        <v>72.733333333333334</v>
      </c>
      <c r="G146" s="23">
        <f>+'Datos M6'!AF146</f>
        <v>84.5</v>
      </c>
      <c r="H146" s="23">
        <f>+'Datos M7'!AF146</f>
        <v>0</v>
      </c>
      <c r="I146" s="23">
        <f>+'Datos M8'!AF146</f>
        <v>62.333333333333336</v>
      </c>
      <c r="J146" s="23">
        <f>+'Datos M9'!AF146</f>
        <v>84.533333333333331</v>
      </c>
      <c r="K146" s="23">
        <f>+'Datos M10'!AF146</f>
        <v>49.6</v>
      </c>
      <c r="L146" s="20"/>
    </row>
    <row r="147" spans="1:12" x14ac:dyDescent="0.35">
      <c r="A147" s="22" t="s">
        <v>114</v>
      </c>
      <c r="B147" s="23">
        <f>+'Datos M1'!AF147</f>
        <v>0</v>
      </c>
      <c r="C147" s="23">
        <f>+'Datos M2'!AF147</f>
        <v>67.566666666666663</v>
      </c>
      <c r="D147" s="23">
        <f>+'Datos M3'!AF147</f>
        <v>57.3</v>
      </c>
      <c r="E147" s="23">
        <f>+'Datos M4'!AF147</f>
        <v>72.400000000000006</v>
      </c>
      <c r="F147" s="23">
        <f>+'Datos M5'!AF147</f>
        <v>49.766666666666666</v>
      </c>
      <c r="G147" s="23">
        <f>+'Datos M6'!AF147</f>
        <v>51.966666666666669</v>
      </c>
      <c r="H147" s="23">
        <f>+'Datos M7'!AF147</f>
        <v>0</v>
      </c>
      <c r="I147" s="23">
        <f>+'Datos M8'!AF147</f>
        <v>44.666666666666664</v>
      </c>
      <c r="J147" s="23">
        <f>+'Datos M9'!AF147</f>
        <v>38.166666666666664</v>
      </c>
      <c r="K147" s="23">
        <f>+'Datos M10'!AF147</f>
        <v>39.93333333333333</v>
      </c>
      <c r="L147" s="20"/>
    </row>
    <row r="148" spans="1:12" x14ac:dyDescent="0.35">
      <c r="A148" s="22" t="s">
        <v>115</v>
      </c>
      <c r="B148" s="23">
        <f>+'Datos M1'!AF148</f>
        <v>0</v>
      </c>
      <c r="C148" s="23">
        <f>+'Datos M2'!AF148</f>
        <v>0</v>
      </c>
      <c r="D148" s="23">
        <f>+'Datos M3'!AF148</f>
        <v>53.93333333333333</v>
      </c>
      <c r="E148" s="23">
        <f>+'Datos M4'!AF148</f>
        <v>63.43333333333333</v>
      </c>
      <c r="F148" s="23">
        <f>+'Datos M5'!AF148</f>
        <v>0</v>
      </c>
      <c r="G148" s="23">
        <f>+'Datos M6'!AF148</f>
        <v>60.366666666666667</v>
      </c>
      <c r="H148" s="23">
        <f>+'Datos M7'!AF148</f>
        <v>0</v>
      </c>
      <c r="I148" s="23">
        <f>+'Datos M8'!AF148</f>
        <v>48.1</v>
      </c>
      <c r="J148" s="23">
        <f>+'Datos M9'!AF148</f>
        <v>66.8</v>
      </c>
      <c r="K148" s="23">
        <f>+'Datos M10'!AF148</f>
        <v>39.299999999999997</v>
      </c>
      <c r="L148" s="20"/>
    </row>
    <row r="149" spans="1:12" x14ac:dyDescent="0.35">
      <c r="A149" s="22" t="s">
        <v>190</v>
      </c>
      <c r="B149" s="23">
        <f>+'Datos M1'!AF149</f>
        <v>0</v>
      </c>
      <c r="C149" s="23">
        <f>+'Datos M2'!AF149</f>
        <v>0</v>
      </c>
      <c r="D149" s="23">
        <f>+'Datos M3'!AF149</f>
        <v>64.099999999999994</v>
      </c>
      <c r="E149" s="23">
        <f>+'Datos M4'!AF149</f>
        <v>41.3</v>
      </c>
      <c r="F149" s="23">
        <f>+'Datos M5'!AF149</f>
        <v>51.3</v>
      </c>
      <c r="G149" s="23">
        <f>+'Datos M6'!AF149</f>
        <v>59.43333333333333</v>
      </c>
      <c r="H149" s="23">
        <f>+'Datos M7'!AF149</f>
        <v>0</v>
      </c>
      <c r="I149" s="23">
        <f>+'Datos M8'!AF149</f>
        <v>55.333333333333336</v>
      </c>
      <c r="J149" s="23">
        <f>+'Datos M9'!AF149</f>
        <v>0</v>
      </c>
      <c r="K149" s="23">
        <f>+'Datos M10'!AF149</f>
        <v>48.633333333333333</v>
      </c>
      <c r="L149" s="20"/>
    </row>
    <row r="150" spans="1:12" x14ac:dyDescent="0.35">
      <c r="A150" s="22" t="s">
        <v>116</v>
      </c>
      <c r="B150" s="23">
        <f>+'Datos M1'!AF150</f>
        <v>0</v>
      </c>
      <c r="C150" s="23">
        <f>+'Datos M2'!AF150</f>
        <v>0</v>
      </c>
      <c r="D150" s="23">
        <f>+'Datos M3'!AF150</f>
        <v>56.2</v>
      </c>
      <c r="E150" s="23">
        <f>+'Datos M4'!AF150</f>
        <v>37.56666666666667</v>
      </c>
      <c r="F150" s="23">
        <f>+'Datos M5'!AF150</f>
        <v>53.133333333333333</v>
      </c>
      <c r="G150" s="23">
        <f>+'Datos M6'!AF150</f>
        <v>37.833333333333336</v>
      </c>
      <c r="H150" s="23">
        <f>+'Datos M7'!AF150</f>
        <v>0</v>
      </c>
      <c r="I150" s="23">
        <f>+'Datos M8'!AF150</f>
        <v>72.733333333333334</v>
      </c>
      <c r="J150" s="23">
        <f>+'Datos M9'!AF150</f>
        <v>70.36666666666666</v>
      </c>
      <c r="K150" s="23">
        <f>+'Datos M10'!AF150</f>
        <v>43.466666666666669</v>
      </c>
      <c r="L150" s="20"/>
    </row>
    <row r="151" spans="1:12" x14ac:dyDescent="0.35">
      <c r="A151" s="22" t="s">
        <v>197</v>
      </c>
      <c r="B151" s="23">
        <f>+'Datos M1'!AF151</f>
        <v>0</v>
      </c>
      <c r="C151" s="23">
        <f>+'Datos M2'!AF151</f>
        <v>0</v>
      </c>
      <c r="D151" s="23">
        <f>+'Datos M3'!AF151</f>
        <v>75.066666666666663</v>
      </c>
      <c r="E151" s="23">
        <f>+'Datos M4'!AF151</f>
        <v>59.4</v>
      </c>
      <c r="F151" s="23">
        <f>+'Datos M5'!AF151</f>
        <v>74.099999999999994</v>
      </c>
      <c r="G151" s="23">
        <f>+'Datos M6'!AF151</f>
        <v>47.6</v>
      </c>
      <c r="H151" s="23">
        <f>+'Datos M7'!AF151</f>
        <v>0</v>
      </c>
      <c r="I151" s="23">
        <f>+'Datos M8'!AF151</f>
        <v>29.4</v>
      </c>
      <c r="J151" s="23">
        <f>+'Datos M9'!AF151</f>
        <v>0</v>
      </c>
      <c r="K151" s="23">
        <f>+'Datos M10'!AF151</f>
        <v>49.466666666666669</v>
      </c>
      <c r="L151" s="20"/>
    </row>
    <row r="152" spans="1:12" x14ac:dyDescent="0.35">
      <c r="A152" s="22" t="s">
        <v>117</v>
      </c>
      <c r="B152" s="23">
        <f>+'Datos M1'!AF152</f>
        <v>0</v>
      </c>
      <c r="C152" s="23">
        <f>+'Datos M2'!AF152</f>
        <v>0</v>
      </c>
      <c r="D152" s="23">
        <f>+'Datos M3'!AF152</f>
        <v>46.866666666666667</v>
      </c>
      <c r="E152" s="23">
        <f>+'Datos M4'!AF152</f>
        <v>43.06666666666667</v>
      </c>
      <c r="F152" s="23">
        <f>+'Datos M5'!AF152</f>
        <v>72.966666666666669</v>
      </c>
      <c r="G152" s="23">
        <f>+'Datos M6'!AF152</f>
        <v>66.8</v>
      </c>
      <c r="H152" s="23">
        <f>+'Datos M7'!AF152</f>
        <v>0</v>
      </c>
      <c r="I152" s="23">
        <f>+'Datos M8'!AF152</f>
        <v>55.7</v>
      </c>
      <c r="J152" s="23">
        <f>+'Datos M9'!AF152</f>
        <v>80.033333333333331</v>
      </c>
      <c r="K152" s="23">
        <f>+'Datos M10'!AF152</f>
        <v>40.299999999999997</v>
      </c>
      <c r="L152" s="20"/>
    </row>
    <row r="153" spans="1:12" x14ac:dyDescent="0.35">
      <c r="A153" s="22" t="s">
        <v>198</v>
      </c>
      <c r="B153" s="23">
        <f>+'Datos M1'!AF153</f>
        <v>0</v>
      </c>
      <c r="C153" s="23">
        <f>+'Datos M2'!AF153</f>
        <v>0</v>
      </c>
      <c r="D153" s="23">
        <f>+'Datos M3'!AF153</f>
        <v>43.93333333333333</v>
      </c>
      <c r="E153" s="23">
        <f>+'Datos M4'!AF153</f>
        <v>57.6</v>
      </c>
      <c r="F153" s="23">
        <f>+'Datos M5'!AF153</f>
        <v>39.366666666666667</v>
      </c>
      <c r="G153" s="23">
        <f>+'Datos M6'!AF153</f>
        <v>58.733333333333334</v>
      </c>
      <c r="H153" s="23">
        <f>+'Datos M7'!AF153</f>
        <v>0</v>
      </c>
      <c r="I153" s="23">
        <f>+'Datos M8'!AF153</f>
        <v>60.233333333333334</v>
      </c>
      <c r="J153" s="23">
        <f>+'Datos M9'!AF153</f>
        <v>54.56666666666667</v>
      </c>
      <c r="K153" s="23">
        <f>+'Datos M10'!AF153</f>
        <v>57.266666666666666</v>
      </c>
      <c r="L153" s="20"/>
    </row>
    <row r="154" spans="1:12" x14ac:dyDescent="0.35">
      <c r="A154" s="22" t="s">
        <v>118</v>
      </c>
      <c r="B154" s="23">
        <f>+'Datos M1'!AF154</f>
        <v>0</v>
      </c>
      <c r="C154" s="23">
        <f>+'Datos M2'!AF154</f>
        <v>0</v>
      </c>
      <c r="D154" s="23">
        <f>+'Datos M3'!AF154</f>
        <v>58.4</v>
      </c>
      <c r="E154" s="23">
        <f>+'Datos M4'!AF154</f>
        <v>81.233333333333334</v>
      </c>
      <c r="F154" s="23">
        <f>+'Datos M5'!AF154</f>
        <v>70.400000000000006</v>
      </c>
      <c r="G154" s="23">
        <f>+'Datos M6'!AF154</f>
        <v>38.700000000000003</v>
      </c>
      <c r="H154" s="23">
        <f>+'Datos M7'!AF154</f>
        <v>0</v>
      </c>
      <c r="I154" s="23">
        <f>+'Datos M8'!AF154</f>
        <v>50.2</v>
      </c>
      <c r="J154" s="23">
        <f>+'Datos M9'!AF154</f>
        <v>56.366666666666667</v>
      </c>
      <c r="K154" s="23">
        <f>+'Datos M10'!AF154</f>
        <v>47.833333333333336</v>
      </c>
      <c r="L154" s="20"/>
    </row>
    <row r="155" spans="1:12" x14ac:dyDescent="0.35">
      <c r="A155" s="22" t="s">
        <v>119</v>
      </c>
      <c r="B155" s="23">
        <f>+'Datos M1'!AF155</f>
        <v>0</v>
      </c>
      <c r="C155" s="23">
        <f>+'Datos M2'!AF155</f>
        <v>0</v>
      </c>
      <c r="D155" s="23">
        <f>+'Datos M3'!AF155</f>
        <v>84.1</v>
      </c>
      <c r="E155" s="23">
        <f>+'Datos M4'!AF155</f>
        <v>42.5</v>
      </c>
      <c r="F155" s="23">
        <f>+'Datos M5'!AF155</f>
        <v>59.266666666666666</v>
      </c>
      <c r="G155" s="23">
        <f>+'Datos M6'!AF155</f>
        <v>48.766666666666666</v>
      </c>
      <c r="H155" s="23">
        <f>+'Datos M7'!AF155</f>
        <v>0</v>
      </c>
      <c r="I155" s="23">
        <f>+'Datos M8'!AF155</f>
        <v>63</v>
      </c>
      <c r="J155" s="23">
        <f>+'Datos M9'!AF155</f>
        <v>72.13333333333334</v>
      </c>
      <c r="K155" s="23">
        <f>+'Datos M10'!AF155</f>
        <v>52.6</v>
      </c>
      <c r="L155" s="20"/>
    </row>
    <row r="156" spans="1:12" x14ac:dyDescent="0.35">
      <c r="A156" s="22" t="s">
        <v>191</v>
      </c>
      <c r="B156" s="23">
        <f>+'Datos M1'!AF156</f>
        <v>0</v>
      </c>
      <c r="C156" s="23">
        <f>+'Datos M2'!AF156</f>
        <v>0</v>
      </c>
      <c r="D156" s="23">
        <f>+'Datos M3'!AF156</f>
        <v>42.6</v>
      </c>
      <c r="E156" s="23">
        <f>+'Datos M4'!AF156</f>
        <v>66.599999999999994</v>
      </c>
      <c r="F156" s="23">
        <f>+'Datos M5'!AF156</f>
        <v>57.5</v>
      </c>
      <c r="G156" s="23">
        <f>+'Datos M6'!AF156</f>
        <v>0</v>
      </c>
      <c r="H156" s="23">
        <f>+'Datos M7'!AF156</f>
        <v>0</v>
      </c>
      <c r="I156" s="23">
        <f>+'Datos M8'!AF156</f>
        <v>57.666666666666664</v>
      </c>
      <c r="J156" s="23">
        <f>+'Datos M9'!AF156</f>
        <v>43.333333333333336</v>
      </c>
      <c r="K156" s="23">
        <f>+'Datos M10'!AF156</f>
        <v>41.666666666666664</v>
      </c>
      <c r="L156" s="20"/>
    </row>
    <row r="157" spans="1:12" x14ac:dyDescent="0.35">
      <c r="A157" s="22" t="s">
        <v>120</v>
      </c>
      <c r="B157" s="23">
        <f>+'Datos M1'!AF157</f>
        <v>0</v>
      </c>
      <c r="C157" s="23">
        <f>+'Datos M2'!AF157</f>
        <v>0</v>
      </c>
      <c r="D157" s="23">
        <f>+'Datos M3'!AF157</f>
        <v>48.8</v>
      </c>
      <c r="E157" s="23">
        <f>+'Datos M4'!AF157</f>
        <v>64.033333333333331</v>
      </c>
      <c r="F157" s="23">
        <f>+'Datos M5'!AF157</f>
        <v>40.766666666666666</v>
      </c>
      <c r="G157" s="23">
        <f>+'Datos M6'!AF157</f>
        <v>62.4</v>
      </c>
      <c r="H157" s="23">
        <f>+'Datos M7'!AF157</f>
        <v>56.333333333333336</v>
      </c>
      <c r="I157" s="23">
        <f>+'Datos M8'!AF157</f>
        <v>44.1</v>
      </c>
      <c r="J157" s="23">
        <f>+'Datos M9'!AF157</f>
        <v>57.633333333333333</v>
      </c>
      <c r="K157" s="23">
        <f>+'Datos M10'!AF157</f>
        <v>47.8</v>
      </c>
      <c r="L157" s="20"/>
    </row>
    <row r="158" spans="1:12" x14ac:dyDescent="0.35">
      <c r="A158" s="22" t="s">
        <v>121</v>
      </c>
      <c r="B158" s="23">
        <f>+'Datos M1'!AF158</f>
        <v>0</v>
      </c>
      <c r="C158" s="23">
        <f>+'Datos M2'!AF158</f>
        <v>0</v>
      </c>
      <c r="D158" s="23">
        <f>+'Datos M3'!AF158</f>
        <v>48.93333333333333</v>
      </c>
      <c r="E158" s="23">
        <f>+'Datos M4'!AF158</f>
        <v>38.700000000000003</v>
      </c>
      <c r="F158" s="23">
        <f>+'Datos M5'!AF158</f>
        <v>62.533333333333331</v>
      </c>
      <c r="G158" s="23">
        <f>+'Datos M6'!AF158</f>
        <v>64.599999999999994</v>
      </c>
      <c r="H158" s="23">
        <f>+'Datos M7'!AF158</f>
        <v>55.1</v>
      </c>
      <c r="I158" s="23">
        <f>+'Datos M8'!AF158</f>
        <v>42.333333333333336</v>
      </c>
      <c r="J158" s="23">
        <f>+'Datos M9'!AF158</f>
        <v>74.466666666666669</v>
      </c>
      <c r="K158" s="23">
        <f>+'Datos M10'!AF158</f>
        <v>51.533333333333331</v>
      </c>
      <c r="L158" s="20"/>
    </row>
    <row r="159" spans="1:12" x14ac:dyDescent="0.35">
      <c r="A159" s="22" t="s">
        <v>141</v>
      </c>
      <c r="B159" s="23">
        <f>+'Datos M1'!AF159</f>
        <v>0</v>
      </c>
      <c r="C159" s="23">
        <f>+'Datos M2'!AF159</f>
        <v>81.433333333333337</v>
      </c>
      <c r="D159" s="23">
        <f>+'Datos M3'!AF159</f>
        <v>66</v>
      </c>
      <c r="E159" s="23">
        <f>+'Datos M4'!AF159</f>
        <v>70.13333333333334</v>
      </c>
      <c r="F159" s="23">
        <f>+'Datos M5'!AF159</f>
        <v>46.166666666666664</v>
      </c>
      <c r="G159" s="23">
        <f>+'Datos M6'!AF159</f>
        <v>42.5</v>
      </c>
      <c r="H159" s="23">
        <f>+'Datos M7'!AF159</f>
        <v>42.7</v>
      </c>
      <c r="I159" s="23">
        <f>+'Datos M8'!AF159</f>
        <v>75.7</v>
      </c>
      <c r="J159" s="23">
        <f>+'Datos M9'!AF159</f>
        <v>62.3</v>
      </c>
      <c r="K159" s="23">
        <f>+'Datos M10'!AF159</f>
        <v>56.93333333333333</v>
      </c>
      <c r="L159" s="20"/>
    </row>
    <row r="160" spans="1:12" x14ac:dyDescent="0.35">
      <c r="A160" s="22" t="s">
        <v>122</v>
      </c>
      <c r="B160" s="23">
        <f>+'Datos M1'!AF160</f>
        <v>0</v>
      </c>
      <c r="C160" s="23">
        <f>+'Datos M2'!AF160</f>
        <v>73.033333333333331</v>
      </c>
      <c r="D160" s="23">
        <f>+'Datos M3'!AF160</f>
        <v>42.733333333333334</v>
      </c>
      <c r="E160" s="23">
        <f>+'Datos M4'!AF160</f>
        <v>58.1</v>
      </c>
      <c r="F160" s="23">
        <f>+'Datos M5'!AF160</f>
        <v>42.533333333333331</v>
      </c>
      <c r="G160" s="23">
        <f>+'Datos M6'!AF160</f>
        <v>65.033333333333331</v>
      </c>
      <c r="H160" s="23">
        <f>+'Datos M7'!AF160</f>
        <v>77.333333333333329</v>
      </c>
      <c r="I160" s="23">
        <f>+'Datos M8'!AF160</f>
        <v>37.266666666666666</v>
      </c>
      <c r="J160" s="23">
        <f>+'Datos M9'!AF160</f>
        <v>62.43333333333333</v>
      </c>
      <c r="K160" s="23">
        <f>+'Datos M10'!AF160</f>
        <v>39.133333333333333</v>
      </c>
      <c r="L160" s="20"/>
    </row>
    <row r="161" spans="1:12" x14ac:dyDescent="0.35">
      <c r="A161" s="22" t="s">
        <v>165</v>
      </c>
      <c r="B161" s="23">
        <f>+'Datos M1'!AF161</f>
        <v>0</v>
      </c>
      <c r="C161" s="23">
        <f>+'Datos M2'!AF161</f>
        <v>78.966666666666669</v>
      </c>
      <c r="D161" s="23">
        <f>+'Datos M3'!AF161</f>
        <v>77.099999999999994</v>
      </c>
      <c r="E161" s="23">
        <f>+'Datos M4'!AF161</f>
        <v>43.466666666666669</v>
      </c>
      <c r="F161" s="23">
        <f>+'Datos M5'!AF161</f>
        <v>70.3</v>
      </c>
      <c r="G161" s="23">
        <f>+'Datos M6'!AF161</f>
        <v>74.63333333333334</v>
      </c>
      <c r="H161" s="23">
        <f>+'Datos M7'!AF161</f>
        <v>43.266666666666666</v>
      </c>
      <c r="I161" s="23">
        <f>+'Datos M8'!AF161</f>
        <v>63.8</v>
      </c>
      <c r="J161" s="23">
        <f>+'Datos M9'!AF161</f>
        <v>64.5</v>
      </c>
      <c r="K161" s="23">
        <f>+'Datos M10'!AF161</f>
        <v>37.333333333333336</v>
      </c>
      <c r="L161" s="20"/>
    </row>
    <row r="162" spans="1:12" x14ac:dyDescent="0.35">
      <c r="A162" s="22" t="s">
        <v>123</v>
      </c>
      <c r="B162" s="23">
        <f>+'Datos M1'!AF162</f>
        <v>0</v>
      </c>
      <c r="C162" s="23">
        <f>+'Datos M2'!AF162</f>
        <v>60.1</v>
      </c>
      <c r="D162" s="23">
        <f>+'Datos M3'!AF162</f>
        <v>47.833333333333336</v>
      </c>
      <c r="E162" s="23">
        <f>+'Datos M4'!AF162</f>
        <v>66.166666666666671</v>
      </c>
      <c r="F162" s="23">
        <f>+'Datos M5'!AF162</f>
        <v>37.1</v>
      </c>
      <c r="G162" s="23">
        <f>+'Datos M6'!AF162</f>
        <v>36.166666666666664</v>
      </c>
      <c r="H162" s="23">
        <f>+'Datos M7'!AF162</f>
        <v>38.700000000000003</v>
      </c>
      <c r="I162" s="23">
        <f>+'Datos M8'!AF162</f>
        <v>56.56666666666667</v>
      </c>
      <c r="J162" s="23">
        <f>+'Datos M9'!AF162</f>
        <v>35.1</v>
      </c>
      <c r="K162" s="23">
        <f>+'Datos M10'!AF162</f>
        <v>44.06666666666667</v>
      </c>
      <c r="L162" s="20"/>
    </row>
    <row r="163" spans="1:12" x14ac:dyDescent="0.35">
      <c r="A163" s="22" t="s">
        <v>124</v>
      </c>
      <c r="B163" s="23">
        <f>+'Datos M1'!AF163</f>
        <v>0</v>
      </c>
      <c r="C163" s="23">
        <f>+'Datos M2'!AF163</f>
        <v>47.266666666666666</v>
      </c>
      <c r="D163" s="23">
        <f>+'Datos M3'!AF163</f>
        <v>49.56666666666667</v>
      </c>
      <c r="E163" s="23">
        <f>+'Datos M4'!AF163</f>
        <v>49.5</v>
      </c>
      <c r="F163" s="23">
        <f>+'Datos M5'!AF163</f>
        <v>68.233333333333334</v>
      </c>
      <c r="G163" s="23">
        <f>+'Datos M6'!AF163</f>
        <v>63.7</v>
      </c>
      <c r="H163" s="23">
        <f>+'Datos M7'!AF163</f>
        <v>59.56666666666667</v>
      </c>
      <c r="I163" s="23">
        <f>+'Datos M8'!AF163</f>
        <v>45.233333333333334</v>
      </c>
      <c r="J163" s="23">
        <f>+'Datos M9'!AF163</f>
        <v>60.266666666666666</v>
      </c>
      <c r="K163" s="23">
        <f>+'Datos M10'!AF163</f>
        <v>54.3</v>
      </c>
      <c r="L163" s="20"/>
    </row>
    <row r="164" spans="1:12" x14ac:dyDescent="0.35">
      <c r="A164" s="22" t="s">
        <v>125</v>
      </c>
      <c r="B164" s="23">
        <f>+'Datos M1'!AF164</f>
        <v>0</v>
      </c>
      <c r="C164" s="23">
        <f>+'Datos M2'!AF164</f>
        <v>50.2</v>
      </c>
      <c r="D164" s="23">
        <f>+'Datos M3'!AF164</f>
        <v>48.233333333333334</v>
      </c>
      <c r="E164" s="23">
        <f>+'Datos M4'!AF164</f>
        <v>49.233333333333334</v>
      </c>
      <c r="F164" s="23">
        <f>+'Datos M5'!AF164</f>
        <v>63.366666666666667</v>
      </c>
      <c r="G164" s="23">
        <f>+'Datos M6'!AF164</f>
        <v>46.866666666666667</v>
      </c>
      <c r="H164" s="23">
        <f>+'Datos M7'!AF164</f>
        <v>53.366666666666667</v>
      </c>
      <c r="I164" s="23">
        <f>+'Datos M8'!AF164</f>
        <v>65.7</v>
      </c>
      <c r="J164" s="23">
        <f>+'Datos M9'!AF164</f>
        <v>55.833333333333336</v>
      </c>
      <c r="K164" s="23">
        <f>+'Datos M10'!AF164</f>
        <v>33.633333333333333</v>
      </c>
      <c r="L164" s="20"/>
    </row>
    <row r="165" spans="1:12" x14ac:dyDescent="0.35">
      <c r="A165" s="22" t="s">
        <v>126</v>
      </c>
      <c r="B165" s="23">
        <f>+'Datos M1'!AF165</f>
        <v>0</v>
      </c>
      <c r="C165" s="23">
        <f>+'Datos M2'!AF165</f>
        <v>54.966666666666669</v>
      </c>
      <c r="D165" s="23">
        <f>+'Datos M3'!AF165</f>
        <v>53.533333333333331</v>
      </c>
      <c r="E165" s="23">
        <f>+'Datos M4'!AF165</f>
        <v>37.56666666666667</v>
      </c>
      <c r="F165" s="23">
        <f>+'Datos M5'!AF165</f>
        <v>82.333333333333329</v>
      </c>
      <c r="G165" s="23">
        <f>+'Datos M6'!AF165</f>
        <v>78.333333333333329</v>
      </c>
      <c r="H165" s="23">
        <f>+'Datos M7'!AF165</f>
        <v>32.866666666666667</v>
      </c>
      <c r="I165" s="23">
        <f>+'Datos M8'!AF165</f>
        <v>43.6</v>
      </c>
      <c r="J165" s="23">
        <f>+'Datos M9'!AF165</f>
        <v>26.2</v>
      </c>
      <c r="K165" s="23">
        <f>+'Datos M10'!AF165</f>
        <v>46.8</v>
      </c>
      <c r="L165" s="20"/>
    </row>
    <row r="166" spans="1:12" x14ac:dyDescent="0.35">
      <c r="A166" s="22" t="s">
        <v>127</v>
      </c>
      <c r="B166" s="23">
        <f>+'Datos M1'!AF166</f>
        <v>0</v>
      </c>
      <c r="C166" s="23">
        <f>+'Datos M2'!AF166</f>
        <v>56.1</v>
      </c>
      <c r="D166" s="23">
        <f>+'Datos M3'!AF166</f>
        <v>72.166666666666671</v>
      </c>
      <c r="E166" s="23">
        <f>+'Datos M4'!AF166</f>
        <v>60.2</v>
      </c>
      <c r="F166" s="23">
        <f>+'Datos M5'!AF166</f>
        <v>53.1</v>
      </c>
      <c r="G166" s="23">
        <f>+'Datos M6'!AF166</f>
        <v>36.033333333333331</v>
      </c>
      <c r="H166" s="23">
        <f>+'Datos M7'!AF166</f>
        <v>34.533333333333331</v>
      </c>
      <c r="I166" s="23">
        <f>+'Datos M8'!AF166</f>
        <v>35.033333333333331</v>
      </c>
      <c r="J166" s="23">
        <f>+'Datos M9'!AF166</f>
        <v>33.700000000000003</v>
      </c>
      <c r="K166" s="23">
        <f>+'Datos M10'!AF166</f>
        <v>37.56666666666667</v>
      </c>
      <c r="L166" s="20"/>
    </row>
    <row r="167" spans="1:12" x14ac:dyDescent="0.35">
      <c r="A167" s="22" t="s">
        <v>128</v>
      </c>
      <c r="B167" s="23">
        <f>+'Datos M1'!AF167</f>
        <v>0</v>
      </c>
      <c r="C167" s="23">
        <f>+'Datos M2'!AF167</f>
        <v>63.033333333333331</v>
      </c>
      <c r="D167" s="23">
        <f>+'Datos M3'!AF167</f>
        <v>57.6</v>
      </c>
      <c r="E167" s="23">
        <f>+'Datos M4'!AF167</f>
        <v>75.333333333333329</v>
      </c>
      <c r="F167" s="23">
        <f>+'Datos M5'!AF167</f>
        <v>67.566666666666663</v>
      </c>
      <c r="G167" s="23">
        <f>+'Datos M6'!AF167</f>
        <v>51.666666666666664</v>
      </c>
      <c r="H167" s="23">
        <f>+'Datos M7'!AF167</f>
        <v>74.900000000000006</v>
      </c>
      <c r="I167" s="23">
        <f>+'Datos M8'!AF167</f>
        <v>39.666666666666664</v>
      </c>
      <c r="J167" s="23">
        <f>+'Datos M9'!AF167</f>
        <v>42.733333333333334</v>
      </c>
      <c r="K167" s="23">
        <f>+'Datos M10'!AF167</f>
        <v>42.233333333333334</v>
      </c>
      <c r="L167" s="20"/>
    </row>
    <row r="168" spans="1:12" x14ac:dyDescent="0.35">
      <c r="A168" s="22" t="s">
        <v>156</v>
      </c>
      <c r="B168" s="23">
        <f>+'Datos M1'!AF168</f>
        <v>0</v>
      </c>
      <c r="C168" s="23">
        <f>+'Datos M2'!AF168</f>
        <v>34.43333333333333</v>
      </c>
      <c r="D168" s="23">
        <f>+'Datos M3'!AF168</f>
        <v>53.93333333333333</v>
      </c>
      <c r="E168" s="23">
        <f>+'Datos M4'!AF168</f>
        <v>69.233333333333334</v>
      </c>
      <c r="F168" s="23">
        <f>+'Datos M5'!AF168</f>
        <v>62.233333333333334</v>
      </c>
      <c r="G168" s="23">
        <f>+'Datos M6'!AF168</f>
        <v>74.733333333333334</v>
      </c>
      <c r="H168" s="23">
        <f>+'Datos M7'!AF168</f>
        <v>50.966666666666669</v>
      </c>
      <c r="I168" s="23">
        <f>+'Datos M8'!AF168</f>
        <v>65.266666666666666</v>
      </c>
      <c r="J168" s="23">
        <f>+'Datos M9'!AF168</f>
        <v>70.233333333333334</v>
      </c>
      <c r="K168" s="23">
        <f>+'Datos M10'!AF168</f>
        <v>47.633333333333333</v>
      </c>
      <c r="L168" s="20"/>
    </row>
    <row r="169" spans="1:12" x14ac:dyDescent="0.35">
      <c r="A169" s="22" t="s">
        <v>129</v>
      </c>
      <c r="B169" s="23">
        <f>+'Datos M1'!AF169</f>
        <v>0</v>
      </c>
      <c r="C169" s="23">
        <f>+'Datos M2'!AF169</f>
        <v>60.166666666666664</v>
      </c>
      <c r="D169" s="23">
        <f>+'Datos M3'!AF169</f>
        <v>35.299999999999997</v>
      </c>
      <c r="E169" s="23">
        <f>+'Datos M4'!AF169</f>
        <v>78</v>
      </c>
      <c r="F169" s="23">
        <f>+'Datos M5'!AF169</f>
        <v>39.233333333333334</v>
      </c>
      <c r="G169" s="23">
        <f>+'Datos M6'!AF169</f>
        <v>62.866666666666667</v>
      </c>
      <c r="H169" s="23">
        <f>+'Datos M7'!AF169</f>
        <v>48.133333333333333</v>
      </c>
      <c r="I169" s="23">
        <f>+'Datos M8'!AF169</f>
        <v>63.56666666666667</v>
      </c>
      <c r="J169" s="23">
        <f>+'Datos M9'!AF169</f>
        <v>53.133333333333333</v>
      </c>
      <c r="K169" s="23">
        <f>+'Datos M10'!AF169</f>
        <v>51.766666666666666</v>
      </c>
      <c r="L169" s="20"/>
    </row>
    <row r="170" spans="1:12" x14ac:dyDescent="0.35">
      <c r="A170" s="22" t="s">
        <v>130</v>
      </c>
      <c r="B170" s="23">
        <f>+'Datos M1'!AF170</f>
        <v>0</v>
      </c>
      <c r="C170" s="23">
        <f>+'Datos M2'!AF170</f>
        <v>81.2</v>
      </c>
      <c r="D170" s="23">
        <f>+'Datos M3'!AF170</f>
        <v>84.36666666666666</v>
      </c>
      <c r="E170" s="23">
        <f>+'Datos M4'!AF170</f>
        <v>81.266666666666666</v>
      </c>
      <c r="F170" s="23">
        <f>+'Datos M5'!AF170</f>
        <v>61.866666666666667</v>
      </c>
      <c r="G170" s="23">
        <f>+'Datos M6'!AF170</f>
        <v>60.6</v>
      </c>
      <c r="H170" s="23">
        <f>+'Datos M7'!AF170</f>
        <v>50.1</v>
      </c>
      <c r="I170" s="23">
        <f>+'Datos M8'!AF170</f>
        <v>69.533333333333331</v>
      </c>
      <c r="J170" s="23">
        <f>+'Datos M9'!AF170</f>
        <v>34.266666666666666</v>
      </c>
      <c r="K170" s="23">
        <f>+'Datos M10'!AF170</f>
        <v>50.93333333333333</v>
      </c>
      <c r="L170" s="20"/>
    </row>
    <row r="171" spans="1:12" x14ac:dyDescent="0.35">
      <c r="A171" s="22" t="s">
        <v>192</v>
      </c>
      <c r="B171" s="23">
        <f>+'Datos M1'!AF171</f>
        <v>0</v>
      </c>
      <c r="C171" s="23">
        <f>+'Datos M2'!AF171</f>
        <v>54.2</v>
      </c>
      <c r="D171" s="23">
        <f>+'Datos M3'!AF171</f>
        <v>40.166666666666664</v>
      </c>
      <c r="E171" s="23">
        <f>+'Datos M4'!AF171</f>
        <v>41.6</v>
      </c>
      <c r="F171" s="23">
        <f>+'Datos M5'!AF171</f>
        <v>51.56666666666667</v>
      </c>
      <c r="G171" s="23">
        <f>+'Datos M6'!AF171</f>
        <v>0</v>
      </c>
      <c r="H171" s="23">
        <f>+'Datos M7'!AF171</f>
        <v>46</v>
      </c>
      <c r="I171" s="23">
        <f>+'Datos M8'!AF171</f>
        <v>38.266666666666666</v>
      </c>
      <c r="J171" s="23">
        <f>+'Datos M9'!AF171</f>
        <v>64.900000000000006</v>
      </c>
      <c r="K171" s="23">
        <f>+'Datos M10'!AF171</f>
        <v>52.166666666666664</v>
      </c>
      <c r="L171" s="20"/>
    </row>
    <row r="172" spans="1:12" x14ac:dyDescent="0.35">
      <c r="A172" s="22" t="s">
        <v>131</v>
      </c>
      <c r="B172" s="23">
        <f>+'Datos M1'!AF172</f>
        <v>0</v>
      </c>
      <c r="C172" s="23">
        <f>+'Datos M2'!AF172</f>
        <v>69.400000000000006</v>
      </c>
      <c r="D172" s="23">
        <f>+'Datos M3'!AF172</f>
        <v>44.733333333333334</v>
      </c>
      <c r="E172" s="23">
        <f>+'Datos M4'!AF172</f>
        <v>71.5</v>
      </c>
      <c r="F172" s="23">
        <f>+'Datos M5'!AF172</f>
        <v>78.066666666666663</v>
      </c>
      <c r="G172" s="23">
        <f>+'Datos M6'!AF172</f>
        <v>95.266666666666666</v>
      </c>
      <c r="H172" s="23">
        <f>+'Datos M7'!AF172</f>
        <v>73.333333333333329</v>
      </c>
      <c r="I172" s="23">
        <f>+'Datos M8'!AF172</f>
        <v>51.766666666666666</v>
      </c>
      <c r="J172" s="23">
        <f>+'Datos M9'!AF172</f>
        <v>76.8</v>
      </c>
      <c r="K172" s="23">
        <f>+'Datos M10'!AF172</f>
        <v>43</v>
      </c>
      <c r="L172" s="20"/>
    </row>
    <row r="173" spans="1:12" x14ac:dyDescent="0.35">
      <c r="A173" s="22" t="s">
        <v>132</v>
      </c>
      <c r="B173" s="23">
        <f>+'Datos M1'!AF173</f>
        <v>0</v>
      </c>
      <c r="C173" s="23">
        <f>+'Datos M2'!AF173</f>
        <v>36.333333333333336</v>
      </c>
      <c r="D173" s="23">
        <f>+'Datos M3'!AF173</f>
        <v>28.933333333333334</v>
      </c>
      <c r="E173" s="23">
        <f>+'Datos M4'!AF173</f>
        <v>85.3</v>
      </c>
      <c r="F173" s="23">
        <f>+'Datos M5'!AF173</f>
        <v>41.966666666666669</v>
      </c>
      <c r="G173" s="23">
        <f>+'Datos M6'!AF173</f>
        <v>47.5</v>
      </c>
      <c r="H173" s="23">
        <f>+'Datos M7'!AF173</f>
        <v>54.333333333333336</v>
      </c>
      <c r="I173" s="23">
        <f>+'Datos M8'!AF173</f>
        <v>56</v>
      </c>
      <c r="J173" s="23">
        <f>+'Datos M9'!AF173</f>
        <v>59.93333333333333</v>
      </c>
      <c r="K173" s="23">
        <f>+'Datos M10'!AF173</f>
        <v>44.5</v>
      </c>
      <c r="L173" s="20"/>
    </row>
    <row r="174" spans="1:12" x14ac:dyDescent="0.35">
      <c r="A174" s="22" t="s">
        <v>133</v>
      </c>
      <c r="B174" s="23">
        <f>+'Datos M1'!AF174</f>
        <v>0</v>
      </c>
      <c r="C174" s="23">
        <f>+'Datos M2'!AF174</f>
        <v>60.06666666666667</v>
      </c>
      <c r="D174" s="23">
        <f>+'Datos M3'!AF174</f>
        <v>52.1</v>
      </c>
      <c r="E174" s="23">
        <f>+'Datos M4'!AF174</f>
        <v>34.93333333333333</v>
      </c>
      <c r="F174" s="23">
        <f>+'Datos M5'!AF174</f>
        <v>51.9</v>
      </c>
      <c r="G174" s="23">
        <f>+'Datos M6'!AF174</f>
        <v>43.2</v>
      </c>
      <c r="H174" s="23">
        <f>+'Datos M7'!AF174</f>
        <v>58.2</v>
      </c>
      <c r="I174" s="23">
        <f>+'Datos M8'!AF174</f>
        <v>75</v>
      </c>
      <c r="J174" s="23">
        <f>+'Datos M9'!AF174</f>
        <v>48.5</v>
      </c>
      <c r="K174" s="23">
        <f>+'Datos M10'!AF174</f>
        <v>37.366666666666667</v>
      </c>
      <c r="L174" s="20"/>
    </row>
    <row r="175" spans="1:12" x14ac:dyDescent="0.35">
      <c r="A175" s="22" t="s">
        <v>134</v>
      </c>
      <c r="B175" s="23">
        <f>+'Datos M1'!AF175</f>
        <v>0</v>
      </c>
      <c r="C175" s="23">
        <f>+'Datos M2'!AF175</f>
        <v>32.033333333333331</v>
      </c>
      <c r="D175" s="23">
        <f>+'Datos M3'!AF175</f>
        <v>32.466666666666669</v>
      </c>
      <c r="E175" s="23">
        <f>+'Datos M4'!AF175</f>
        <v>44.633333333333333</v>
      </c>
      <c r="F175" s="23">
        <f>+'Datos M5'!AF175</f>
        <v>68.2</v>
      </c>
      <c r="G175" s="23">
        <f>+'Datos M6'!AF175</f>
        <v>41.533333333333331</v>
      </c>
      <c r="H175" s="23">
        <f>+'Datos M7'!AF175</f>
        <v>0</v>
      </c>
      <c r="I175" s="23">
        <f>+'Datos M8'!AF175</f>
        <v>68</v>
      </c>
      <c r="J175" s="23">
        <f>+'Datos M9'!AF175</f>
        <v>34.6</v>
      </c>
      <c r="K175" s="23">
        <f>+'Datos M10'!AF175</f>
        <v>46.633333333333333</v>
      </c>
      <c r="L175" s="20"/>
    </row>
    <row r="176" spans="1:12" x14ac:dyDescent="0.35">
      <c r="A176" s="22" t="s">
        <v>135</v>
      </c>
      <c r="B176" s="23">
        <f>+'Datos M1'!AF176</f>
        <v>0</v>
      </c>
      <c r="C176" s="23">
        <f>+'Datos M2'!AF176</f>
        <v>54.43333333333333</v>
      </c>
      <c r="D176" s="23">
        <f>+'Datos M3'!AF176</f>
        <v>70.666666666666671</v>
      </c>
      <c r="E176" s="23">
        <f>+'Datos M4'!AF176</f>
        <v>51.533333333333331</v>
      </c>
      <c r="F176" s="23">
        <f>+'Datos M5'!AF176</f>
        <v>56.033333333333331</v>
      </c>
      <c r="G176" s="23">
        <f>+'Datos M6'!AF176</f>
        <v>43.6</v>
      </c>
      <c r="H176" s="23">
        <f>+'Datos M7'!AF176</f>
        <v>0</v>
      </c>
      <c r="I176" s="23">
        <f>+'Datos M8'!AF176</f>
        <v>0</v>
      </c>
      <c r="J176" s="23">
        <f>+'Datos M9'!AF176</f>
        <v>63.7</v>
      </c>
      <c r="K176" s="23">
        <f>+'Datos M10'!AF176</f>
        <v>39.9</v>
      </c>
      <c r="L176" s="20"/>
    </row>
    <row r="177" spans="1:12" x14ac:dyDescent="0.35">
      <c r="A177" s="22" t="s">
        <v>162</v>
      </c>
      <c r="B177" s="23">
        <f>+'Datos M1'!AF177</f>
        <v>0</v>
      </c>
      <c r="C177" s="23">
        <f>+'Datos M2'!AF177</f>
        <v>66.466666666666669</v>
      </c>
      <c r="D177" s="23">
        <f>+'Datos M3'!AF177</f>
        <v>66.099999999999994</v>
      </c>
      <c r="E177" s="23">
        <f>+'Datos M4'!AF177</f>
        <v>67.333333333333329</v>
      </c>
      <c r="F177" s="23">
        <f>+'Datos M5'!AF177</f>
        <v>68.900000000000006</v>
      </c>
      <c r="G177" s="23">
        <f>+'Datos M6'!AF177</f>
        <v>67.166666666666671</v>
      </c>
      <c r="H177" s="23">
        <f>+'Datos M7'!AF177</f>
        <v>0</v>
      </c>
      <c r="I177" s="23">
        <f>+'Datos M8'!AF177</f>
        <v>66.466666666666669</v>
      </c>
      <c r="J177" s="23">
        <f>+'Datos M9'!AF177</f>
        <v>56.166666666666664</v>
      </c>
      <c r="K177" s="23">
        <f>+'Datos M10'!AF177</f>
        <v>54.9</v>
      </c>
      <c r="L177" s="20"/>
    </row>
    <row r="178" spans="1:12" x14ac:dyDescent="0.35">
      <c r="A178" s="22" t="s">
        <v>136</v>
      </c>
      <c r="B178" s="23">
        <f>+'Datos M1'!AF178</f>
        <v>0</v>
      </c>
      <c r="C178" s="23">
        <f>+'Datos M2'!AF178</f>
        <v>90.7</v>
      </c>
      <c r="D178" s="23">
        <f>+'Datos M3'!AF178</f>
        <v>36.56666666666667</v>
      </c>
      <c r="E178" s="23">
        <f>+'Datos M4'!AF178</f>
        <v>62.733333333333334</v>
      </c>
      <c r="F178" s="23">
        <f>+'Datos M5'!AF178</f>
        <v>67.033333333333331</v>
      </c>
      <c r="G178" s="23">
        <f>+'Datos M6'!AF178</f>
        <v>76.966666666666669</v>
      </c>
      <c r="H178" s="23">
        <f>+'Datos M7'!AF178</f>
        <v>0</v>
      </c>
      <c r="I178" s="23">
        <f>+'Datos M8'!AF178</f>
        <v>42.166666666666664</v>
      </c>
      <c r="J178" s="23">
        <f>+'Datos M9'!AF178</f>
        <v>46.766666666666666</v>
      </c>
      <c r="K178" s="23">
        <f>+'Datos M10'!AF178</f>
        <v>43.56666666666667</v>
      </c>
      <c r="L178" s="20"/>
    </row>
    <row r="179" spans="1:12" x14ac:dyDescent="0.35">
      <c r="A179" s="22" t="s">
        <v>142</v>
      </c>
      <c r="B179" s="23">
        <f>+'Datos M1'!AF179</f>
        <v>0</v>
      </c>
      <c r="C179" s="23">
        <f>+'Datos M2'!AF179</f>
        <v>44.766666666666666</v>
      </c>
      <c r="D179" s="23">
        <f>+'Datos M3'!AF179</f>
        <v>45.966666666666669</v>
      </c>
      <c r="E179" s="23">
        <f>+'Datos M4'!AF179</f>
        <v>58.8</v>
      </c>
      <c r="F179" s="23">
        <f>+'Datos M5'!AF179</f>
        <v>32.1</v>
      </c>
      <c r="G179" s="23">
        <f>+'Datos M6'!AF179</f>
        <v>83.666666666666671</v>
      </c>
      <c r="H179" s="23">
        <f>+'Datos M7'!AF179</f>
        <v>0</v>
      </c>
      <c r="I179" s="23">
        <f>+'Datos M8'!AF179</f>
        <v>0</v>
      </c>
      <c r="J179" s="23">
        <f>+'Datos M9'!AF179</f>
        <v>50.633333333333333</v>
      </c>
      <c r="K179" s="23">
        <f>+'Datos M10'!AF179</f>
        <v>47.333333333333336</v>
      </c>
      <c r="L179" s="20"/>
    </row>
    <row r="180" spans="1:12" x14ac:dyDescent="0.35">
      <c r="A180" s="22" t="s">
        <v>137</v>
      </c>
      <c r="B180" s="23">
        <f>+'Datos M1'!AF180</f>
        <v>0</v>
      </c>
      <c r="C180" s="23">
        <f>+'Datos M2'!AF180</f>
        <v>76.666666666666671</v>
      </c>
      <c r="D180" s="23">
        <f>+'Datos M3'!AF180</f>
        <v>87.433333333333337</v>
      </c>
      <c r="E180" s="23">
        <f>+'Datos M4'!AF180</f>
        <v>47.033333333333331</v>
      </c>
      <c r="F180" s="23">
        <f>+'Datos M5'!AF180</f>
        <v>56.666666666666664</v>
      </c>
      <c r="G180" s="23">
        <f>+'Datos M6'!AF180</f>
        <v>40.733333333333334</v>
      </c>
      <c r="H180" s="23">
        <f>+'Datos M7'!AF180</f>
        <v>0</v>
      </c>
      <c r="I180" s="23">
        <f>+'Datos M8'!AF180</f>
        <v>57.366666666666667</v>
      </c>
      <c r="J180" s="23">
        <f>+'Datos M9'!AF180</f>
        <v>66.566666666666663</v>
      </c>
      <c r="K180" s="23">
        <f>+'Datos M10'!AF180</f>
        <v>52.8</v>
      </c>
      <c r="L180" s="20"/>
    </row>
    <row r="181" spans="1:12" x14ac:dyDescent="0.35">
      <c r="A181" s="22" t="s">
        <v>138</v>
      </c>
      <c r="B181" s="23">
        <f>+'Datos M1'!AF181</f>
        <v>0</v>
      </c>
      <c r="C181" s="23">
        <f>+'Datos M2'!AF181</f>
        <v>51.766666666666666</v>
      </c>
      <c r="D181" s="23">
        <f>+'Datos M3'!AF181</f>
        <v>81.066666666666663</v>
      </c>
      <c r="E181" s="23">
        <f>+'Datos M4'!AF181</f>
        <v>38.1</v>
      </c>
      <c r="F181" s="23">
        <f>+'Datos M5'!AF181</f>
        <v>52.7</v>
      </c>
      <c r="G181" s="23">
        <f>+'Datos M6'!AF181</f>
        <v>75.2</v>
      </c>
      <c r="H181" s="23">
        <f>+'Datos M7'!AF181</f>
        <v>0</v>
      </c>
      <c r="I181" s="23">
        <f>+'Datos M8'!AF181</f>
        <v>61.93333333333333</v>
      </c>
      <c r="J181" s="23">
        <f>+'Datos M9'!AF181</f>
        <v>41.166666666666664</v>
      </c>
      <c r="K181" s="23">
        <f>+'Datos M10'!AF181</f>
        <v>0</v>
      </c>
      <c r="L181" s="20"/>
    </row>
    <row r="182" spans="1:12" x14ac:dyDescent="0.35">
      <c r="A182" s="22" t="s">
        <v>139</v>
      </c>
      <c r="B182" s="23">
        <f>+'Datos M1'!AF182</f>
        <v>0</v>
      </c>
      <c r="C182" s="23">
        <f>+'Datos M2'!AF182</f>
        <v>51.333333333333336</v>
      </c>
      <c r="D182" s="23">
        <f>+'Datos M3'!AF182</f>
        <v>78.766666666666666</v>
      </c>
      <c r="E182" s="23">
        <f>+'Datos M4'!AF182</f>
        <v>54.033333333333331</v>
      </c>
      <c r="F182" s="23">
        <f>+'Datos M5'!AF182</f>
        <v>49.8</v>
      </c>
      <c r="G182" s="23">
        <f>+'Datos M6'!AF182</f>
        <v>51.4</v>
      </c>
      <c r="H182" s="23">
        <f>+'Datos M7'!AF182</f>
        <v>0</v>
      </c>
      <c r="I182" s="23">
        <f>+'Datos M8'!AF182</f>
        <v>77.033333333333331</v>
      </c>
      <c r="J182" s="23">
        <f>+'Datos M9'!AF182</f>
        <v>43.5</v>
      </c>
      <c r="K182" s="23">
        <f>+'Datos M10'!AF182</f>
        <v>54.466666666666669</v>
      </c>
      <c r="L182" s="20"/>
    </row>
    <row r="183" spans="1:12" x14ac:dyDescent="0.35">
      <c r="A183" s="22" t="s">
        <v>140</v>
      </c>
      <c r="B183" s="23">
        <f>+'Datos M1'!AF183</f>
        <v>0</v>
      </c>
      <c r="C183" s="23">
        <f>+'Datos M2'!AF183</f>
        <v>54.466666666666669</v>
      </c>
      <c r="D183" s="23">
        <f>+'Datos M3'!AF183</f>
        <v>50.833333333333336</v>
      </c>
      <c r="E183" s="23">
        <f>+'Datos M4'!AF183</f>
        <v>59.56666666666667</v>
      </c>
      <c r="F183" s="23">
        <f>+'Datos M5'!AF183</f>
        <v>60.766666666666666</v>
      </c>
      <c r="G183" s="23">
        <f>+'Datos M6'!AF183</f>
        <v>85.4</v>
      </c>
      <c r="H183" s="23">
        <f>+'Datos M7'!AF183</f>
        <v>0</v>
      </c>
      <c r="I183" s="23">
        <f>+'Datos M8'!AF183</f>
        <v>61.3</v>
      </c>
      <c r="J183" s="23">
        <f>+'Datos M9'!AF183</f>
        <v>83.13333333333334</v>
      </c>
      <c r="K183" s="23">
        <f>+'Datos M10'!AF183</f>
        <v>60.033333333333331</v>
      </c>
      <c r="L183" s="20"/>
    </row>
    <row r="184" spans="1:12" x14ac:dyDescent="0.35">
      <c r="A184" s="22" t="s">
        <v>143</v>
      </c>
      <c r="B184" s="23">
        <f>+'Datos M1'!AF184</f>
        <v>0</v>
      </c>
      <c r="C184" s="23">
        <f>+'Datos M2'!AF184</f>
        <v>77.833333333333329</v>
      </c>
      <c r="D184" s="23">
        <f>+'Datos M3'!AF184</f>
        <v>53.06666666666667</v>
      </c>
      <c r="E184" s="23">
        <f>+'Datos M4'!AF184</f>
        <v>71.033333333333331</v>
      </c>
      <c r="F184" s="23">
        <f>+'Datos M5'!AF184</f>
        <v>55</v>
      </c>
      <c r="G184" s="23">
        <f>+'Datos M6'!AF184</f>
        <v>55.733333333333334</v>
      </c>
      <c r="H184" s="23">
        <f>+'Datos M7'!AF184</f>
        <v>0</v>
      </c>
      <c r="I184" s="23">
        <f>+'Datos M8'!AF184</f>
        <v>48.866666666666667</v>
      </c>
      <c r="J184" s="23">
        <f>+'Datos M9'!AF184</f>
        <v>45.43333333333333</v>
      </c>
      <c r="K184" s="23">
        <f>+'Datos M10'!AF184</f>
        <v>43.3</v>
      </c>
      <c r="L184" s="20"/>
    </row>
    <row r="185" spans="1:12" x14ac:dyDescent="0.35">
      <c r="A185" s="22" t="s">
        <v>144</v>
      </c>
      <c r="B185" s="23">
        <f>+'Datos M1'!AF185</f>
        <v>0</v>
      </c>
      <c r="C185" s="23">
        <f>+'Datos M2'!AF185</f>
        <v>70.36666666666666</v>
      </c>
      <c r="D185" s="23">
        <f>+'Datos M3'!AF185</f>
        <v>38.200000000000003</v>
      </c>
      <c r="E185" s="23">
        <f>+'Datos M4'!AF185</f>
        <v>58.5</v>
      </c>
      <c r="F185" s="23">
        <f>+'Datos M5'!AF185</f>
        <v>59.266666666666666</v>
      </c>
      <c r="G185" s="23">
        <f>+'Datos M6'!AF185</f>
        <v>53.733333333333334</v>
      </c>
      <c r="H185" s="23">
        <f>+'Datos M7'!AF185</f>
        <v>0</v>
      </c>
      <c r="I185" s="23">
        <f>+'Datos M8'!AF185</f>
        <v>57.2</v>
      </c>
      <c r="J185" s="23">
        <f>+'Datos M9'!AF185</f>
        <v>43.533333333333331</v>
      </c>
      <c r="K185" s="23">
        <f>+'Datos M10'!AF185</f>
        <v>43.166666666666664</v>
      </c>
      <c r="L185" s="20"/>
    </row>
    <row r="186" spans="1:12" x14ac:dyDescent="0.35">
      <c r="A186" s="22" t="s">
        <v>145</v>
      </c>
      <c r="B186" s="23">
        <f>+'Datos M1'!AF186</f>
        <v>0</v>
      </c>
      <c r="C186" s="23">
        <f>+'Datos M2'!AF186</f>
        <v>44.033333333333331</v>
      </c>
      <c r="D186" s="23">
        <f>+'Datos M3'!AF186</f>
        <v>57.833333333333336</v>
      </c>
      <c r="E186" s="23">
        <f>+'Datos M4'!AF186</f>
        <v>47.3</v>
      </c>
      <c r="F186" s="23">
        <f>+'Datos M5'!AF186</f>
        <v>63.766666666666666</v>
      </c>
      <c r="G186" s="23">
        <f>+'Datos M6'!AF186</f>
        <v>0</v>
      </c>
      <c r="H186" s="23">
        <f>+'Datos M7'!AF186</f>
        <v>0</v>
      </c>
      <c r="I186" s="23">
        <f>+'Datos M8'!AF186</f>
        <v>75.333333333333329</v>
      </c>
      <c r="J186" s="23">
        <f>+'Datos M9'!AF186</f>
        <v>43.033333333333331</v>
      </c>
      <c r="K186" s="23">
        <f>+'Datos M10'!AF186</f>
        <v>35.233333333333334</v>
      </c>
      <c r="L186" s="20"/>
    </row>
    <row r="187" spans="1:12" x14ac:dyDescent="0.35">
      <c r="A187" s="22" t="s">
        <v>146</v>
      </c>
      <c r="B187" s="23">
        <f>+'Datos M1'!AF187</f>
        <v>0</v>
      </c>
      <c r="C187" s="23">
        <f>+'Datos M2'!AF187</f>
        <v>63.06666666666667</v>
      </c>
      <c r="D187" s="23">
        <f>+'Datos M3'!AF187</f>
        <v>59.233333333333334</v>
      </c>
      <c r="E187" s="23">
        <f>+'Datos M4'!AF187</f>
        <v>38.366666666666667</v>
      </c>
      <c r="F187" s="23">
        <f>+'Datos M5'!AF187</f>
        <v>54.8</v>
      </c>
      <c r="G187" s="23">
        <f>+'Datos M6'!AF187</f>
        <v>55.333333333333336</v>
      </c>
      <c r="H187" s="23">
        <f>+'Datos M7'!AF187</f>
        <v>0</v>
      </c>
      <c r="I187" s="23">
        <f>+'Datos M8'!AF187</f>
        <v>58.033333333333331</v>
      </c>
      <c r="J187" s="23">
        <f>+'Datos M9'!AF187</f>
        <v>0</v>
      </c>
      <c r="K187" s="23">
        <f>+'Datos M10'!AF187</f>
        <v>52.4</v>
      </c>
      <c r="L187" s="20"/>
    </row>
    <row r="188" spans="1:12" x14ac:dyDescent="0.35">
      <c r="A188" s="22" t="s">
        <v>147</v>
      </c>
      <c r="B188" s="23">
        <f>+'Datos M1'!AF188</f>
        <v>0</v>
      </c>
      <c r="C188" s="23">
        <f>+'Datos M2'!AF188</f>
        <v>0</v>
      </c>
      <c r="D188" s="23">
        <f>+'Datos M3'!AF188</f>
        <v>0</v>
      </c>
      <c r="E188" s="23">
        <f>+'Datos M4'!AF188</f>
        <v>73.7</v>
      </c>
      <c r="F188" s="23">
        <f>+'Datos M5'!AF188</f>
        <v>38</v>
      </c>
      <c r="G188" s="23">
        <f>+'Datos M6'!AF188</f>
        <v>79.766666666666666</v>
      </c>
      <c r="H188" s="23">
        <f>+'Datos M7'!AF188</f>
        <v>0</v>
      </c>
      <c r="I188" s="23">
        <f>+'Datos M8'!AF188</f>
        <v>72.733333333333334</v>
      </c>
      <c r="J188" s="23">
        <f>+'Datos M9'!AF188</f>
        <v>88.733333333333334</v>
      </c>
      <c r="K188" s="23">
        <f>+'Datos M10'!AF188</f>
        <v>50.733333333333334</v>
      </c>
      <c r="L188" s="20"/>
    </row>
    <row r="189" spans="1:12" x14ac:dyDescent="0.35">
      <c r="A189" s="22" t="s">
        <v>148</v>
      </c>
      <c r="B189" s="23">
        <f>+'Datos M1'!AF189</f>
        <v>0</v>
      </c>
      <c r="C189" s="23">
        <f>+'Datos M2'!AF189</f>
        <v>69.266666666666666</v>
      </c>
      <c r="D189" s="23">
        <f>+'Datos M3'!AF189</f>
        <v>68.566666666666663</v>
      </c>
      <c r="E189" s="23">
        <f>+'Datos M4'!AF189</f>
        <v>35</v>
      </c>
      <c r="F189" s="23">
        <f>+'Datos M5'!AF189</f>
        <v>81.099999999999994</v>
      </c>
      <c r="G189" s="23">
        <f>+'Datos M6'!AF189</f>
        <v>42.6</v>
      </c>
      <c r="H189" s="23">
        <f>+'Datos M7'!AF189</f>
        <v>0</v>
      </c>
      <c r="I189" s="23">
        <f>+'Datos M8'!AF189</f>
        <v>53.7</v>
      </c>
      <c r="J189" s="23">
        <f>+'Datos M9'!AF189</f>
        <v>46.9</v>
      </c>
      <c r="K189" s="23">
        <f>+'Datos M10'!AF189</f>
        <v>48.3</v>
      </c>
      <c r="L189" s="20"/>
    </row>
    <row r="190" spans="1:12" x14ac:dyDescent="0.35">
      <c r="A190" s="22" t="s">
        <v>149</v>
      </c>
      <c r="B190" s="23">
        <f>+'Datos M1'!AF190</f>
        <v>0</v>
      </c>
      <c r="C190" s="23">
        <f>+'Datos M2'!AF190</f>
        <v>105.86666666666666</v>
      </c>
      <c r="D190" s="23">
        <f>+'Datos M3'!AF190</f>
        <v>0</v>
      </c>
      <c r="E190" s="23">
        <f>+'Datos M4'!AF190</f>
        <v>61.8</v>
      </c>
      <c r="F190" s="23">
        <f>+'Datos M5'!AF190</f>
        <v>54.1</v>
      </c>
      <c r="G190" s="23">
        <f>+'Datos M6'!AF190</f>
        <v>62.733333333333334</v>
      </c>
      <c r="H190" s="23">
        <f>+'Datos M7'!AF190</f>
        <v>0</v>
      </c>
      <c r="I190" s="23">
        <f>+'Datos M8'!AF190</f>
        <v>43.7</v>
      </c>
      <c r="J190" s="23">
        <f>+'Datos M9'!AF190</f>
        <v>49.233333333333334</v>
      </c>
      <c r="K190" s="23">
        <f>+'Datos M10'!AF190</f>
        <v>48.3</v>
      </c>
      <c r="L190" s="20"/>
    </row>
    <row r="191" spans="1:12" x14ac:dyDescent="0.35">
      <c r="A191" s="22" t="s">
        <v>150</v>
      </c>
      <c r="B191" s="23">
        <f>+'Datos M1'!AF191</f>
        <v>0</v>
      </c>
      <c r="C191" s="23">
        <f>+'Datos M2'!AF191</f>
        <v>0</v>
      </c>
      <c r="D191" s="23">
        <f>+'Datos M3'!AF191</f>
        <v>60.233333333333334</v>
      </c>
      <c r="E191" s="23">
        <f>+'Datos M4'!AF191</f>
        <v>75.966666666666669</v>
      </c>
      <c r="F191" s="23">
        <f>+'Datos M5'!AF191</f>
        <v>40.033333333333331</v>
      </c>
      <c r="G191" s="23">
        <f>+'Datos M6'!AF191</f>
        <v>47.93333333333333</v>
      </c>
      <c r="H191" s="23">
        <f>+'Datos M7'!AF191</f>
        <v>0</v>
      </c>
      <c r="I191" s="23">
        <f>+'Datos M8'!AF191</f>
        <v>68.599999999999994</v>
      </c>
      <c r="J191" s="23">
        <f>+'Datos M9'!AF191</f>
        <v>53.533333333333331</v>
      </c>
      <c r="K191" s="23">
        <f>+'Datos M10'!AF191</f>
        <v>59.133333333333333</v>
      </c>
      <c r="L191" s="20"/>
    </row>
    <row r="192" spans="1:12" x14ac:dyDescent="0.35">
      <c r="A192" s="22" t="s">
        <v>159</v>
      </c>
      <c r="B192" s="23">
        <f>+'Datos M1'!AF192</f>
        <v>0</v>
      </c>
      <c r="C192" s="23">
        <f>+'Datos M2'!AF192</f>
        <v>0</v>
      </c>
      <c r="D192" s="23">
        <f>+'Datos M3'!AF192</f>
        <v>84.933333333333337</v>
      </c>
      <c r="E192" s="23">
        <f>+'Datos M4'!AF192</f>
        <v>47.633333333333333</v>
      </c>
      <c r="F192" s="23">
        <f>+'Datos M5'!AF192</f>
        <v>36.233333333333334</v>
      </c>
      <c r="G192" s="23">
        <f>+'Datos M6'!AF192</f>
        <v>58.833333333333336</v>
      </c>
      <c r="H192" s="23">
        <f>+'Datos M7'!AF192</f>
        <v>0</v>
      </c>
      <c r="I192" s="23">
        <f>+'Datos M8'!AF192</f>
        <v>48.4</v>
      </c>
      <c r="J192" s="23">
        <f>+'Datos M9'!AF192</f>
        <v>71.333333333333329</v>
      </c>
      <c r="K192" s="23">
        <f>+'Datos M10'!AF192</f>
        <v>38.333333333333336</v>
      </c>
      <c r="L192" s="20"/>
    </row>
    <row r="193" spans="1:12" x14ac:dyDescent="0.35">
      <c r="A193" s="22" t="s">
        <v>151</v>
      </c>
      <c r="B193" s="23">
        <f>+'Datos M1'!AF193</f>
        <v>0</v>
      </c>
      <c r="C193" s="23">
        <f>+'Datos M2'!AF193</f>
        <v>0</v>
      </c>
      <c r="D193" s="23">
        <f>+'Datos M3'!AF193</f>
        <v>85.533333333333331</v>
      </c>
      <c r="E193" s="23">
        <f>+'Datos M4'!AF193</f>
        <v>51.8</v>
      </c>
      <c r="F193" s="23">
        <f>+'Datos M5'!AF193</f>
        <v>61.2</v>
      </c>
      <c r="G193" s="23">
        <f>+'Datos M6'!AF193</f>
        <v>39.633333333333333</v>
      </c>
      <c r="H193" s="23">
        <f>+'Datos M7'!AF193</f>
        <v>0</v>
      </c>
      <c r="I193" s="23">
        <f>+'Datos M8'!AF193</f>
        <v>89.4</v>
      </c>
      <c r="J193" s="23">
        <f>+'Datos M9'!AF193</f>
        <v>35.299999999999997</v>
      </c>
      <c r="K193" s="23">
        <f>+'Datos M10'!AF193</f>
        <v>52.633333333333333</v>
      </c>
      <c r="L193" s="20"/>
    </row>
    <row r="194" spans="1:12" x14ac:dyDescent="0.35">
      <c r="A194" s="22" t="s">
        <v>152</v>
      </c>
      <c r="B194" s="23">
        <f>+'Datos M1'!AF194</f>
        <v>0</v>
      </c>
      <c r="C194" s="23">
        <f>+'Datos M2'!AF194</f>
        <v>56.06666666666667</v>
      </c>
      <c r="D194" s="23">
        <f>+'Datos M3'!AF194</f>
        <v>77.2</v>
      </c>
      <c r="E194" s="23">
        <f>+'Datos M4'!AF194</f>
        <v>61.366666666666667</v>
      </c>
      <c r="F194" s="23">
        <f>+'Datos M5'!AF194</f>
        <v>42.666666666666664</v>
      </c>
      <c r="G194" s="23">
        <f>+'Datos M6'!AF194</f>
        <v>57.133333333333333</v>
      </c>
      <c r="H194" s="23">
        <f>+'Datos M7'!AF194</f>
        <v>0</v>
      </c>
      <c r="I194" s="23">
        <f>+'Datos M8'!AF194</f>
        <v>63.06666666666667</v>
      </c>
      <c r="J194" s="23">
        <f>+'Datos M9'!AF194</f>
        <v>63.133333333333333</v>
      </c>
      <c r="K194" s="23">
        <f>+'Datos M10'!AF194</f>
        <v>38.633333333333333</v>
      </c>
      <c r="L194" s="20"/>
    </row>
    <row r="195" spans="1:12" x14ac:dyDescent="0.35">
      <c r="A195" s="22" t="s">
        <v>153</v>
      </c>
      <c r="B195" s="23">
        <f>+'Datos M1'!AF195</f>
        <v>0</v>
      </c>
      <c r="C195" s="23">
        <f>+'Datos M2'!AF195</f>
        <v>0</v>
      </c>
      <c r="D195" s="23">
        <f>+'Datos M3'!AF195</f>
        <v>51.633333333333333</v>
      </c>
      <c r="E195" s="23">
        <f>+'Datos M4'!AF195</f>
        <v>41.1</v>
      </c>
      <c r="F195" s="23">
        <f>+'Datos M5'!AF195</f>
        <v>60.466666666666669</v>
      </c>
      <c r="G195" s="23">
        <f>+'Datos M6'!AF195</f>
        <v>0</v>
      </c>
      <c r="H195" s="23">
        <f>+'Datos M7'!AF195</f>
        <v>0</v>
      </c>
      <c r="I195" s="23">
        <f>+'Datos M8'!AF195</f>
        <v>43.4</v>
      </c>
      <c r="J195" s="23">
        <f>+'Datos M9'!AF195</f>
        <v>42.06666666666667</v>
      </c>
      <c r="K195" s="23">
        <f>+'Datos M10'!AF195</f>
        <v>37.233333333333334</v>
      </c>
      <c r="L195" s="20"/>
    </row>
    <row r="196" spans="1:12" x14ac:dyDescent="0.35">
      <c r="A196" s="22" t="s">
        <v>193</v>
      </c>
      <c r="B196" s="23">
        <f>+'Datos M1'!AF196</f>
        <v>0</v>
      </c>
      <c r="C196" s="23">
        <f>+'Datos M2'!AF196</f>
        <v>0</v>
      </c>
      <c r="D196" s="23">
        <f>+'Datos M3'!AF196</f>
        <v>76.433333333333337</v>
      </c>
      <c r="E196" s="23">
        <f>+'Datos M4'!AF196</f>
        <v>53.233333333333334</v>
      </c>
      <c r="F196" s="23">
        <f>+'Datos M5'!AF196</f>
        <v>45.133333333333333</v>
      </c>
      <c r="G196" s="23">
        <f>+'Datos M6'!AF196</f>
        <v>70.533333333333331</v>
      </c>
      <c r="H196" s="23">
        <f>+'Datos M7'!AF196</f>
        <v>0</v>
      </c>
      <c r="I196" s="23">
        <f>+'Datos M8'!AF196</f>
        <v>50.43333333333333</v>
      </c>
      <c r="J196" s="23">
        <f>+'Datos M9'!AF196</f>
        <v>59.466666666666669</v>
      </c>
      <c r="K196" s="23">
        <f>+'Datos M10'!AF196</f>
        <v>46.766666666666666</v>
      </c>
      <c r="L196" s="20"/>
    </row>
    <row r="197" spans="1:12" x14ac:dyDescent="0.35">
      <c r="A197" s="22" t="s">
        <v>154</v>
      </c>
      <c r="B197" s="23">
        <f>+'Datos M1'!AF197</f>
        <v>0</v>
      </c>
      <c r="C197" s="23">
        <f>+'Datos M2'!AF197</f>
        <v>56.233333333333334</v>
      </c>
      <c r="D197" s="23">
        <f>+'Datos M3'!AF197</f>
        <v>70.400000000000006</v>
      </c>
      <c r="E197" s="23">
        <f>+'Datos M4'!AF197</f>
        <v>61.3</v>
      </c>
      <c r="F197" s="23">
        <f>+'Datos M5'!AF197</f>
        <v>66.233333333333334</v>
      </c>
      <c r="G197" s="23">
        <f>+'Datos M6'!AF197</f>
        <v>50.6</v>
      </c>
      <c r="H197" s="23">
        <f>+'Datos M7'!AF197</f>
        <v>0</v>
      </c>
      <c r="I197" s="23">
        <f>+'Datos M8'!AF197</f>
        <v>37.866666666666667</v>
      </c>
      <c r="J197" s="23">
        <f>+'Datos M9'!AF197</f>
        <v>70.3</v>
      </c>
      <c r="K197" s="23">
        <f>+'Datos M10'!AF197</f>
        <v>38.166666666666664</v>
      </c>
      <c r="L197" s="20"/>
    </row>
    <row r="198" spans="1:12" x14ac:dyDescent="0.35">
      <c r="A198" s="22" t="s">
        <v>155</v>
      </c>
      <c r="B198" s="23">
        <f>+'Datos M1'!AF198</f>
        <v>0</v>
      </c>
      <c r="C198" s="23">
        <f>+'Datos M2'!AF198</f>
        <v>0</v>
      </c>
      <c r="D198" s="23">
        <f>+'Datos M3'!AF198</f>
        <v>80.63333333333334</v>
      </c>
      <c r="E198" s="23">
        <f>+'Datos M4'!AF198</f>
        <v>52.166666666666664</v>
      </c>
      <c r="F198" s="23">
        <f>+'Datos M5'!AF198</f>
        <v>73.733333333333334</v>
      </c>
      <c r="G198" s="23">
        <f>+'Datos M6'!AF198</f>
        <v>65.766666666666666</v>
      </c>
      <c r="H198" s="23">
        <f>+'Datos M7'!AF198</f>
        <v>0</v>
      </c>
      <c r="I198" s="23">
        <f>+'Datos M8'!AF198</f>
        <v>62.93333333333333</v>
      </c>
      <c r="J198" s="23">
        <f>+'Datos M9'!AF198</f>
        <v>54.033333333333331</v>
      </c>
      <c r="K198" s="23">
        <f>+'Datos M10'!AF198</f>
        <v>45.233333333333334</v>
      </c>
      <c r="L198" s="20"/>
    </row>
    <row r="199" spans="1:12" x14ac:dyDescent="0.35">
      <c r="A199" s="22" t="s">
        <v>163</v>
      </c>
      <c r="B199" s="23">
        <f>+'Datos M1'!AF199</f>
        <v>0</v>
      </c>
      <c r="C199" s="23">
        <f>+'Datos M2'!AF199</f>
        <v>68.766666666666666</v>
      </c>
      <c r="D199" s="23">
        <f>+'Datos M3'!AF199</f>
        <v>60.2</v>
      </c>
      <c r="E199" s="23">
        <f>+'Datos M4'!AF199</f>
        <v>65.266666666666666</v>
      </c>
      <c r="F199" s="23">
        <f>+'Datos M5'!AF199</f>
        <v>43.966666666666669</v>
      </c>
      <c r="G199" s="23">
        <f>+'Datos M6'!AF199</f>
        <v>55.466666666666669</v>
      </c>
      <c r="H199" s="23">
        <f>+'Datos M7'!AF199</f>
        <v>0</v>
      </c>
      <c r="I199" s="23">
        <f>+'Datos M8'!AF199</f>
        <v>49.366666666666667</v>
      </c>
      <c r="J199" s="23">
        <f>+'Datos M9'!AF199</f>
        <v>66.233333333333334</v>
      </c>
      <c r="K199" s="23">
        <f>+'Datos M10'!AF199</f>
        <v>47.366666666666667</v>
      </c>
      <c r="L199" s="20"/>
    </row>
    <row r="200" spans="1:12" x14ac:dyDescent="0.35">
      <c r="A200" s="22" t="s">
        <v>194</v>
      </c>
      <c r="B200" s="23">
        <f>+'Datos M1'!AF200</f>
        <v>0</v>
      </c>
      <c r="C200" s="23">
        <f>+'Datos M2'!AF200</f>
        <v>52.366666666666667</v>
      </c>
      <c r="D200" s="23">
        <f>+'Datos M3'!AF200</f>
        <v>0</v>
      </c>
      <c r="E200" s="23">
        <f>+'Datos M4'!AF200</f>
        <v>37.833333333333336</v>
      </c>
      <c r="F200" s="23">
        <f>+'Datos M5'!AF200</f>
        <v>54.833333333333336</v>
      </c>
      <c r="G200" s="23">
        <f>+'Datos M6'!AF200</f>
        <v>40.766666666666666</v>
      </c>
      <c r="H200" s="23">
        <f>+'Datos M7'!AF200</f>
        <v>0</v>
      </c>
      <c r="I200" s="23">
        <f>+'Datos M8'!AF200</f>
        <v>49.966666666666669</v>
      </c>
      <c r="J200" s="23">
        <f>+'Datos M9'!AF200</f>
        <v>64.63333333333334</v>
      </c>
      <c r="K200" s="23">
        <f>+'Datos M10'!AF200</f>
        <v>40.9</v>
      </c>
      <c r="L200" s="20"/>
    </row>
    <row r="201" spans="1:12" x14ac:dyDescent="0.35">
      <c r="A201" s="22" t="s">
        <v>157</v>
      </c>
      <c r="B201" s="23">
        <f>+'Datos M1'!AF201</f>
        <v>0</v>
      </c>
      <c r="C201" s="23">
        <f>+'Datos M2'!AF201</f>
        <v>94.2</v>
      </c>
      <c r="D201" s="23">
        <f>+'Datos M3'!AF201</f>
        <v>66.400000000000006</v>
      </c>
      <c r="E201" s="23">
        <f>+'Datos M4'!AF201</f>
        <v>59.2</v>
      </c>
      <c r="F201" s="23">
        <f>+'Datos M5'!AF201</f>
        <v>64.2</v>
      </c>
      <c r="G201" s="23">
        <f>+'Datos M6'!AF201</f>
        <v>29.933333333333334</v>
      </c>
      <c r="H201" s="23">
        <f>+'Datos M7'!AF201</f>
        <v>0</v>
      </c>
      <c r="I201" s="23">
        <f>+'Datos M8'!AF201</f>
        <v>79.066666666666663</v>
      </c>
      <c r="J201" s="23">
        <f>+'Datos M9'!AF201</f>
        <v>44.7</v>
      </c>
      <c r="K201" s="23">
        <f>+'Datos M10'!AF201</f>
        <v>45.06666666666667</v>
      </c>
      <c r="L201" s="20"/>
    </row>
    <row r="202" spans="1:12" x14ac:dyDescent="0.35">
      <c r="A202" s="22" t="s">
        <v>158</v>
      </c>
      <c r="B202" s="23">
        <f>+'Datos M1'!AF202</f>
        <v>0</v>
      </c>
      <c r="C202" s="23">
        <f>+'Datos M2'!AF202</f>
        <v>0</v>
      </c>
      <c r="D202" s="23">
        <f>+'Datos M3'!AF202</f>
        <v>63.56666666666667</v>
      </c>
      <c r="E202" s="23">
        <f>+'Datos M4'!AF202</f>
        <v>0</v>
      </c>
      <c r="F202" s="23">
        <f>+'Datos M5'!AF202</f>
        <v>38.466666666666669</v>
      </c>
      <c r="G202" s="23">
        <f>+'Datos M6'!AF202</f>
        <v>40.266666666666666</v>
      </c>
      <c r="H202" s="23">
        <f>+'Datos M7'!AF202</f>
        <v>0</v>
      </c>
      <c r="I202" s="23">
        <f>+'Datos M8'!AF202</f>
        <v>68.933333333333337</v>
      </c>
      <c r="J202" s="23">
        <f>+'Datos M9'!AF202</f>
        <v>44.3</v>
      </c>
      <c r="K202" s="23">
        <f>+'Datos M10'!AF202</f>
        <v>54.366666666666667</v>
      </c>
      <c r="L202" s="20"/>
    </row>
  </sheetData>
  <mergeCells count="1">
    <mergeCell ref="A1:K1"/>
  </mergeCells>
  <phoneticPr fontId="4" type="noConversion"/>
  <conditionalFormatting sqref="A1:K20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77A0-E411-4859-8534-F1768DA1CC9D}">
  <dimension ref="A1:AF202"/>
  <sheetViews>
    <sheetView zoomScale="55" zoomScaleNormal="5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54</v>
      </c>
      <c r="C3" s="1">
        <v>87</v>
      </c>
      <c r="D3" s="1">
        <v>37</v>
      </c>
      <c r="E3" s="1">
        <v>88</v>
      </c>
      <c r="F3" s="1">
        <v>34</v>
      </c>
      <c r="G3" s="1">
        <v>63</v>
      </c>
      <c r="H3" s="1">
        <v>81</v>
      </c>
      <c r="I3" s="1">
        <v>16</v>
      </c>
      <c r="J3" s="1">
        <v>36</v>
      </c>
      <c r="K3" s="1">
        <v>70</v>
      </c>
      <c r="L3" s="1">
        <v>41</v>
      </c>
      <c r="M3" s="1">
        <v>43</v>
      </c>
      <c r="N3" s="1">
        <v>84</v>
      </c>
      <c r="O3" s="1">
        <v>33</v>
      </c>
      <c r="P3" s="1">
        <v>17</v>
      </c>
      <c r="Q3" s="1">
        <v>85</v>
      </c>
      <c r="R3" s="1">
        <v>70</v>
      </c>
      <c r="S3" s="1">
        <v>55</v>
      </c>
      <c r="T3" s="1">
        <v>23</v>
      </c>
      <c r="U3" s="1">
        <v>19</v>
      </c>
      <c r="V3" s="1">
        <v>34</v>
      </c>
      <c r="W3" s="1">
        <v>59</v>
      </c>
      <c r="X3" s="1">
        <v>61</v>
      </c>
      <c r="Y3" s="1">
        <v>39</v>
      </c>
      <c r="Z3" s="1">
        <v>75</v>
      </c>
      <c r="AA3" s="1">
        <v>51</v>
      </c>
      <c r="AB3" s="1">
        <v>23</v>
      </c>
      <c r="AC3" s="1">
        <v>92</v>
      </c>
      <c r="AD3" s="1">
        <v>31</v>
      </c>
      <c r="AE3" s="1">
        <v>29</v>
      </c>
      <c r="AF3" s="18">
        <f>AVERAGE(B3:AE3)</f>
        <v>51</v>
      </c>
    </row>
    <row r="4" spans="1:32" x14ac:dyDescent="0.35">
      <c r="A4" s="1" t="s">
        <v>166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8">
        <f t="shared" ref="AF4:AF67" si="0">AVERAGE(B4:AE4)</f>
        <v>0</v>
      </c>
    </row>
    <row r="5" spans="1:32" x14ac:dyDescent="0.35">
      <c r="A5" s="1" t="s">
        <v>167</v>
      </c>
      <c r="B5" s="1">
        <v>17</v>
      </c>
      <c r="C5" s="1">
        <v>34</v>
      </c>
      <c r="D5" s="1">
        <v>25</v>
      </c>
      <c r="E5" s="1">
        <v>25</v>
      </c>
      <c r="F5" s="1">
        <v>36</v>
      </c>
      <c r="G5" s="1">
        <v>30</v>
      </c>
      <c r="H5" s="1">
        <v>38</v>
      </c>
      <c r="I5" s="1">
        <v>28</v>
      </c>
      <c r="J5" s="1">
        <v>33</v>
      </c>
      <c r="K5" s="1">
        <v>26</v>
      </c>
      <c r="L5" s="1">
        <v>32</v>
      </c>
      <c r="M5" s="1">
        <v>28</v>
      </c>
      <c r="N5" s="1">
        <v>13</v>
      </c>
      <c r="O5" s="1">
        <v>35</v>
      </c>
      <c r="P5" s="1">
        <v>20</v>
      </c>
      <c r="Q5" s="1">
        <v>39</v>
      </c>
      <c r="R5" s="1">
        <v>36</v>
      </c>
      <c r="S5" s="1">
        <v>17</v>
      </c>
      <c r="T5" s="1">
        <v>29</v>
      </c>
      <c r="U5" s="1">
        <v>37</v>
      </c>
      <c r="V5" s="1">
        <v>40</v>
      </c>
      <c r="W5" s="1">
        <v>28</v>
      </c>
      <c r="X5" s="1">
        <v>36</v>
      </c>
      <c r="Y5" s="1">
        <v>20</v>
      </c>
      <c r="Z5" s="1">
        <v>11</v>
      </c>
      <c r="AA5" s="1">
        <v>36</v>
      </c>
      <c r="AB5" s="1">
        <v>34</v>
      </c>
      <c r="AC5" s="1">
        <v>16</v>
      </c>
      <c r="AD5" s="1">
        <v>40</v>
      </c>
      <c r="AE5" s="1">
        <v>23</v>
      </c>
      <c r="AF5" s="18">
        <f t="shared" si="0"/>
        <v>28.733333333333334</v>
      </c>
    </row>
    <row r="6" spans="1:32" x14ac:dyDescent="0.35">
      <c r="A6" s="1" t="s">
        <v>211</v>
      </c>
      <c r="B6" s="1">
        <v>0</v>
      </c>
      <c r="C6" s="1">
        <v>20</v>
      </c>
      <c r="D6" s="1">
        <v>19</v>
      </c>
      <c r="E6" s="1">
        <v>26</v>
      </c>
      <c r="F6" s="1">
        <v>18</v>
      </c>
      <c r="G6" s="1">
        <v>22</v>
      </c>
      <c r="H6" s="1">
        <v>32</v>
      </c>
      <c r="I6" s="1">
        <v>16</v>
      </c>
      <c r="J6" s="1">
        <v>18</v>
      </c>
      <c r="K6" s="1">
        <v>34</v>
      </c>
      <c r="L6" s="1">
        <v>18</v>
      </c>
      <c r="M6" s="1">
        <v>16</v>
      </c>
      <c r="N6" s="1">
        <v>32</v>
      </c>
      <c r="O6" s="1">
        <v>20</v>
      </c>
      <c r="P6" s="1">
        <v>36</v>
      </c>
      <c r="Q6" s="1">
        <v>23</v>
      </c>
      <c r="R6" s="1">
        <v>16</v>
      </c>
      <c r="S6" s="1">
        <v>16</v>
      </c>
      <c r="T6" s="1">
        <v>35</v>
      </c>
      <c r="U6" s="1">
        <v>33</v>
      </c>
      <c r="V6" s="1">
        <v>36</v>
      </c>
      <c r="W6" s="1">
        <v>33</v>
      </c>
      <c r="X6" s="1">
        <v>18</v>
      </c>
      <c r="Y6" s="1">
        <v>29</v>
      </c>
      <c r="Z6" s="1">
        <v>32</v>
      </c>
      <c r="AA6" s="1">
        <v>15</v>
      </c>
      <c r="AB6" s="1">
        <v>35</v>
      </c>
      <c r="AC6" s="1">
        <v>19</v>
      </c>
      <c r="AD6" s="1">
        <v>15</v>
      </c>
      <c r="AE6" s="1">
        <v>24</v>
      </c>
      <c r="AF6" s="18">
        <f t="shared" si="0"/>
        <v>23.533333333333335</v>
      </c>
    </row>
    <row r="7" spans="1:32" x14ac:dyDescent="0.35">
      <c r="A7" s="1" t="s">
        <v>168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8">
        <f t="shared" si="0"/>
        <v>0</v>
      </c>
    </row>
    <row r="8" spans="1:32" x14ac:dyDescent="0.35">
      <c r="A8" s="1" t="s">
        <v>169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8">
        <f t="shared" si="0"/>
        <v>0</v>
      </c>
    </row>
    <row r="9" spans="1:32" x14ac:dyDescent="0.35">
      <c r="A9" s="1" t="s">
        <v>170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8">
        <f t="shared" si="0"/>
        <v>0</v>
      </c>
    </row>
    <row r="10" spans="1:32" x14ac:dyDescent="0.35">
      <c r="A10" s="1" t="s">
        <v>4</v>
      </c>
      <c r="B10" s="1">
        <v>41</v>
      </c>
      <c r="C10" s="1">
        <v>16</v>
      </c>
      <c r="D10" s="1">
        <v>43</v>
      </c>
      <c r="E10" s="1">
        <v>14</v>
      </c>
      <c r="F10" s="1">
        <v>32</v>
      </c>
      <c r="G10" s="1">
        <v>34</v>
      </c>
      <c r="H10" s="1">
        <v>23</v>
      </c>
      <c r="I10" s="1">
        <v>16</v>
      </c>
      <c r="J10" s="1">
        <v>33</v>
      </c>
      <c r="K10" s="1">
        <v>42</v>
      </c>
      <c r="L10" s="1">
        <v>37</v>
      </c>
      <c r="M10" s="1">
        <v>15</v>
      </c>
      <c r="N10" s="1">
        <v>10</v>
      </c>
      <c r="O10" s="1">
        <v>29</v>
      </c>
      <c r="P10" s="1">
        <v>32</v>
      </c>
      <c r="Q10" s="1">
        <v>45</v>
      </c>
      <c r="R10" s="1">
        <v>47</v>
      </c>
      <c r="S10" s="1">
        <v>26</v>
      </c>
      <c r="T10" s="1">
        <v>43</v>
      </c>
      <c r="U10" s="1">
        <v>36</v>
      </c>
      <c r="V10" s="1">
        <v>10</v>
      </c>
      <c r="W10" s="1">
        <v>25</v>
      </c>
      <c r="X10" s="1">
        <v>37</v>
      </c>
      <c r="Y10" s="1">
        <v>15</v>
      </c>
      <c r="Z10" s="1">
        <v>16</v>
      </c>
      <c r="AA10" s="1">
        <v>43</v>
      </c>
      <c r="AB10" s="1">
        <v>39</v>
      </c>
      <c r="AC10" s="1">
        <v>24</v>
      </c>
      <c r="AD10" s="1">
        <v>14</v>
      </c>
      <c r="AE10" s="1">
        <v>21</v>
      </c>
      <c r="AF10" s="18">
        <f t="shared" si="0"/>
        <v>28.6</v>
      </c>
    </row>
    <row r="11" spans="1:32" x14ac:dyDescent="0.35">
      <c r="A11" s="1" t="s">
        <v>5</v>
      </c>
      <c r="B11" s="1">
        <v>32</v>
      </c>
      <c r="C11" s="1">
        <v>23</v>
      </c>
      <c r="D11" s="1">
        <v>27</v>
      </c>
      <c r="E11" s="1">
        <v>49</v>
      </c>
      <c r="F11" s="1">
        <v>52</v>
      </c>
      <c r="G11" s="1">
        <v>40</v>
      </c>
      <c r="H11" s="1">
        <v>37</v>
      </c>
      <c r="I11" s="1">
        <v>27</v>
      </c>
      <c r="J11" s="1">
        <v>34</v>
      </c>
      <c r="K11" s="1">
        <v>43</v>
      </c>
      <c r="L11" s="1">
        <v>24</v>
      </c>
      <c r="M11" s="1">
        <v>31</v>
      </c>
      <c r="N11" s="1">
        <v>48</v>
      </c>
      <c r="O11" s="1">
        <v>28</v>
      </c>
      <c r="P11" s="1">
        <v>50</v>
      </c>
      <c r="Q11" s="1">
        <v>43</v>
      </c>
      <c r="R11" s="1">
        <v>41</v>
      </c>
      <c r="S11" s="1">
        <v>29</v>
      </c>
      <c r="T11" s="1">
        <v>28</v>
      </c>
      <c r="U11" s="1">
        <v>20</v>
      </c>
      <c r="V11" s="1">
        <v>26</v>
      </c>
      <c r="W11" s="1">
        <v>33</v>
      </c>
      <c r="X11" s="1">
        <v>25</v>
      </c>
      <c r="Y11" s="1">
        <v>19</v>
      </c>
      <c r="Z11" s="1">
        <v>22</v>
      </c>
      <c r="AA11" s="1">
        <v>37</v>
      </c>
      <c r="AB11" s="1">
        <v>33</v>
      </c>
      <c r="AC11" s="1">
        <v>51</v>
      </c>
      <c r="AD11" s="1">
        <v>19</v>
      </c>
      <c r="AE11" s="1">
        <v>22</v>
      </c>
      <c r="AF11" s="18">
        <f t="shared" si="0"/>
        <v>33.1</v>
      </c>
    </row>
    <row r="12" spans="1:32" x14ac:dyDescent="0.35">
      <c r="A12" s="1" t="s">
        <v>161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8">
        <f t="shared" si="0"/>
        <v>0</v>
      </c>
    </row>
    <row r="13" spans="1:32" x14ac:dyDescent="0.35">
      <c r="A13" s="1" t="s">
        <v>212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8">
        <f t="shared" si="0"/>
        <v>0</v>
      </c>
    </row>
    <row r="14" spans="1:32" x14ac:dyDescent="0.35">
      <c r="A14" s="1" t="s">
        <v>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8">
        <f t="shared" si="0"/>
        <v>0</v>
      </c>
    </row>
    <row r="15" spans="1:32" x14ac:dyDescent="0.35">
      <c r="A15" s="1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8">
        <f t="shared" si="0"/>
        <v>0</v>
      </c>
    </row>
    <row r="16" spans="1:32" x14ac:dyDescent="0.35">
      <c r="A16" s="1" t="s">
        <v>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8">
        <f t="shared" si="0"/>
        <v>0</v>
      </c>
    </row>
    <row r="17" spans="1:32" x14ac:dyDescent="0.35">
      <c r="A17" s="1" t="s">
        <v>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8">
        <f t="shared" si="0"/>
        <v>0</v>
      </c>
    </row>
    <row r="18" spans="1:32" x14ac:dyDescent="0.35">
      <c r="A18" s="1" t="s">
        <v>213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8">
        <f t="shared" si="0"/>
        <v>0</v>
      </c>
    </row>
    <row r="19" spans="1:32" x14ac:dyDescent="0.35">
      <c r="A19" s="1" t="s">
        <v>171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8">
        <f t="shared" si="0"/>
        <v>0</v>
      </c>
    </row>
    <row r="20" spans="1:32" x14ac:dyDescent="0.35">
      <c r="A20" s="1" t="s">
        <v>214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8">
        <f t="shared" si="0"/>
        <v>0</v>
      </c>
    </row>
    <row r="21" spans="1:32" x14ac:dyDescent="0.35">
      <c r="A21" s="1" t="s">
        <v>10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8">
        <f t="shared" si="0"/>
        <v>0</v>
      </c>
    </row>
    <row r="22" spans="1:32" x14ac:dyDescent="0.35">
      <c r="A22" s="1" t="s">
        <v>11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8">
        <f t="shared" si="0"/>
        <v>0</v>
      </c>
    </row>
    <row r="23" spans="1:32" x14ac:dyDescent="0.35">
      <c r="A23" s="1" t="s">
        <v>12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8">
        <f t="shared" si="0"/>
        <v>0</v>
      </c>
    </row>
    <row r="24" spans="1:32" x14ac:dyDescent="0.35">
      <c r="A24" s="1" t="s">
        <v>13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8">
        <f t="shared" si="0"/>
        <v>0</v>
      </c>
    </row>
    <row r="25" spans="1:32" x14ac:dyDescent="0.35">
      <c r="A25" s="1" t="s">
        <v>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8">
        <f t="shared" si="0"/>
        <v>0</v>
      </c>
    </row>
    <row r="26" spans="1:32" x14ac:dyDescent="0.35">
      <c r="A26" s="1" t="s">
        <v>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8">
        <f t="shared" si="0"/>
        <v>0</v>
      </c>
    </row>
    <row r="27" spans="1:32" x14ac:dyDescent="0.35">
      <c r="A27" s="1" t="s">
        <v>172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8">
        <f t="shared" si="0"/>
        <v>0</v>
      </c>
    </row>
    <row r="28" spans="1:32" x14ac:dyDescent="0.35">
      <c r="A28" s="1" t="s">
        <v>16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8">
        <f t="shared" si="0"/>
        <v>0</v>
      </c>
    </row>
    <row r="29" spans="1:32" x14ac:dyDescent="0.35">
      <c r="A29" s="1" t="s">
        <v>195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8">
        <f t="shared" si="0"/>
        <v>0</v>
      </c>
    </row>
    <row r="30" spans="1:32" x14ac:dyDescent="0.35">
      <c r="A30" s="1" t="s">
        <v>173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8">
        <f t="shared" si="0"/>
        <v>0</v>
      </c>
    </row>
    <row r="31" spans="1:32" x14ac:dyDescent="0.35">
      <c r="A31" s="1" t="s">
        <v>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8">
        <f t="shared" si="0"/>
        <v>0</v>
      </c>
    </row>
    <row r="32" spans="1:32" x14ac:dyDescent="0.35">
      <c r="A32" s="1" t="s">
        <v>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8">
        <f t="shared" si="0"/>
        <v>0</v>
      </c>
    </row>
    <row r="33" spans="1:32" x14ac:dyDescent="0.35">
      <c r="A33" s="1" t="s">
        <v>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8">
        <f t="shared" si="0"/>
        <v>0</v>
      </c>
    </row>
    <row r="34" spans="1:32" x14ac:dyDescent="0.35">
      <c r="A34" s="1" t="s">
        <v>174</v>
      </c>
      <c r="B34" s="1">
        <v>44</v>
      </c>
      <c r="C34" s="1">
        <v>62</v>
      </c>
      <c r="D34" s="1">
        <v>67</v>
      </c>
      <c r="E34" s="1">
        <v>54</v>
      </c>
      <c r="F34" s="1">
        <v>46</v>
      </c>
      <c r="G34" s="1">
        <v>47</v>
      </c>
      <c r="H34" s="1">
        <v>38</v>
      </c>
      <c r="I34" s="1">
        <v>59</v>
      </c>
      <c r="J34" s="1">
        <v>54</v>
      </c>
      <c r="K34" s="1">
        <v>37</v>
      </c>
      <c r="L34" s="1">
        <v>48</v>
      </c>
      <c r="M34" s="1">
        <v>49</v>
      </c>
      <c r="N34" s="1">
        <v>64</v>
      </c>
      <c r="O34" s="1">
        <v>59</v>
      </c>
      <c r="P34" s="1">
        <v>46</v>
      </c>
      <c r="Q34" s="1">
        <v>68</v>
      </c>
      <c r="R34" s="1">
        <v>30</v>
      </c>
      <c r="S34" s="1">
        <v>54</v>
      </c>
      <c r="T34" s="1">
        <v>32</v>
      </c>
      <c r="U34" s="1">
        <v>50</v>
      </c>
      <c r="V34" s="1">
        <v>36</v>
      </c>
      <c r="W34" s="1">
        <v>30</v>
      </c>
      <c r="X34" s="1">
        <v>52</v>
      </c>
      <c r="Y34" s="1">
        <v>48</v>
      </c>
      <c r="Z34" s="1">
        <v>29</v>
      </c>
      <c r="AA34" s="1">
        <v>53</v>
      </c>
      <c r="AB34" s="1">
        <v>58</v>
      </c>
      <c r="AC34" s="1">
        <v>57</v>
      </c>
      <c r="AD34" s="1">
        <v>57</v>
      </c>
      <c r="AE34" s="1">
        <v>36</v>
      </c>
      <c r="AF34" s="18">
        <f t="shared" si="0"/>
        <v>48.8</v>
      </c>
    </row>
    <row r="35" spans="1:32" x14ac:dyDescent="0.35">
      <c r="A35" s="1" t="s">
        <v>20</v>
      </c>
      <c r="B35" s="1">
        <v>19</v>
      </c>
      <c r="C35" s="1">
        <v>23</v>
      </c>
      <c r="D35" s="1">
        <v>20</v>
      </c>
      <c r="E35" s="1">
        <v>23</v>
      </c>
      <c r="F35" s="1">
        <v>23</v>
      </c>
      <c r="G35" s="1">
        <v>25</v>
      </c>
      <c r="H35" s="1">
        <v>20</v>
      </c>
      <c r="I35" s="1">
        <v>21</v>
      </c>
      <c r="J35" s="1">
        <v>23</v>
      </c>
      <c r="K35" s="1">
        <v>25</v>
      </c>
      <c r="L35" s="1">
        <v>23</v>
      </c>
      <c r="M35" s="1">
        <v>25</v>
      </c>
      <c r="N35" s="1">
        <v>19</v>
      </c>
      <c r="O35" s="1">
        <v>21</v>
      </c>
      <c r="P35" s="1">
        <v>23</v>
      </c>
      <c r="Q35" s="1">
        <v>22</v>
      </c>
      <c r="R35" s="1">
        <v>25</v>
      </c>
      <c r="S35" s="1">
        <v>19</v>
      </c>
      <c r="T35" s="1">
        <v>19</v>
      </c>
      <c r="U35" s="1">
        <v>19</v>
      </c>
      <c r="V35" s="1">
        <v>21</v>
      </c>
      <c r="W35" s="1">
        <v>20</v>
      </c>
      <c r="X35" s="1">
        <v>23</v>
      </c>
      <c r="Y35" s="1">
        <v>21</v>
      </c>
      <c r="Z35" s="1">
        <v>21</v>
      </c>
      <c r="AA35" s="1">
        <v>22</v>
      </c>
      <c r="AB35" s="1">
        <v>20</v>
      </c>
      <c r="AC35" s="1">
        <v>24</v>
      </c>
      <c r="AD35" s="1">
        <v>21</v>
      </c>
      <c r="AE35" s="1">
        <v>22</v>
      </c>
      <c r="AF35" s="18">
        <f t="shared" si="0"/>
        <v>21.733333333333334</v>
      </c>
    </row>
    <row r="36" spans="1:32" x14ac:dyDescent="0.35">
      <c r="A36" s="1" t="s">
        <v>21</v>
      </c>
      <c r="B36" s="1">
        <v>83</v>
      </c>
      <c r="C36" s="1">
        <v>78</v>
      </c>
      <c r="D36" s="1">
        <v>73</v>
      </c>
      <c r="E36" s="1">
        <v>74</v>
      </c>
      <c r="F36" s="1">
        <v>68</v>
      </c>
      <c r="G36" s="1">
        <v>77</v>
      </c>
      <c r="H36" s="1">
        <v>68</v>
      </c>
      <c r="I36" s="1">
        <v>66</v>
      </c>
      <c r="J36" s="1">
        <v>79</v>
      </c>
      <c r="K36" s="1">
        <v>78</v>
      </c>
      <c r="L36" s="1">
        <v>84</v>
      </c>
      <c r="M36" s="1">
        <v>78</v>
      </c>
      <c r="N36" s="1">
        <v>76</v>
      </c>
      <c r="O36" s="1">
        <v>78</v>
      </c>
      <c r="P36" s="1">
        <v>83</v>
      </c>
      <c r="Q36" s="1">
        <v>81</v>
      </c>
      <c r="R36" s="1">
        <v>83</v>
      </c>
      <c r="S36" s="1">
        <v>75</v>
      </c>
      <c r="T36" s="1">
        <v>79</v>
      </c>
      <c r="U36" s="1">
        <v>69</v>
      </c>
      <c r="V36" s="1">
        <v>84</v>
      </c>
      <c r="W36" s="1">
        <v>76</v>
      </c>
      <c r="X36" s="1">
        <v>77</v>
      </c>
      <c r="Y36" s="1">
        <v>75</v>
      </c>
      <c r="Z36" s="1">
        <v>81</v>
      </c>
      <c r="AA36" s="1">
        <v>73</v>
      </c>
      <c r="AB36" s="1">
        <v>81</v>
      </c>
      <c r="AC36" s="1">
        <v>69</v>
      </c>
      <c r="AD36" s="1">
        <v>78</v>
      </c>
      <c r="AE36" s="1">
        <v>71</v>
      </c>
      <c r="AF36" s="18">
        <f t="shared" si="0"/>
        <v>76.5</v>
      </c>
    </row>
    <row r="37" spans="1:32" x14ac:dyDescent="0.35">
      <c r="A37" s="1" t="s">
        <v>22</v>
      </c>
      <c r="B37" s="1">
        <v>36</v>
      </c>
      <c r="C37" s="1">
        <v>22</v>
      </c>
      <c r="D37" s="1">
        <v>33</v>
      </c>
      <c r="E37" s="1">
        <v>28</v>
      </c>
      <c r="F37" s="1">
        <v>23</v>
      </c>
      <c r="G37" s="1">
        <v>36</v>
      </c>
      <c r="H37" s="1">
        <v>21</v>
      </c>
      <c r="I37" s="1">
        <v>31</v>
      </c>
      <c r="J37" s="1">
        <v>30</v>
      </c>
      <c r="K37" s="1">
        <v>29</v>
      </c>
      <c r="L37" s="1">
        <v>30</v>
      </c>
      <c r="M37" s="1">
        <v>28</v>
      </c>
      <c r="N37" s="1">
        <v>30</v>
      </c>
      <c r="O37" s="1">
        <v>18</v>
      </c>
      <c r="P37" s="1">
        <v>18</v>
      </c>
      <c r="Q37" s="1">
        <v>25</v>
      </c>
      <c r="R37" s="1">
        <v>24</v>
      </c>
      <c r="S37" s="1">
        <v>32</v>
      </c>
      <c r="T37" s="1">
        <v>31</v>
      </c>
      <c r="U37" s="1">
        <v>34</v>
      </c>
      <c r="V37" s="1">
        <v>35</v>
      </c>
      <c r="W37" s="1">
        <v>34</v>
      </c>
      <c r="X37" s="1">
        <v>32</v>
      </c>
      <c r="Y37" s="1">
        <v>29</v>
      </c>
      <c r="Z37" s="1">
        <v>20</v>
      </c>
      <c r="AA37" s="1">
        <v>28</v>
      </c>
      <c r="AB37" s="1">
        <v>29</v>
      </c>
      <c r="AC37" s="1">
        <v>22</v>
      </c>
      <c r="AD37" s="1">
        <v>24</v>
      </c>
      <c r="AE37" s="1">
        <v>30</v>
      </c>
      <c r="AF37" s="18">
        <f t="shared" si="0"/>
        <v>28.066666666666666</v>
      </c>
    </row>
    <row r="38" spans="1:32" x14ac:dyDescent="0.35">
      <c r="A38" s="1" t="s">
        <v>23</v>
      </c>
      <c r="B38" s="1">
        <v>18</v>
      </c>
      <c r="C38" s="1">
        <v>20</v>
      </c>
      <c r="D38" s="1">
        <v>11</v>
      </c>
      <c r="E38" s="1">
        <v>24</v>
      </c>
      <c r="F38" s="1">
        <v>13</v>
      </c>
      <c r="G38" s="1">
        <v>12</v>
      </c>
      <c r="H38" s="1">
        <v>17</v>
      </c>
      <c r="I38" s="1">
        <v>17</v>
      </c>
      <c r="J38" s="1">
        <v>13</v>
      </c>
      <c r="K38" s="1">
        <v>10</v>
      </c>
      <c r="L38" s="1">
        <v>9</v>
      </c>
      <c r="M38" s="1">
        <v>9</v>
      </c>
      <c r="N38" s="1">
        <v>19</v>
      </c>
      <c r="O38" s="1">
        <v>17</v>
      </c>
      <c r="P38" s="1">
        <v>20</v>
      </c>
      <c r="Q38" s="1">
        <v>18</v>
      </c>
      <c r="R38" s="1">
        <v>23</v>
      </c>
      <c r="S38" s="1">
        <v>16</v>
      </c>
      <c r="T38" s="1">
        <v>24</v>
      </c>
      <c r="U38" s="1">
        <v>16</v>
      </c>
      <c r="V38" s="1">
        <v>20</v>
      </c>
      <c r="W38" s="1">
        <v>9</v>
      </c>
      <c r="X38" s="1">
        <v>17</v>
      </c>
      <c r="Y38" s="1">
        <v>11</v>
      </c>
      <c r="Z38" s="1">
        <v>11</v>
      </c>
      <c r="AA38" s="1">
        <v>14</v>
      </c>
      <c r="AB38" s="1">
        <v>10</v>
      </c>
      <c r="AC38" s="1">
        <v>14</v>
      </c>
      <c r="AD38" s="1">
        <v>16</v>
      </c>
      <c r="AE38" s="1">
        <v>23</v>
      </c>
      <c r="AF38" s="18">
        <f t="shared" si="0"/>
        <v>15.7</v>
      </c>
    </row>
    <row r="39" spans="1:32" x14ac:dyDescent="0.35">
      <c r="A39" s="1" t="s">
        <v>24</v>
      </c>
      <c r="B39" s="1">
        <v>27</v>
      </c>
      <c r="C39" s="1">
        <v>29</v>
      </c>
      <c r="D39" s="1">
        <v>32</v>
      </c>
      <c r="E39" s="1">
        <v>25</v>
      </c>
      <c r="F39" s="1">
        <v>25</v>
      </c>
      <c r="G39" s="1">
        <v>32</v>
      </c>
      <c r="H39" s="1">
        <v>27</v>
      </c>
      <c r="I39" s="1">
        <v>28</v>
      </c>
      <c r="J39" s="1">
        <v>29</v>
      </c>
      <c r="K39" s="1">
        <v>28</v>
      </c>
      <c r="L39" s="1">
        <v>28</v>
      </c>
      <c r="M39" s="1">
        <v>32</v>
      </c>
      <c r="N39" s="1">
        <v>28</v>
      </c>
      <c r="O39" s="1">
        <v>30</v>
      </c>
      <c r="P39" s="1">
        <v>32</v>
      </c>
      <c r="Q39" s="1">
        <v>32</v>
      </c>
      <c r="R39" s="1">
        <v>30</v>
      </c>
      <c r="S39" s="1">
        <v>25</v>
      </c>
      <c r="T39" s="1">
        <v>33</v>
      </c>
      <c r="U39" s="1">
        <v>26</v>
      </c>
      <c r="V39" s="1">
        <v>31</v>
      </c>
      <c r="W39" s="1">
        <v>32</v>
      </c>
      <c r="X39" s="1">
        <v>30</v>
      </c>
      <c r="Y39" s="1">
        <v>32</v>
      </c>
      <c r="Z39" s="1">
        <v>30</v>
      </c>
      <c r="AA39" s="1">
        <v>32</v>
      </c>
      <c r="AB39" s="1">
        <v>30</v>
      </c>
      <c r="AC39" s="1">
        <v>33</v>
      </c>
      <c r="AD39" s="1">
        <v>26</v>
      </c>
      <c r="AE39" s="1">
        <v>31</v>
      </c>
      <c r="AF39" s="18">
        <f t="shared" si="0"/>
        <v>29.5</v>
      </c>
    </row>
    <row r="40" spans="1:32" x14ac:dyDescent="0.35">
      <c r="A40" s="1" t="s">
        <v>25</v>
      </c>
      <c r="B40" s="1">
        <v>35</v>
      </c>
      <c r="C40" s="1">
        <v>45</v>
      </c>
      <c r="D40" s="1">
        <v>43</v>
      </c>
      <c r="E40" s="1">
        <v>31</v>
      </c>
      <c r="F40" s="1">
        <v>35</v>
      </c>
      <c r="G40" s="1">
        <v>39</v>
      </c>
      <c r="H40" s="1">
        <v>47</v>
      </c>
      <c r="I40" s="1">
        <v>34</v>
      </c>
      <c r="J40" s="1">
        <v>36</v>
      </c>
      <c r="K40" s="1">
        <v>36</v>
      </c>
      <c r="L40" s="1">
        <v>36</v>
      </c>
      <c r="M40" s="1">
        <v>43</v>
      </c>
      <c r="N40" s="1">
        <v>33</v>
      </c>
      <c r="O40" s="1">
        <v>41</v>
      </c>
      <c r="P40" s="1">
        <v>33</v>
      </c>
      <c r="Q40" s="1">
        <v>47</v>
      </c>
      <c r="R40" s="1">
        <v>41</v>
      </c>
      <c r="S40" s="1">
        <v>41</v>
      </c>
      <c r="T40" s="1">
        <v>39</v>
      </c>
      <c r="U40" s="1">
        <v>43</v>
      </c>
      <c r="V40" s="1">
        <v>47</v>
      </c>
      <c r="W40" s="1">
        <v>44</v>
      </c>
      <c r="X40" s="1">
        <v>44</v>
      </c>
      <c r="Y40" s="1">
        <v>34</v>
      </c>
      <c r="Z40" s="1">
        <v>38</v>
      </c>
      <c r="AA40" s="1">
        <v>36</v>
      </c>
      <c r="AB40" s="1">
        <v>47</v>
      </c>
      <c r="AC40" s="1">
        <v>48</v>
      </c>
      <c r="AD40" s="1">
        <v>48</v>
      </c>
      <c r="AE40" s="1">
        <v>41</v>
      </c>
      <c r="AF40" s="18">
        <f t="shared" si="0"/>
        <v>40.166666666666664</v>
      </c>
    </row>
    <row r="41" spans="1:32" x14ac:dyDescent="0.35">
      <c r="A41" s="1" t="s">
        <v>26</v>
      </c>
      <c r="B41" s="1">
        <v>20</v>
      </c>
      <c r="C41" s="1">
        <v>19</v>
      </c>
      <c r="D41" s="1">
        <v>46</v>
      </c>
      <c r="E41" s="1">
        <v>21</v>
      </c>
      <c r="F41" s="1">
        <v>33</v>
      </c>
      <c r="G41" s="1">
        <v>28</v>
      </c>
      <c r="H41" s="1">
        <v>49</v>
      </c>
      <c r="I41" s="1">
        <v>24</v>
      </c>
      <c r="J41" s="1">
        <v>44</v>
      </c>
      <c r="K41" s="1">
        <v>43</v>
      </c>
      <c r="L41" s="1">
        <v>32</v>
      </c>
      <c r="M41" s="1">
        <v>47</v>
      </c>
      <c r="N41" s="1">
        <v>24</v>
      </c>
      <c r="O41" s="1">
        <v>44</v>
      </c>
      <c r="P41" s="1">
        <v>45</v>
      </c>
      <c r="Q41" s="1">
        <v>32</v>
      </c>
      <c r="R41" s="1">
        <v>38</v>
      </c>
      <c r="S41" s="1">
        <v>41</v>
      </c>
      <c r="T41" s="1">
        <v>43</v>
      </c>
      <c r="U41" s="1">
        <v>25</v>
      </c>
      <c r="V41" s="1">
        <v>43</v>
      </c>
      <c r="W41" s="1">
        <v>30</v>
      </c>
      <c r="X41" s="1">
        <v>33</v>
      </c>
      <c r="Y41" s="1">
        <v>48</v>
      </c>
      <c r="Z41" s="1">
        <v>28</v>
      </c>
      <c r="AA41" s="1">
        <v>19</v>
      </c>
      <c r="AB41" s="1">
        <v>42</v>
      </c>
      <c r="AC41" s="1">
        <v>33</v>
      </c>
      <c r="AD41" s="1">
        <v>32</v>
      </c>
      <c r="AE41" s="1">
        <v>50</v>
      </c>
      <c r="AF41" s="18">
        <f t="shared" si="0"/>
        <v>35.200000000000003</v>
      </c>
    </row>
    <row r="42" spans="1:32" x14ac:dyDescent="0.35">
      <c r="A42" s="1" t="s">
        <v>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8">
        <f t="shared" si="0"/>
        <v>0</v>
      </c>
    </row>
    <row r="43" spans="1:32" x14ac:dyDescent="0.35">
      <c r="A43" s="1" t="s">
        <v>164</v>
      </c>
      <c r="B43" s="1">
        <v>30</v>
      </c>
      <c r="C43" s="1">
        <v>44</v>
      </c>
      <c r="D43" s="1">
        <v>18</v>
      </c>
      <c r="E43" s="1">
        <v>14</v>
      </c>
      <c r="F43" s="1">
        <v>26</v>
      </c>
      <c r="G43" s="1">
        <v>30</v>
      </c>
      <c r="H43" s="1">
        <v>35</v>
      </c>
      <c r="I43" s="1">
        <v>32</v>
      </c>
      <c r="J43" s="1">
        <v>45</v>
      </c>
      <c r="K43" s="1">
        <v>29</v>
      </c>
      <c r="L43" s="1">
        <v>48</v>
      </c>
      <c r="M43" s="1">
        <v>52</v>
      </c>
      <c r="N43" s="1">
        <v>37</v>
      </c>
      <c r="O43" s="1">
        <v>23</v>
      </c>
      <c r="P43" s="1">
        <v>32</v>
      </c>
      <c r="Q43" s="1">
        <v>9</v>
      </c>
      <c r="R43" s="1">
        <v>21</v>
      </c>
      <c r="S43" s="1">
        <v>20</v>
      </c>
      <c r="T43" s="1">
        <v>25</v>
      </c>
      <c r="U43" s="1">
        <v>9</v>
      </c>
      <c r="V43" s="1">
        <v>45</v>
      </c>
      <c r="W43" s="1">
        <v>29</v>
      </c>
      <c r="X43" s="1">
        <v>32</v>
      </c>
      <c r="Y43" s="1">
        <v>39</v>
      </c>
      <c r="Z43" s="1">
        <v>15</v>
      </c>
      <c r="AA43" s="1">
        <v>50</v>
      </c>
      <c r="AB43" s="1">
        <v>39</v>
      </c>
      <c r="AC43" s="1">
        <v>41</v>
      </c>
      <c r="AD43" s="1">
        <v>40</v>
      </c>
      <c r="AE43" s="1">
        <v>37</v>
      </c>
      <c r="AF43" s="18">
        <f t="shared" si="0"/>
        <v>31.533333333333335</v>
      </c>
    </row>
    <row r="44" spans="1:32" x14ac:dyDescent="0.35">
      <c r="A44" s="1" t="s">
        <v>28</v>
      </c>
      <c r="B44" s="1">
        <v>28</v>
      </c>
      <c r="C44" s="1">
        <v>38</v>
      </c>
      <c r="D44" s="1">
        <v>36</v>
      </c>
      <c r="E44" s="1">
        <v>39</v>
      </c>
      <c r="F44" s="1">
        <v>30</v>
      </c>
      <c r="G44" s="1">
        <v>29</v>
      </c>
      <c r="H44" s="1">
        <v>28</v>
      </c>
      <c r="I44" s="1">
        <v>36</v>
      </c>
      <c r="J44" s="1">
        <v>37</v>
      </c>
      <c r="K44" s="1">
        <v>31</v>
      </c>
      <c r="L44" s="1">
        <v>35</v>
      </c>
      <c r="M44" s="1">
        <v>40</v>
      </c>
      <c r="N44" s="1">
        <v>34</v>
      </c>
      <c r="O44" s="1">
        <v>31</v>
      </c>
      <c r="P44" s="1">
        <v>37</v>
      </c>
      <c r="Q44" s="1">
        <v>40</v>
      </c>
      <c r="R44" s="1">
        <v>32</v>
      </c>
      <c r="S44" s="1">
        <v>29</v>
      </c>
      <c r="T44" s="1">
        <v>37</v>
      </c>
      <c r="U44" s="1">
        <v>35</v>
      </c>
      <c r="V44" s="1">
        <v>37</v>
      </c>
      <c r="W44" s="1">
        <v>33</v>
      </c>
      <c r="X44" s="1">
        <v>29</v>
      </c>
      <c r="Y44" s="1">
        <v>37</v>
      </c>
      <c r="Z44" s="1">
        <v>31</v>
      </c>
      <c r="AA44" s="1">
        <v>32</v>
      </c>
      <c r="AB44" s="1">
        <v>33</v>
      </c>
      <c r="AC44" s="1">
        <v>32</v>
      </c>
      <c r="AD44" s="1">
        <v>37</v>
      </c>
      <c r="AE44" s="1">
        <v>30</v>
      </c>
      <c r="AF44" s="18">
        <f t="shared" si="0"/>
        <v>33.766666666666666</v>
      </c>
    </row>
    <row r="45" spans="1:32" x14ac:dyDescent="0.35">
      <c r="A45" s="1" t="s">
        <v>29</v>
      </c>
      <c r="B45" s="1">
        <v>38</v>
      </c>
      <c r="C45" s="1">
        <v>42</v>
      </c>
      <c r="D45" s="1">
        <v>25</v>
      </c>
      <c r="E45" s="1">
        <v>30</v>
      </c>
      <c r="F45" s="1">
        <v>39</v>
      </c>
      <c r="G45" s="1">
        <v>41</v>
      </c>
      <c r="H45" s="1">
        <v>33</v>
      </c>
      <c r="I45" s="1">
        <v>43</v>
      </c>
      <c r="J45" s="1">
        <v>49</v>
      </c>
      <c r="K45" s="1">
        <v>22</v>
      </c>
      <c r="L45" s="1">
        <v>24</v>
      </c>
      <c r="M45" s="1">
        <v>9</v>
      </c>
      <c r="N45" s="1">
        <v>40</v>
      </c>
      <c r="O45" s="1">
        <v>16</v>
      </c>
      <c r="P45" s="1">
        <v>27</v>
      </c>
      <c r="Q45" s="1">
        <v>11</v>
      </c>
      <c r="R45" s="1">
        <v>25</v>
      </c>
      <c r="S45" s="1">
        <v>39</v>
      </c>
      <c r="T45" s="1">
        <v>25</v>
      </c>
      <c r="U45" s="1">
        <v>14</v>
      </c>
      <c r="V45" s="1">
        <v>36</v>
      </c>
      <c r="W45" s="1">
        <v>38</v>
      </c>
      <c r="X45" s="1">
        <v>45</v>
      </c>
      <c r="Y45" s="1">
        <v>14</v>
      </c>
      <c r="Z45" s="1">
        <v>14</v>
      </c>
      <c r="AA45" s="1">
        <v>36</v>
      </c>
      <c r="AB45" s="1">
        <v>12</v>
      </c>
      <c r="AC45" s="1">
        <v>43</v>
      </c>
      <c r="AD45" s="1">
        <v>20</v>
      </c>
      <c r="AE45" s="1">
        <v>11</v>
      </c>
      <c r="AF45" s="18">
        <f t="shared" si="0"/>
        <v>28.7</v>
      </c>
    </row>
    <row r="46" spans="1:32" x14ac:dyDescent="0.35">
      <c r="A46" s="1" t="s">
        <v>30</v>
      </c>
      <c r="B46" s="1">
        <v>45</v>
      </c>
      <c r="C46" s="1">
        <v>46</v>
      </c>
      <c r="D46" s="1">
        <v>43</v>
      </c>
      <c r="E46" s="1">
        <v>37</v>
      </c>
      <c r="F46" s="1">
        <v>45</v>
      </c>
      <c r="G46" s="1">
        <v>28</v>
      </c>
      <c r="H46" s="1">
        <v>36</v>
      </c>
      <c r="I46" s="1">
        <v>37</v>
      </c>
      <c r="J46" s="1">
        <v>26</v>
      </c>
      <c r="K46" s="1">
        <v>46</v>
      </c>
      <c r="L46" s="1">
        <v>44</v>
      </c>
      <c r="M46" s="1">
        <v>44</v>
      </c>
      <c r="N46" s="1">
        <v>30</v>
      </c>
      <c r="O46" s="1">
        <v>48</v>
      </c>
      <c r="P46" s="1">
        <v>35</v>
      </c>
      <c r="Q46" s="1">
        <v>27</v>
      </c>
      <c r="R46" s="1">
        <v>40</v>
      </c>
      <c r="S46" s="1">
        <v>39</v>
      </c>
      <c r="T46" s="1">
        <v>35</v>
      </c>
      <c r="U46" s="1">
        <v>38</v>
      </c>
      <c r="V46" s="1">
        <v>48</v>
      </c>
      <c r="W46" s="1">
        <v>31</v>
      </c>
      <c r="X46" s="1">
        <v>36</v>
      </c>
      <c r="Y46" s="1">
        <v>29</v>
      </c>
      <c r="Z46" s="1">
        <v>44</v>
      </c>
      <c r="AA46" s="1">
        <v>43</v>
      </c>
      <c r="AB46" s="1">
        <v>37</v>
      </c>
      <c r="AC46" s="1">
        <v>30</v>
      </c>
      <c r="AD46" s="1">
        <v>28</v>
      </c>
      <c r="AE46" s="1">
        <v>24</v>
      </c>
      <c r="AF46" s="18">
        <f t="shared" si="0"/>
        <v>37.299999999999997</v>
      </c>
    </row>
    <row r="47" spans="1:32" x14ac:dyDescent="0.35">
      <c r="A47" s="1" t="s">
        <v>175</v>
      </c>
      <c r="B47" s="1">
        <v>28</v>
      </c>
      <c r="C47" s="1">
        <v>39</v>
      </c>
      <c r="D47" s="1">
        <v>41</v>
      </c>
      <c r="E47" s="1">
        <v>42</v>
      </c>
      <c r="F47" s="1">
        <v>49</v>
      </c>
      <c r="G47" s="1">
        <v>24</v>
      </c>
      <c r="H47" s="1">
        <v>36</v>
      </c>
      <c r="I47" s="1">
        <v>34</v>
      </c>
      <c r="J47" s="1">
        <v>46</v>
      </c>
      <c r="K47" s="1">
        <v>26</v>
      </c>
      <c r="L47" s="1">
        <v>49</v>
      </c>
      <c r="M47" s="1">
        <v>35</v>
      </c>
      <c r="N47" s="1">
        <v>30</v>
      </c>
      <c r="O47" s="1">
        <v>32</v>
      </c>
      <c r="P47" s="1">
        <v>47</v>
      </c>
      <c r="Q47" s="1">
        <v>45</v>
      </c>
      <c r="R47" s="1">
        <v>23</v>
      </c>
      <c r="S47" s="1">
        <v>27</v>
      </c>
      <c r="T47" s="1">
        <v>21</v>
      </c>
      <c r="U47" s="1">
        <v>27</v>
      </c>
      <c r="V47" s="1">
        <v>26</v>
      </c>
      <c r="W47" s="1">
        <v>24</v>
      </c>
      <c r="X47" s="1">
        <v>49</v>
      </c>
      <c r="Y47" s="1">
        <v>27</v>
      </c>
      <c r="Z47" s="1">
        <v>46</v>
      </c>
      <c r="AA47" s="1">
        <v>32</v>
      </c>
      <c r="AB47" s="1">
        <v>51</v>
      </c>
      <c r="AC47" s="1">
        <v>23</v>
      </c>
      <c r="AD47" s="1">
        <v>27</v>
      </c>
      <c r="AE47" s="1">
        <v>30</v>
      </c>
      <c r="AF47" s="18">
        <f t="shared" si="0"/>
        <v>34.533333333333331</v>
      </c>
    </row>
    <row r="48" spans="1:32" x14ac:dyDescent="0.35">
      <c r="A48" s="1" t="s">
        <v>31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8">
        <f t="shared" si="0"/>
        <v>0</v>
      </c>
    </row>
    <row r="49" spans="1:32" x14ac:dyDescent="0.35">
      <c r="A49" s="1" t="s">
        <v>32</v>
      </c>
      <c r="B49" s="1">
        <v>48</v>
      </c>
      <c r="C49" s="1">
        <v>33</v>
      </c>
      <c r="D49" s="1">
        <v>43</v>
      </c>
      <c r="E49" s="1">
        <v>51</v>
      </c>
      <c r="F49" s="1">
        <v>33</v>
      </c>
      <c r="G49" s="1">
        <v>49</v>
      </c>
      <c r="H49" s="1">
        <v>29</v>
      </c>
      <c r="I49" s="1">
        <v>44</v>
      </c>
      <c r="J49" s="1">
        <v>39</v>
      </c>
      <c r="K49" s="1">
        <v>34</v>
      </c>
      <c r="L49" s="1">
        <v>33</v>
      </c>
      <c r="M49" s="1">
        <v>37</v>
      </c>
      <c r="N49" s="1">
        <v>37</v>
      </c>
      <c r="O49" s="1">
        <v>35</v>
      </c>
      <c r="P49" s="1">
        <v>32</v>
      </c>
      <c r="Q49" s="1">
        <v>32</v>
      </c>
      <c r="R49" s="1">
        <v>53</v>
      </c>
      <c r="S49" s="1">
        <v>53</v>
      </c>
      <c r="T49" s="1">
        <v>47</v>
      </c>
      <c r="U49" s="1">
        <v>51</v>
      </c>
      <c r="V49" s="1">
        <v>39</v>
      </c>
      <c r="W49" s="1">
        <v>53</v>
      </c>
      <c r="X49" s="1">
        <v>37</v>
      </c>
      <c r="Y49" s="1">
        <v>53</v>
      </c>
      <c r="Z49" s="1">
        <v>39</v>
      </c>
      <c r="AA49" s="1">
        <v>31</v>
      </c>
      <c r="AB49" s="1">
        <v>29</v>
      </c>
      <c r="AC49" s="1">
        <v>47</v>
      </c>
      <c r="AD49" s="1">
        <v>41</v>
      </c>
      <c r="AE49" s="1">
        <v>46</v>
      </c>
      <c r="AF49" s="18">
        <f t="shared" si="0"/>
        <v>40.93333333333333</v>
      </c>
    </row>
    <row r="50" spans="1:32" x14ac:dyDescent="0.35">
      <c r="A50" s="1" t="s">
        <v>33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25</v>
      </c>
      <c r="AB50" s="1">
        <v>26</v>
      </c>
      <c r="AC50" s="1">
        <v>27</v>
      </c>
      <c r="AD50" s="1">
        <v>28</v>
      </c>
      <c r="AE50" s="1">
        <v>29</v>
      </c>
      <c r="AF50" s="18">
        <f t="shared" si="0"/>
        <v>4.5</v>
      </c>
    </row>
    <row r="51" spans="1:32" x14ac:dyDescent="0.35">
      <c r="A51" s="1" t="s">
        <v>34</v>
      </c>
      <c r="B51" s="1">
        <v>59</v>
      </c>
      <c r="C51" s="1">
        <v>19</v>
      </c>
      <c r="D51" s="1">
        <v>26</v>
      </c>
      <c r="E51" s="1">
        <v>40</v>
      </c>
      <c r="F51" s="1">
        <v>27</v>
      </c>
      <c r="G51" s="1">
        <v>60</v>
      </c>
      <c r="H51" s="1">
        <v>20</v>
      </c>
      <c r="I51" s="1">
        <v>29</v>
      </c>
      <c r="J51" s="1">
        <v>36</v>
      </c>
      <c r="K51" s="1">
        <v>40</v>
      </c>
      <c r="L51" s="1">
        <v>21</v>
      </c>
      <c r="M51" s="1">
        <v>30</v>
      </c>
      <c r="N51" s="1">
        <v>56</v>
      </c>
      <c r="O51" s="1">
        <v>32</v>
      </c>
      <c r="P51" s="1">
        <v>21</v>
      </c>
      <c r="Q51" s="1">
        <v>53</v>
      </c>
      <c r="R51" s="1">
        <v>22</v>
      </c>
      <c r="S51" s="1">
        <v>35</v>
      </c>
      <c r="T51" s="1">
        <v>37</v>
      </c>
      <c r="U51" s="1">
        <v>29</v>
      </c>
      <c r="V51" s="1">
        <v>21</v>
      </c>
      <c r="W51" s="1">
        <v>20</v>
      </c>
      <c r="X51" s="1">
        <v>60</v>
      </c>
      <c r="Y51" s="1">
        <v>23</v>
      </c>
      <c r="Z51" s="1">
        <v>59</v>
      </c>
      <c r="AA51" s="1">
        <v>30</v>
      </c>
      <c r="AB51" s="1">
        <v>39</v>
      </c>
      <c r="AC51" s="1">
        <v>21</v>
      </c>
      <c r="AD51" s="1">
        <v>49</v>
      </c>
      <c r="AE51" s="1">
        <v>53</v>
      </c>
      <c r="AF51" s="18">
        <f t="shared" si="0"/>
        <v>35.56666666666667</v>
      </c>
    </row>
    <row r="52" spans="1:32" x14ac:dyDescent="0.35">
      <c r="A52" s="1" t="s">
        <v>35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8">
        <f t="shared" si="0"/>
        <v>0</v>
      </c>
    </row>
    <row r="53" spans="1:32" x14ac:dyDescent="0.35">
      <c r="A53" s="1" t="s">
        <v>36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8">
        <f t="shared" si="0"/>
        <v>0</v>
      </c>
    </row>
    <row r="54" spans="1:32" x14ac:dyDescent="0.35">
      <c r="A54" s="1" t="s">
        <v>37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8">
        <f t="shared" si="0"/>
        <v>0</v>
      </c>
    </row>
    <row r="55" spans="1:32" x14ac:dyDescent="0.35">
      <c r="A55" s="1" t="s">
        <v>38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8">
        <f t="shared" si="0"/>
        <v>0</v>
      </c>
    </row>
    <row r="56" spans="1:32" x14ac:dyDescent="0.35">
      <c r="A56" s="1" t="s">
        <v>39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8">
        <f t="shared" si="0"/>
        <v>0</v>
      </c>
    </row>
    <row r="57" spans="1:32" x14ac:dyDescent="0.35">
      <c r="A57" s="1" t="s">
        <v>176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8">
        <f t="shared" si="0"/>
        <v>0</v>
      </c>
    </row>
    <row r="58" spans="1:32" x14ac:dyDescent="0.35">
      <c r="A58" s="1" t="s">
        <v>40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8">
        <f t="shared" si="0"/>
        <v>0</v>
      </c>
    </row>
    <row r="59" spans="1:32" x14ac:dyDescent="0.35">
      <c r="A59" s="1" t="s">
        <v>41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8">
        <f t="shared" si="0"/>
        <v>0</v>
      </c>
    </row>
    <row r="60" spans="1:32" x14ac:dyDescent="0.35">
      <c r="A60" s="1" t="s">
        <v>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8">
        <f t="shared" si="0"/>
        <v>0</v>
      </c>
    </row>
    <row r="61" spans="1:32" x14ac:dyDescent="0.35">
      <c r="A61" s="1" t="s">
        <v>43</v>
      </c>
      <c r="B61" s="1">
        <v>34</v>
      </c>
      <c r="C61" s="1">
        <v>35</v>
      </c>
      <c r="D61" s="1">
        <v>25</v>
      </c>
      <c r="E61" s="1">
        <v>27</v>
      </c>
      <c r="F61" s="1">
        <v>35</v>
      </c>
      <c r="G61" s="1">
        <v>21</v>
      </c>
      <c r="H61" s="1">
        <v>27</v>
      </c>
      <c r="I61" s="1">
        <v>28</v>
      </c>
      <c r="J61" s="1">
        <v>30</v>
      </c>
      <c r="K61" s="1">
        <v>27</v>
      </c>
      <c r="L61" s="1">
        <v>32</v>
      </c>
      <c r="M61" s="1">
        <v>22</v>
      </c>
      <c r="N61" s="1">
        <v>34</v>
      </c>
      <c r="O61" s="1">
        <v>26</v>
      </c>
      <c r="P61" s="1">
        <v>31</v>
      </c>
      <c r="Q61" s="1">
        <v>20</v>
      </c>
      <c r="R61" s="1">
        <v>34</v>
      </c>
      <c r="S61" s="1">
        <v>32</v>
      </c>
      <c r="T61" s="1">
        <v>20</v>
      </c>
      <c r="U61" s="1">
        <v>27</v>
      </c>
      <c r="V61" s="1">
        <v>22</v>
      </c>
      <c r="W61" s="1">
        <v>25</v>
      </c>
      <c r="X61" s="1">
        <v>31</v>
      </c>
      <c r="Y61" s="1">
        <v>22</v>
      </c>
      <c r="Z61" s="1">
        <v>21</v>
      </c>
      <c r="AA61" s="1">
        <v>35</v>
      </c>
      <c r="AB61" s="1">
        <v>24</v>
      </c>
      <c r="AC61" s="1">
        <v>31</v>
      </c>
      <c r="AD61" s="1">
        <v>23</v>
      </c>
      <c r="AE61" s="1">
        <v>28</v>
      </c>
      <c r="AF61" s="18">
        <f t="shared" si="0"/>
        <v>27.633333333333333</v>
      </c>
    </row>
    <row r="62" spans="1:32" x14ac:dyDescent="0.35">
      <c r="A62" s="1" t="s">
        <v>44</v>
      </c>
      <c r="B62" s="1">
        <v>58</v>
      </c>
      <c r="C62" s="1">
        <v>61</v>
      </c>
      <c r="D62" s="1">
        <v>61</v>
      </c>
      <c r="E62" s="1">
        <v>57</v>
      </c>
      <c r="F62" s="1">
        <v>54</v>
      </c>
      <c r="G62" s="1">
        <v>55</v>
      </c>
      <c r="H62" s="1">
        <v>57</v>
      </c>
      <c r="I62" s="1">
        <v>54</v>
      </c>
      <c r="J62" s="1">
        <v>57</v>
      </c>
      <c r="K62" s="1">
        <v>61</v>
      </c>
      <c r="L62" s="1">
        <v>58</v>
      </c>
      <c r="M62" s="1">
        <v>60</v>
      </c>
      <c r="N62" s="1">
        <v>62</v>
      </c>
      <c r="O62" s="1">
        <v>61</v>
      </c>
      <c r="P62" s="1">
        <v>57</v>
      </c>
      <c r="Q62" s="1">
        <v>56</v>
      </c>
      <c r="R62" s="1">
        <v>57</v>
      </c>
      <c r="S62" s="1">
        <v>58</v>
      </c>
      <c r="T62" s="1">
        <v>54</v>
      </c>
      <c r="U62" s="1">
        <v>62</v>
      </c>
      <c r="V62" s="1">
        <v>61</v>
      </c>
      <c r="W62" s="1">
        <v>56</v>
      </c>
      <c r="X62" s="1">
        <v>56</v>
      </c>
      <c r="Y62" s="1">
        <v>61</v>
      </c>
      <c r="Z62" s="1">
        <v>55</v>
      </c>
      <c r="AA62" s="1">
        <v>61</v>
      </c>
      <c r="AB62" s="1">
        <v>55</v>
      </c>
      <c r="AC62" s="1">
        <v>56</v>
      </c>
      <c r="AD62" s="1">
        <v>58</v>
      </c>
      <c r="AE62" s="1">
        <v>56</v>
      </c>
      <c r="AF62" s="18">
        <f t="shared" si="0"/>
        <v>57.833333333333336</v>
      </c>
    </row>
    <row r="63" spans="1:32" x14ac:dyDescent="0.35">
      <c r="A63" s="1" t="s">
        <v>177</v>
      </c>
      <c r="B63" s="1">
        <v>46</v>
      </c>
      <c r="C63" s="1">
        <v>44</v>
      </c>
      <c r="D63" s="1">
        <v>53</v>
      </c>
      <c r="E63" s="1">
        <v>54</v>
      </c>
      <c r="F63" s="1">
        <v>47</v>
      </c>
      <c r="G63" s="1">
        <v>58</v>
      </c>
      <c r="H63" s="1">
        <v>50</v>
      </c>
      <c r="I63" s="1">
        <v>59</v>
      </c>
      <c r="J63" s="1">
        <v>47</v>
      </c>
      <c r="K63" s="1">
        <v>57</v>
      </c>
      <c r="L63" s="1">
        <v>59</v>
      </c>
      <c r="M63" s="1">
        <v>54</v>
      </c>
      <c r="N63" s="1">
        <v>58</v>
      </c>
      <c r="O63" s="1">
        <v>60</v>
      </c>
      <c r="P63" s="1">
        <v>59</v>
      </c>
      <c r="Q63" s="1">
        <v>45</v>
      </c>
      <c r="R63" s="1">
        <v>53</v>
      </c>
      <c r="S63" s="1">
        <v>57</v>
      </c>
      <c r="T63" s="1">
        <v>51</v>
      </c>
      <c r="U63" s="1">
        <v>44</v>
      </c>
      <c r="V63" s="1">
        <v>48</v>
      </c>
      <c r="W63" s="1">
        <v>50</v>
      </c>
      <c r="X63" s="1">
        <v>53</v>
      </c>
      <c r="Y63" s="1">
        <v>58</v>
      </c>
      <c r="Z63" s="1">
        <v>56</v>
      </c>
      <c r="AA63" s="1">
        <v>48</v>
      </c>
      <c r="AB63" s="1">
        <v>59</v>
      </c>
      <c r="AC63" s="1">
        <v>54</v>
      </c>
      <c r="AD63" s="1">
        <v>51</v>
      </c>
      <c r="AE63" s="1">
        <v>56</v>
      </c>
      <c r="AF63" s="18">
        <f t="shared" si="0"/>
        <v>52.93333333333333</v>
      </c>
    </row>
    <row r="64" spans="1:32" x14ac:dyDescent="0.35">
      <c r="A64" s="1" t="s">
        <v>178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8">
        <f t="shared" si="0"/>
        <v>0</v>
      </c>
    </row>
    <row r="65" spans="1:32" x14ac:dyDescent="0.35">
      <c r="A65" s="1" t="s">
        <v>45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8">
        <f t="shared" si="0"/>
        <v>0</v>
      </c>
    </row>
    <row r="66" spans="1:32" x14ac:dyDescent="0.35">
      <c r="A66" s="1" t="s">
        <v>46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8">
        <f t="shared" si="0"/>
        <v>0</v>
      </c>
    </row>
    <row r="67" spans="1:32" x14ac:dyDescent="0.35">
      <c r="A67" s="1" t="s">
        <v>47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8">
        <f t="shared" si="0"/>
        <v>0</v>
      </c>
    </row>
    <row r="68" spans="1:32" x14ac:dyDescent="0.35">
      <c r="A68" s="1" t="s">
        <v>48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8">
        <f t="shared" ref="AF68:AF131" si="1">AVERAGE(B68:AE68)</f>
        <v>0</v>
      </c>
    </row>
    <row r="69" spans="1:32" x14ac:dyDescent="0.35">
      <c r="A69" s="1" t="s">
        <v>179</v>
      </c>
      <c r="B69" s="1">
        <v>23</v>
      </c>
      <c r="C69" s="1">
        <v>23</v>
      </c>
      <c r="D69" s="1">
        <v>25</v>
      </c>
      <c r="E69" s="1">
        <v>26</v>
      </c>
      <c r="F69" s="1">
        <v>14</v>
      </c>
      <c r="G69" s="1">
        <v>28</v>
      </c>
      <c r="H69" s="1">
        <v>27</v>
      </c>
      <c r="I69" s="1">
        <v>27</v>
      </c>
      <c r="J69" s="1">
        <v>22</v>
      </c>
      <c r="K69" s="1">
        <v>12</v>
      </c>
      <c r="L69" s="1">
        <v>11</v>
      </c>
      <c r="M69" s="1">
        <v>12</v>
      </c>
      <c r="N69" s="1">
        <v>29</v>
      </c>
      <c r="O69" s="1">
        <v>12</v>
      </c>
      <c r="P69" s="1">
        <v>27</v>
      </c>
      <c r="Q69" s="1">
        <v>25</v>
      </c>
      <c r="R69" s="1">
        <v>17</v>
      </c>
      <c r="S69" s="1">
        <v>10</v>
      </c>
      <c r="T69" s="1">
        <v>21</v>
      </c>
      <c r="U69" s="1">
        <v>11</v>
      </c>
      <c r="V69" s="1">
        <v>14</v>
      </c>
      <c r="W69" s="1">
        <v>29</v>
      </c>
      <c r="X69" s="1">
        <v>16</v>
      </c>
      <c r="Y69" s="1">
        <v>28</v>
      </c>
      <c r="Z69" s="1">
        <v>24</v>
      </c>
      <c r="AA69" s="1">
        <v>18</v>
      </c>
      <c r="AB69" s="1">
        <v>16</v>
      </c>
      <c r="AC69" s="1">
        <v>14</v>
      </c>
      <c r="AD69" s="1">
        <v>14</v>
      </c>
      <c r="AE69" s="1">
        <v>14</v>
      </c>
      <c r="AF69" s="18">
        <f t="shared" si="1"/>
        <v>19.633333333333333</v>
      </c>
    </row>
    <row r="70" spans="1:32" x14ac:dyDescent="0.35">
      <c r="A70" s="1" t="s">
        <v>49</v>
      </c>
      <c r="B70" s="1">
        <v>28</v>
      </c>
      <c r="C70" s="1">
        <v>36</v>
      </c>
      <c r="D70" s="1">
        <v>36</v>
      </c>
      <c r="E70" s="1">
        <v>25</v>
      </c>
      <c r="F70" s="1">
        <v>21</v>
      </c>
      <c r="G70" s="1">
        <v>36</v>
      </c>
      <c r="H70" s="1">
        <v>22</v>
      </c>
      <c r="I70" s="1">
        <v>27</v>
      </c>
      <c r="J70" s="1">
        <v>21</v>
      </c>
      <c r="K70" s="1">
        <v>23</v>
      </c>
      <c r="L70" s="1">
        <v>38</v>
      </c>
      <c r="M70" s="1">
        <v>36</v>
      </c>
      <c r="N70" s="1">
        <v>18</v>
      </c>
      <c r="O70" s="1">
        <v>32</v>
      </c>
      <c r="P70" s="1">
        <v>32</v>
      </c>
      <c r="Q70" s="1">
        <v>26</v>
      </c>
      <c r="R70" s="1">
        <v>19</v>
      </c>
      <c r="S70" s="1">
        <v>31</v>
      </c>
      <c r="T70" s="1">
        <v>36</v>
      </c>
      <c r="U70" s="1">
        <v>23</v>
      </c>
      <c r="V70" s="1">
        <v>34</v>
      </c>
      <c r="W70" s="1">
        <v>30</v>
      </c>
      <c r="X70" s="1">
        <v>21</v>
      </c>
      <c r="Y70" s="1">
        <v>24</v>
      </c>
      <c r="Z70" s="1">
        <v>20</v>
      </c>
      <c r="AA70" s="1">
        <v>28</v>
      </c>
      <c r="AB70" s="1">
        <v>23</v>
      </c>
      <c r="AC70" s="1">
        <v>28</v>
      </c>
      <c r="AD70" s="1">
        <v>19</v>
      </c>
      <c r="AE70" s="1">
        <v>34</v>
      </c>
      <c r="AF70" s="18">
        <f t="shared" si="1"/>
        <v>27.566666666666666</v>
      </c>
    </row>
    <row r="71" spans="1:32" x14ac:dyDescent="0.35">
      <c r="A71" s="1" t="s">
        <v>50</v>
      </c>
      <c r="B71" s="1">
        <v>26</v>
      </c>
      <c r="C71" s="1">
        <v>28</v>
      </c>
      <c r="D71" s="1">
        <v>22</v>
      </c>
      <c r="E71" s="1">
        <v>25</v>
      </c>
      <c r="F71" s="1">
        <v>27</v>
      </c>
      <c r="G71" s="1">
        <v>22</v>
      </c>
      <c r="H71" s="1">
        <v>20</v>
      </c>
      <c r="I71" s="1">
        <v>29</v>
      </c>
      <c r="J71" s="1">
        <v>28</v>
      </c>
      <c r="K71" s="1">
        <v>24</v>
      </c>
      <c r="L71" s="1">
        <v>23</v>
      </c>
      <c r="M71" s="1">
        <v>33</v>
      </c>
      <c r="N71" s="1">
        <v>28</v>
      </c>
      <c r="O71" s="1">
        <v>32</v>
      </c>
      <c r="P71" s="1">
        <v>30</v>
      </c>
      <c r="Q71" s="1">
        <v>31</v>
      </c>
      <c r="R71" s="1">
        <v>20</v>
      </c>
      <c r="S71" s="1">
        <v>32</v>
      </c>
      <c r="T71" s="1">
        <v>22</v>
      </c>
      <c r="U71" s="1">
        <v>27</v>
      </c>
      <c r="V71" s="1">
        <v>25</v>
      </c>
      <c r="W71" s="1">
        <v>25</v>
      </c>
      <c r="X71" s="1">
        <v>33</v>
      </c>
      <c r="Y71" s="1">
        <v>31</v>
      </c>
      <c r="Z71" s="1">
        <v>29</v>
      </c>
      <c r="AA71" s="1">
        <v>31</v>
      </c>
      <c r="AB71" s="1">
        <v>27</v>
      </c>
      <c r="AC71" s="1">
        <v>31</v>
      </c>
      <c r="AD71" s="1">
        <v>22</v>
      </c>
      <c r="AE71" s="1">
        <v>21</v>
      </c>
      <c r="AF71" s="18">
        <f t="shared" si="1"/>
        <v>26.8</v>
      </c>
    </row>
    <row r="72" spans="1:32" x14ac:dyDescent="0.35">
      <c r="A72" s="1" t="s">
        <v>51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8">
        <f t="shared" si="1"/>
        <v>0</v>
      </c>
    </row>
    <row r="73" spans="1:32" x14ac:dyDescent="0.35">
      <c r="A73" s="1" t="s">
        <v>52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8">
        <f t="shared" si="1"/>
        <v>0</v>
      </c>
    </row>
    <row r="74" spans="1:32" x14ac:dyDescent="0.35">
      <c r="A74" s="1" t="s">
        <v>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8">
        <f t="shared" si="1"/>
        <v>0</v>
      </c>
    </row>
    <row r="75" spans="1:32" x14ac:dyDescent="0.35">
      <c r="A75" s="1" t="s">
        <v>54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8">
        <f t="shared" si="1"/>
        <v>0</v>
      </c>
    </row>
    <row r="76" spans="1:32" x14ac:dyDescent="0.35">
      <c r="A76" s="1" t="s">
        <v>180</v>
      </c>
      <c r="B76" s="1">
        <v>20</v>
      </c>
      <c r="C76" s="1">
        <v>31</v>
      </c>
      <c r="D76" s="1">
        <v>27</v>
      </c>
      <c r="E76" s="1">
        <v>35</v>
      </c>
      <c r="F76" s="1">
        <v>36</v>
      </c>
      <c r="G76" s="1">
        <v>32</v>
      </c>
      <c r="H76" s="1">
        <v>26</v>
      </c>
      <c r="I76" s="1">
        <v>22</v>
      </c>
      <c r="J76" s="1">
        <v>24</v>
      </c>
      <c r="K76" s="1">
        <v>30</v>
      </c>
      <c r="L76" s="1">
        <v>29</v>
      </c>
      <c r="M76" s="1">
        <v>20</v>
      </c>
      <c r="N76" s="1">
        <v>29</v>
      </c>
      <c r="O76" s="1">
        <v>19</v>
      </c>
      <c r="P76" s="1">
        <v>33</v>
      </c>
      <c r="Q76" s="1">
        <v>21</v>
      </c>
      <c r="R76" s="1">
        <v>31</v>
      </c>
      <c r="S76" s="1">
        <v>24</v>
      </c>
      <c r="T76" s="1">
        <v>20</v>
      </c>
      <c r="U76" s="1">
        <v>36</v>
      </c>
      <c r="V76" s="1">
        <v>25</v>
      </c>
      <c r="W76" s="1">
        <v>32</v>
      </c>
      <c r="X76" s="1">
        <v>28</v>
      </c>
      <c r="Y76" s="1">
        <v>21</v>
      </c>
      <c r="Z76" s="1">
        <v>29</v>
      </c>
      <c r="AA76" s="1">
        <v>25</v>
      </c>
      <c r="AB76" s="1">
        <v>20</v>
      </c>
      <c r="AC76" s="1">
        <v>30</v>
      </c>
      <c r="AD76" s="1">
        <v>29</v>
      </c>
      <c r="AE76" s="1">
        <v>36</v>
      </c>
      <c r="AF76" s="18">
        <f t="shared" si="1"/>
        <v>27.333333333333332</v>
      </c>
    </row>
    <row r="77" spans="1:32" x14ac:dyDescent="0.35">
      <c r="A77" s="1" t="s">
        <v>55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8">
        <f t="shared" si="1"/>
        <v>0</v>
      </c>
    </row>
    <row r="78" spans="1:32" x14ac:dyDescent="0.35">
      <c r="A78" s="1" t="s">
        <v>56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8">
        <f t="shared" si="1"/>
        <v>0</v>
      </c>
    </row>
    <row r="79" spans="1:32" x14ac:dyDescent="0.35">
      <c r="A79" s="1" t="s">
        <v>57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8">
        <f t="shared" si="1"/>
        <v>0</v>
      </c>
    </row>
    <row r="80" spans="1:32" x14ac:dyDescent="0.35">
      <c r="A80" s="1" t="s">
        <v>58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8">
        <f t="shared" si="1"/>
        <v>0</v>
      </c>
    </row>
    <row r="81" spans="1:32" x14ac:dyDescent="0.35">
      <c r="A81" s="1" t="s">
        <v>59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8">
        <f t="shared" si="1"/>
        <v>0</v>
      </c>
    </row>
    <row r="82" spans="1:32" x14ac:dyDescent="0.35">
      <c r="A82" s="1" t="s">
        <v>181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8">
        <f t="shared" si="1"/>
        <v>0</v>
      </c>
    </row>
    <row r="83" spans="1:32" x14ac:dyDescent="0.35">
      <c r="A83" s="1" t="s">
        <v>60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8">
        <f t="shared" si="1"/>
        <v>0</v>
      </c>
    </row>
    <row r="84" spans="1:32" x14ac:dyDescent="0.35">
      <c r="A84" s="1" t="s">
        <v>61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8">
        <f t="shared" si="1"/>
        <v>0</v>
      </c>
    </row>
    <row r="85" spans="1:32" x14ac:dyDescent="0.35">
      <c r="A85" s="1" t="s">
        <v>62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8">
        <f t="shared" si="1"/>
        <v>0</v>
      </c>
    </row>
    <row r="86" spans="1:32" x14ac:dyDescent="0.35">
      <c r="A86" s="1" t="s">
        <v>63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8">
        <f t="shared" si="1"/>
        <v>0</v>
      </c>
    </row>
    <row r="87" spans="1:32" x14ac:dyDescent="0.35">
      <c r="A87" s="1" t="s">
        <v>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8">
        <f t="shared" si="1"/>
        <v>0</v>
      </c>
    </row>
    <row r="88" spans="1:32" x14ac:dyDescent="0.35">
      <c r="A88" s="1" t="s">
        <v>182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8">
        <f t="shared" si="1"/>
        <v>0</v>
      </c>
    </row>
    <row r="89" spans="1:32" x14ac:dyDescent="0.35">
      <c r="A89" s="1" t="s">
        <v>65</v>
      </c>
      <c r="B89" s="1">
        <v>52</v>
      </c>
      <c r="C89" s="1">
        <v>52</v>
      </c>
      <c r="D89" s="1">
        <v>53</v>
      </c>
      <c r="E89" s="1">
        <v>58</v>
      </c>
      <c r="F89" s="1">
        <v>53</v>
      </c>
      <c r="G89" s="1">
        <v>57</v>
      </c>
      <c r="H89" s="1">
        <v>53</v>
      </c>
      <c r="I89" s="1">
        <v>51</v>
      </c>
      <c r="J89" s="1">
        <v>57</v>
      </c>
      <c r="K89" s="1">
        <v>53</v>
      </c>
      <c r="L89" s="1">
        <v>55</v>
      </c>
      <c r="M89" s="1">
        <v>51</v>
      </c>
      <c r="N89" s="1">
        <v>59</v>
      </c>
      <c r="O89" s="1">
        <v>52</v>
      </c>
      <c r="P89" s="1">
        <v>52</v>
      </c>
      <c r="Q89" s="1">
        <v>54</v>
      </c>
      <c r="R89" s="1">
        <v>55</v>
      </c>
      <c r="S89" s="1">
        <v>55</v>
      </c>
      <c r="T89" s="1">
        <v>52</v>
      </c>
      <c r="U89" s="1">
        <v>54</v>
      </c>
      <c r="V89" s="1">
        <v>51</v>
      </c>
      <c r="W89" s="1">
        <v>54</v>
      </c>
      <c r="X89" s="1">
        <v>56</v>
      </c>
      <c r="Y89" s="1">
        <v>54</v>
      </c>
      <c r="Z89" s="1">
        <v>51</v>
      </c>
      <c r="AA89" s="1">
        <v>51</v>
      </c>
      <c r="AB89" s="1">
        <v>51</v>
      </c>
      <c r="AC89" s="1">
        <v>56</v>
      </c>
      <c r="AD89" s="1">
        <v>54</v>
      </c>
      <c r="AE89" s="1">
        <v>52</v>
      </c>
      <c r="AF89" s="18">
        <f t="shared" si="1"/>
        <v>53.6</v>
      </c>
    </row>
    <row r="90" spans="1:32" x14ac:dyDescent="0.35">
      <c r="A90" s="1" t="s">
        <v>66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8">
        <f t="shared" si="1"/>
        <v>0</v>
      </c>
    </row>
    <row r="91" spans="1:32" x14ac:dyDescent="0.35">
      <c r="A91" s="1" t="s">
        <v>67</v>
      </c>
      <c r="B91" s="1">
        <v>50</v>
      </c>
      <c r="C91" s="1">
        <v>50</v>
      </c>
      <c r="D91" s="1">
        <v>50</v>
      </c>
      <c r="E91" s="1">
        <v>49</v>
      </c>
      <c r="F91" s="1">
        <v>53</v>
      </c>
      <c r="G91" s="1">
        <v>48</v>
      </c>
      <c r="H91" s="1">
        <v>51</v>
      </c>
      <c r="I91" s="1">
        <v>50</v>
      </c>
      <c r="J91" s="1">
        <v>53</v>
      </c>
      <c r="K91" s="1">
        <v>49</v>
      </c>
      <c r="L91" s="1">
        <v>49</v>
      </c>
      <c r="M91" s="1">
        <v>50</v>
      </c>
      <c r="N91" s="1">
        <v>48</v>
      </c>
      <c r="O91" s="1">
        <v>50</v>
      </c>
      <c r="P91" s="1">
        <v>49</v>
      </c>
      <c r="Q91" s="1">
        <v>50</v>
      </c>
      <c r="R91" s="1">
        <v>53</v>
      </c>
      <c r="S91" s="1">
        <v>49</v>
      </c>
      <c r="T91" s="1">
        <v>51</v>
      </c>
      <c r="U91" s="1">
        <v>50</v>
      </c>
      <c r="V91" s="1">
        <v>48</v>
      </c>
      <c r="W91" s="1">
        <v>52</v>
      </c>
      <c r="X91" s="1">
        <v>51</v>
      </c>
      <c r="Y91" s="1">
        <v>49</v>
      </c>
      <c r="Z91" s="1">
        <v>49</v>
      </c>
      <c r="AA91" s="1">
        <v>53</v>
      </c>
      <c r="AB91" s="1">
        <v>51</v>
      </c>
      <c r="AC91" s="1">
        <v>51</v>
      </c>
      <c r="AD91" s="1">
        <v>49</v>
      </c>
      <c r="AE91" s="1">
        <v>50</v>
      </c>
      <c r="AF91" s="18">
        <f t="shared" si="1"/>
        <v>50.166666666666664</v>
      </c>
    </row>
    <row r="92" spans="1:32" x14ac:dyDescent="0.35">
      <c r="A92" s="1" t="s">
        <v>68</v>
      </c>
      <c r="B92" s="1">
        <v>25</v>
      </c>
      <c r="C92" s="1">
        <v>25</v>
      </c>
      <c r="D92" s="1">
        <v>26</v>
      </c>
      <c r="E92" s="1">
        <v>19</v>
      </c>
      <c r="F92" s="1">
        <v>21</v>
      </c>
      <c r="G92" s="1">
        <v>32</v>
      </c>
      <c r="H92" s="1">
        <v>28</v>
      </c>
      <c r="I92" s="1">
        <v>33</v>
      </c>
      <c r="J92" s="1">
        <v>27</v>
      </c>
      <c r="K92" s="1">
        <v>19</v>
      </c>
      <c r="L92" s="1">
        <v>26</v>
      </c>
      <c r="M92" s="1">
        <v>26</v>
      </c>
      <c r="N92" s="1">
        <v>27</v>
      </c>
      <c r="O92" s="1">
        <v>27</v>
      </c>
      <c r="P92" s="1">
        <v>26</v>
      </c>
      <c r="Q92" s="1">
        <v>27</v>
      </c>
      <c r="R92" s="1">
        <v>34</v>
      </c>
      <c r="S92" s="1">
        <v>24</v>
      </c>
      <c r="T92" s="1">
        <v>26</v>
      </c>
      <c r="U92" s="1">
        <v>35</v>
      </c>
      <c r="V92" s="1">
        <v>26</v>
      </c>
      <c r="W92" s="1">
        <v>24</v>
      </c>
      <c r="X92" s="1">
        <v>32</v>
      </c>
      <c r="Y92" s="1">
        <v>26</v>
      </c>
      <c r="Z92" s="1">
        <v>29</v>
      </c>
      <c r="AA92" s="1">
        <v>24</v>
      </c>
      <c r="AB92" s="1">
        <v>24</v>
      </c>
      <c r="AC92" s="1">
        <v>34</v>
      </c>
      <c r="AD92" s="1">
        <v>23</v>
      </c>
      <c r="AE92" s="1">
        <v>34</v>
      </c>
      <c r="AF92" s="18">
        <f t="shared" si="1"/>
        <v>26.966666666666665</v>
      </c>
    </row>
    <row r="93" spans="1:32" x14ac:dyDescent="0.35">
      <c r="A93" s="1" t="s">
        <v>69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8">
        <f t="shared" si="1"/>
        <v>0</v>
      </c>
    </row>
    <row r="94" spans="1:32" x14ac:dyDescent="0.35">
      <c r="A94" s="1" t="s">
        <v>70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8">
        <f t="shared" si="1"/>
        <v>0</v>
      </c>
    </row>
    <row r="95" spans="1:32" x14ac:dyDescent="0.35">
      <c r="A95" s="1" t="s">
        <v>71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8">
        <f t="shared" si="1"/>
        <v>0</v>
      </c>
    </row>
    <row r="96" spans="1:32" x14ac:dyDescent="0.35">
      <c r="A96" s="1" t="s">
        <v>72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8">
        <f t="shared" si="1"/>
        <v>0</v>
      </c>
    </row>
    <row r="97" spans="1:32" x14ac:dyDescent="0.35">
      <c r="A97" s="1" t="s">
        <v>73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8">
        <f t="shared" si="1"/>
        <v>0</v>
      </c>
    </row>
    <row r="98" spans="1:32" x14ac:dyDescent="0.35">
      <c r="A98" s="1" t="s">
        <v>74</v>
      </c>
      <c r="B98" s="1">
        <v>13</v>
      </c>
      <c r="C98" s="1">
        <v>10</v>
      </c>
      <c r="D98" s="1">
        <v>16</v>
      </c>
      <c r="E98" s="1">
        <v>17</v>
      </c>
      <c r="F98" s="1">
        <v>14</v>
      </c>
      <c r="G98" s="1">
        <v>19</v>
      </c>
      <c r="H98" s="1">
        <v>14</v>
      </c>
      <c r="I98" s="1">
        <v>11</v>
      </c>
      <c r="J98" s="1">
        <v>11</v>
      </c>
      <c r="K98" s="1">
        <v>14</v>
      </c>
      <c r="L98" s="1">
        <v>12</v>
      </c>
      <c r="M98" s="1">
        <v>11</v>
      </c>
      <c r="N98" s="1">
        <v>19</v>
      </c>
      <c r="O98" s="1">
        <v>11</v>
      </c>
      <c r="P98" s="1">
        <v>14</v>
      </c>
      <c r="Q98" s="1">
        <v>14</v>
      </c>
      <c r="R98" s="1">
        <v>20</v>
      </c>
      <c r="S98" s="1">
        <v>13</v>
      </c>
      <c r="T98" s="1">
        <v>16</v>
      </c>
      <c r="U98" s="1">
        <v>14</v>
      </c>
      <c r="V98" s="1">
        <v>18</v>
      </c>
      <c r="W98" s="1">
        <v>12</v>
      </c>
      <c r="X98" s="1">
        <v>15</v>
      </c>
      <c r="Y98" s="1">
        <v>13</v>
      </c>
      <c r="Z98" s="1">
        <v>11</v>
      </c>
      <c r="AA98" s="1">
        <v>20</v>
      </c>
      <c r="AB98" s="1">
        <v>19</v>
      </c>
      <c r="AC98" s="1">
        <v>16</v>
      </c>
      <c r="AD98" s="1">
        <v>17</v>
      </c>
      <c r="AE98" s="1">
        <v>13</v>
      </c>
      <c r="AF98" s="18">
        <f t="shared" si="1"/>
        <v>14.566666666666666</v>
      </c>
    </row>
    <row r="99" spans="1:32" x14ac:dyDescent="0.35">
      <c r="A99" s="1" t="s">
        <v>75</v>
      </c>
      <c r="B99" s="1">
        <v>36</v>
      </c>
      <c r="C99" s="1">
        <v>29</v>
      </c>
      <c r="D99" s="1">
        <v>24</v>
      </c>
      <c r="E99" s="1">
        <v>35</v>
      </c>
      <c r="F99" s="1">
        <v>40</v>
      </c>
      <c r="G99" s="1">
        <v>39</v>
      </c>
      <c r="H99" s="1">
        <v>27</v>
      </c>
      <c r="I99" s="1">
        <v>41</v>
      </c>
      <c r="J99" s="1">
        <v>28</v>
      </c>
      <c r="K99" s="1">
        <v>31</v>
      </c>
      <c r="L99" s="1">
        <v>34</v>
      </c>
      <c r="M99" s="1">
        <v>38</v>
      </c>
      <c r="N99" s="1">
        <v>24</v>
      </c>
      <c r="O99" s="1">
        <v>25</v>
      </c>
      <c r="P99" s="1">
        <v>29</v>
      </c>
      <c r="Q99" s="1">
        <v>19</v>
      </c>
      <c r="R99" s="1">
        <v>24</v>
      </c>
      <c r="S99" s="1">
        <v>34</v>
      </c>
      <c r="T99" s="1">
        <v>29</v>
      </c>
      <c r="U99" s="1">
        <v>29</v>
      </c>
      <c r="V99" s="1">
        <v>35</v>
      </c>
      <c r="W99" s="1">
        <v>27</v>
      </c>
      <c r="X99" s="1">
        <v>29</v>
      </c>
      <c r="Y99" s="1">
        <v>37</v>
      </c>
      <c r="Z99" s="1">
        <v>37</v>
      </c>
      <c r="AA99" s="1">
        <v>28</v>
      </c>
      <c r="AB99" s="1">
        <v>24</v>
      </c>
      <c r="AC99" s="1">
        <v>28</v>
      </c>
      <c r="AD99" s="1">
        <v>37</v>
      </c>
      <c r="AE99" s="1">
        <v>37</v>
      </c>
      <c r="AF99" s="18">
        <f t="shared" si="1"/>
        <v>31.133333333333333</v>
      </c>
    </row>
    <row r="100" spans="1:32" x14ac:dyDescent="0.35">
      <c r="A100" s="1" t="s">
        <v>76</v>
      </c>
      <c r="B100" s="1">
        <v>45</v>
      </c>
      <c r="C100" s="1">
        <v>48</v>
      </c>
      <c r="D100" s="1">
        <v>48</v>
      </c>
      <c r="E100" s="1">
        <v>42</v>
      </c>
      <c r="F100" s="1">
        <v>44</v>
      </c>
      <c r="G100" s="1">
        <v>44</v>
      </c>
      <c r="H100" s="1">
        <v>48</v>
      </c>
      <c r="I100" s="1">
        <v>44</v>
      </c>
      <c r="J100" s="1">
        <v>47</v>
      </c>
      <c r="K100" s="1">
        <v>48</v>
      </c>
      <c r="L100" s="1">
        <v>48</v>
      </c>
      <c r="M100" s="1">
        <v>45</v>
      </c>
      <c r="N100" s="1">
        <v>46</v>
      </c>
      <c r="O100" s="1">
        <v>46</v>
      </c>
      <c r="P100" s="1">
        <v>48</v>
      </c>
      <c r="Q100" s="1">
        <v>44</v>
      </c>
      <c r="R100" s="1">
        <v>42</v>
      </c>
      <c r="S100" s="1">
        <v>44</v>
      </c>
      <c r="T100" s="1">
        <v>44</v>
      </c>
      <c r="U100" s="1">
        <v>46</v>
      </c>
      <c r="V100" s="1">
        <v>43</v>
      </c>
      <c r="W100" s="1">
        <v>45</v>
      </c>
      <c r="X100" s="1">
        <v>46</v>
      </c>
      <c r="Y100" s="1">
        <v>45</v>
      </c>
      <c r="Z100" s="1">
        <v>47</v>
      </c>
      <c r="AA100" s="1">
        <v>46</v>
      </c>
      <c r="AB100" s="1">
        <v>42</v>
      </c>
      <c r="AC100" s="1">
        <v>47</v>
      </c>
      <c r="AD100" s="1">
        <v>46</v>
      </c>
      <c r="AE100" s="1">
        <v>48</v>
      </c>
      <c r="AF100" s="18">
        <f t="shared" si="1"/>
        <v>45.533333333333331</v>
      </c>
    </row>
    <row r="101" spans="1:32" x14ac:dyDescent="0.35">
      <c r="A101" s="1" t="s">
        <v>77</v>
      </c>
      <c r="B101" s="1">
        <v>22</v>
      </c>
      <c r="C101" s="1">
        <v>24</v>
      </c>
      <c r="D101" s="1">
        <v>21</v>
      </c>
      <c r="E101" s="1">
        <v>26</v>
      </c>
      <c r="F101" s="1">
        <v>26</v>
      </c>
      <c r="G101" s="1">
        <v>25</v>
      </c>
      <c r="H101" s="1">
        <v>20</v>
      </c>
      <c r="I101" s="1">
        <v>24</v>
      </c>
      <c r="J101" s="1">
        <v>27</v>
      </c>
      <c r="K101" s="1">
        <v>28</v>
      </c>
      <c r="L101" s="1">
        <v>19</v>
      </c>
      <c r="M101" s="1">
        <v>25</v>
      </c>
      <c r="N101" s="1">
        <v>18</v>
      </c>
      <c r="O101" s="1">
        <v>18</v>
      </c>
      <c r="P101" s="1">
        <v>21</v>
      </c>
      <c r="Q101" s="1">
        <v>18</v>
      </c>
      <c r="R101" s="1">
        <v>21</v>
      </c>
      <c r="S101" s="1">
        <v>19</v>
      </c>
      <c r="T101" s="1">
        <v>22</v>
      </c>
      <c r="U101" s="1">
        <v>21</v>
      </c>
      <c r="V101" s="1">
        <v>18</v>
      </c>
      <c r="W101" s="1">
        <v>28</v>
      </c>
      <c r="X101" s="1">
        <v>18</v>
      </c>
      <c r="Y101" s="1">
        <v>26</v>
      </c>
      <c r="Z101" s="1">
        <v>21</v>
      </c>
      <c r="AA101" s="1">
        <v>23</v>
      </c>
      <c r="AB101" s="1">
        <v>21</v>
      </c>
      <c r="AC101" s="1">
        <v>21</v>
      </c>
      <c r="AD101" s="1">
        <v>22</v>
      </c>
      <c r="AE101" s="1">
        <v>19</v>
      </c>
      <c r="AF101" s="18">
        <f t="shared" si="1"/>
        <v>22.066666666666666</v>
      </c>
    </row>
    <row r="102" spans="1:32" x14ac:dyDescent="0.35">
      <c r="A102" s="1" t="s">
        <v>78</v>
      </c>
      <c r="B102" s="1">
        <v>21</v>
      </c>
      <c r="C102" s="1">
        <v>22</v>
      </c>
      <c r="D102" s="1">
        <v>21</v>
      </c>
      <c r="E102" s="1">
        <v>22</v>
      </c>
      <c r="F102" s="1">
        <v>21</v>
      </c>
      <c r="G102" s="1">
        <v>22</v>
      </c>
      <c r="H102" s="1">
        <v>22</v>
      </c>
      <c r="I102" s="1">
        <v>23</v>
      </c>
      <c r="J102" s="1">
        <v>22</v>
      </c>
      <c r="K102" s="1">
        <v>22</v>
      </c>
      <c r="L102" s="1">
        <v>22</v>
      </c>
      <c r="M102" s="1">
        <v>21</v>
      </c>
      <c r="N102" s="1">
        <v>21</v>
      </c>
      <c r="O102" s="1">
        <v>21</v>
      </c>
      <c r="P102" s="1">
        <v>22</v>
      </c>
      <c r="Q102" s="1">
        <v>21</v>
      </c>
      <c r="R102" s="1">
        <v>22</v>
      </c>
      <c r="S102" s="1">
        <v>22</v>
      </c>
      <c r="T102" s="1">
        <v>22</v>
      </c>
      <c r="U102" s="1">
        <v>22</v>
      </c>
      <c r="V102" s="1">
        <v>21</v>
      </c>
      <c r="W102" s="1">
        <v>23</v>
      </c>
      <c r="X102" s="1">
        <v>23</v>
      </c>
      <c r="Y102" s="1">
        <v>22</v>
      </c>
      <c r="Z102" s="1">
        <v>23</v>
      </c>
      <c r="AA102" s="1">
        <v>23</v>
      </c>
      <c r="AB102" s="1">
        <v>21</v>
      </c>
      <c r="AC102" s="1">
        <v>22</v>
      </c>
      <c r="AD102" s="1">
        <v>23</v>
      </c>
      <c r="AE102" s="1">
        <v>23</v>
      </c>
      <c r="AF102" s="18">
        <f t="shared" si="1"/>
        <v>21.933333333333334</v>
      </c>
    </row>
    <row r="103" spans="1:32" x14ac:dyDescent="0.35">
      <c r="A103" s="1" t="s">
        <v>79</v>
      </c>
      <c r="B103" s="1">
        <v>27</v>
      </c>
      <c r="C103" s="1">
        <v>14</v>
      </c>
      <c r="D103" s="1">
        <v>12</v>
      </c>
      <c r="E103" s="1">
        <v>21</v>
      </c>
      <c r="F103" s="1">
        <v>25</v>
      </c>
      <c r="G103" s="1">
        <v>27</v>
      </c>
      <c r="H103" s="1">
        <v>27</v>
      </c>
      <c r="I103" s="1">
        <v>28</v>
      </c>
      <c r="J103" s="1">
        <v>12</v>
      </c>
      <c r="K103" s="1">
        <v>27</v>
      </c>
      <c r="L103" s="1">
        <v>14</v>
      </c>
      <c r="M103" s="1">
        <v>20</v>
      </c>
      <c r="N103" s="1">
        <v>27</v>
      </c>
      <c r="O103" s="1">
        <v>22</v>
      </c>
      <c r="P103" s="1">
        <v>17</v>
      </c>
      <c r="Q103" s="1">
        <v>17</v>
      </c>
      <c r="R103" s="1">
        <v>14</v>
      </c>
      <c r="S103" s="1">
        <v>12</v>
      </c>
      <c r="T103" s="1">
        <v>15</v>
      </c>
      <c r="U103" s="1">
        <v>27</v>
      </c>
      <c r="V103" s="1">
        <v>16</v>
      </c>
      <c r="W103" s="1">
        <v>22</v>
      </c>
      <c r="X103" s="1">
        <v>14</v>
      </c>
      <c r="Y103" s="1">
        <v>14</v>
      </c>
      <c r="Z103" s="1">
        <v>13</v>
      </c>
      <c r="AA103" s="1">
        <v>15</v>
      </c>
      <c r="AB103" s="1">
        <v>24</v>
      </c>
      <c r="AC103" s="1">
        <v>18</v>
      </c>
      <c r="AD103" s="1">
        <v>19</v>
      </c>
      <c r="AE103" s="1">
        <v>26</v>
      </c>
      <c r="AF103" s="18">
        <f t="shared" si="1"/>
        <v>19.533333333333335</v>
      </c>
    </row>
    <row r="104" spans="1:32" x14ac:dyDescent="0.35">
      <c r="A104" s="1" t="s">
        <v>183</v>
      </c>
      <c r="B104" s="1">
        <v>37</v>
      </c>
      <c r="C104" s="1">
        <v>27</v>
      </c>
      <c r="D104" s="1">
        <v>20</v>
      </c>
      <c r="E104" s="1">
        <v>24</v>
      </c>
      <c r="F104" s="1">
        <v>25</v>
      </c>
      <c r="G104" s="1">
        <v>18</v>
      </c>
      <c r="H104" s="1">
        <v>25</v>
      </c>
      <c r="I104" s="1">
        <v>16</v>
      </c>
      <c r="J104" s="1">
        <v>17</v>
      </c>
      <c r="K104" s="1">
        <v>32</v>
      </c>
      <c r="L104" s="1">
        <v>31</v>
      </c>
      <c r="M104" s="1">
        <v>34</v>
      </c>
      <c r="N104" s="1">
        <v>28</v>
      </c>
      <c r="O104" s="1">
        <v>29</v>
      </c>
      <c r="P104" s="1">
        <v>30</v>
      </c>
      <c r="Q104" s="1">
        <v>29</v>
      </c>
      <c r="R104" s="1">
        <v>23</v>
      </c>
      <c r="S104" s="1">
        <v>27</v>
      </c>
      <c r="T104" s="1">
        <v>16</v>
      </c>
      <c r="U104" s="1">
        <v>20</v>
      </c>
      <c r="V104" s="1">
        <v>29</v>
      </c>
      <c r="W104" s="1">
        <v>27</v>
      </c>
      <c r="X104" s="1">
        <v>20</v>
      </c>
      <c r="Y104" s="1">
        <v>28</v>
      </c>
      <c r="Z104" s="1">
        <v>38</v>
      </c>
      <c r="AA104" s="1">
        <v>31</v>
      </c>
      <c r="AB104" s="1">
        <v>30</v>
      </c>
      <c r="AC104" s="1">
        <v>37</v>
      </c>
      <c r="AD104" s="1">
        <v>17</v>
      </c>
      <c r="AE104" s="1">
        <v>17</v>
      </c>
      <c r="AF104" s="18">
        <f t="shared" si="1"/>
        <v>26.066666666666666</v>
      </c>
    </row>
    <row r="105" spans="1:32" x14ac:dyDescent="0.35">
      <c r="A105" s="1" t="s">
        <v>80</v>
      </c>
      <c r="B105" s="1">
        <v>35</v>
      </c>
      <c r="C105" s="1">
        <v>34</v>
      </c>
      <c r="D105" s="1">
        <v>29</v>
      </c>
      <c r="E105" s="1">
        <v>26</v>
      </c>
      <c r="F105" s="1">
        <v>22</v>
      </c>
      <c r="G105" s="1">
        <v>40</v>
      </c>
      <c r="H105" s="1">
        <v>39</v>
      </c>
      <c r="I105" s="1">
        <v>48</v>
      </c>
      <c r="J105" s="1">
        <v>26</v>
      </c>
      <c r="K105" s="1">
        <v>20</v>
      </c>
      <c r="L105" s="1">
        <v>24</v>
      </c>
      <c r="M105" s="1">
        <v>30</v>
      </c>
      <c r="N105" s="1">
        <v>20</v>
      </c>
      <c r="O105" s="1">
        <v>23</v>
      </c>
      <c r="P105" s="1">
        <v>33</v>
      </c>
      <c r="Q105" s="1">
        <v>38</v>
      </c>
      <c r="R105" s="1">
        <v>27</v>
      </c>
      <c r="S105" s="1">
        <v>23</v>
      </c>
      <c r="T105" s="1">
        <v>45</v>
      </c>
      <c r="U105" s="1">
        <v>28</v>
      </c>
      <c r="V105" s="1">
        <v>32</v>
      </c>
      <c r="W105" s="1">
        <v>27</v>
      </c>
      <c r="X105" s="1">
        <v>38</v>
      </c>
      <c r="Y105" s="1">
        <v>34</v>
      </c>
      <c r="Z105" s="1">
        <v>47</v>
      </c>
      <c r="AA105" s="1">
        <v>26</v>
      </c>
      <c r="AB105" s="1">
        <v>48</v>
      </c>
      <c r="AC105" s="1">
        <v>44</v>
      </c>
      <c r="AD105" s="1">
        <v>38</v>
      </c>
      <c r="AE105" s="1">
        <v>49</v>
      </c>
      <c r="AF105" s="18">
        <f t="shared" si="1"/>
        <v>33.1</v>
      </c>
    </row>
    <row r="106" spans="1:32" x14ac:dyDescent="0.35">
      <c r="A106" s="1" t="s">
        <v>81</v>
      </c>
      <c r="B106" s="1">
        <v>42</v>
      </c>
      <c r="C106" s="1">
        <v>45</v>
      </c>
      <c r="D106" s="1">
        <v>32</v>
      </c>
      <c r="E106" s="1">
        <v>38</v>
      </c>
      <c r="F106" s="1">
        <v>42</v>
      </c>
      <c r="G106" s="1">
        <v>47</v>
      </c>
      <c r="H106" s="1">
        <v>38</v>
      </c>
      <c r="I106" s="1">
        <v>45</v>
      </c>
      <c r="J106" s="1">
        <v>44</v>
      </c>
      <c r="K106" s="1">
        <v>33</v>
      </c>
      <c r="L106" s="1">
        <v>48</v>
      </c>
      <c r="M106" s="1">
        <v>41</v>
      </c>
      <c r="N106" s="1">
        <v>33</v>
      </c>
      <c r="O106" s="1">
        <v>48</v>
      </c>
      <c r="P106" s="1">
        <v>42</v>
      </c>
      <c r="Q106" s="1">
        <v>45</v>
      </c>
      <c r="R106" s="1">
        <v>42</v>
      </c>
      <c r="S106" s="1">
        <v>35</v>
      </c>
      <c r="T106" s="1">
        <v>31</v>
      </c>
      <c r="U106" s="1">
        <v>36</v>
      </c>
      <c r="V106" s="1">
        <v>33</v>
      </c>
      <c r="W106" s="1">
        <v>37</v>
      </c>
      <c r="X106" s="1">
        <v>33</v>
      </c>
      <c r="Y106" s="1">
        <v>44</v>
      </c>
      <c r="Z106" s="1">
        <v>45</v>
      </c>
      <c r="AA106" s="1">
        <v>45</v>
      </c>
      <c r="AB106" s="1">
        <v>44</v>
      </c>
      <c r="AC106" s="1">
        <v>39</v>
      </c>
      <c r="AD106" s="1">
        <v>36</v>
      </c>
      <c r="AE106" s="1">
        <v>32</v>
      </c>
      <c r="AF106" s="18">
        <f t="shared" si="1"/>
        <v>39.833333333333336</v>
      </c>
    </row>
    <row r="107" spans="1:32" x14ac:dyDescent="0.35">
      <c r="A107" s="1" t="s">
        <v>82</v>
      </c>
      <c r="B107" s="1">
        <v>55</v>
      </c>
      <c r="C107" s="1">
        <v>24</v>
      </c>
      <c r="D107" s="1">
        <v>33</v>
      </c>
      <c r="E107" s="1">
        <v>47</v>
      </c>
      <c r="F107" s="1">
        <v>61</v>
      </c>
      <c r="G107" s="1">
        <v>21</v>
      </c>
      <c r="H107" s="1">
        <v>37</v>
      </c>
      <c r="I107" s="1">
        <v>37</v>
      </c>
      <c r="J107" s="1">
        <v>32</v>
      </c>
      <c r="K107" s="1">
        <v>44</v>
      </c>
      <c r="L107" s="1">
        <v>43</v>
      </c>
      <c r="M107" s="1">
        <v>37</v>
      </c>
      <c r="N107" s="1">
        <v>50</v>
      </c>
      <c r="O107" s="1">
        <v>47</v>
      </c>
      <c r="P107" s="1">
        <v>53</v>
      </c>
      <c r="Q107" s="1">
        <v>43</v>
      </c>
      <c r="R107" s="1">
        <v>24</v>
      </c>
      <c r="S107" s="1">
        <v>32</v>
      </c>
      <c r="T107" s="1">
        <v>29</v>
      </c>
      <c r="U107" s="1">
        <v>36</v>
      </c>
      <c r="V107" s="1">
        <v>36</v>
      </c>
      <c r="W107" s="1">
        <v>54</v>
      </c>
      <c r="X107" s="1">
        <v>34</v>
      </c>
      <c r="Y107" s="1">
        <v>34</v>
      </c>
      <c r="Z107" s="1">
        <v>30</v>
      </c>
      <c r="AA107" s="1">
        <v>45</v>
      </c>
      <c r="AB107" s="1">
        <v>57</v>
      </c>
      <c r="AC107" s="1">
        <v>40</v>
      </c>
      <c r="AD107" s="1">
        <v>49</v>
      </c>
      <c r="AE107" s="1">
        <v>50</v>
      </c>
      <c r="AF107" s="18">
        <f t="shared" si="1"/>
        <v>40.466666666666669</v>
      </c>
    </row>
    <row r="108" spans="1:32" x14ac:dyDescent="0.35">
      <c r="A108" s="1" t="s">
        <v>83</v>
      </c>
      <c r="B108" s="1">
        <v>31</v>
      </c>
      <c r="C108" s="1">
        <v>31</v>
      </c>
      <c r="D108" s="1">
        <v>38</v>
      </c>
      <c r="E108" s="1">
        <v>30</v>
      </c>
      <c r="F108" s="1">
        <v>44</v>
      </c>
      <c r="G108" s="1">
        <v>34</v>
      </c>
      <c r="H108" s="1">
        <v>39</v>
      </c>
      <c r="I108" s="1">
        <v>30</v>
      </c>
      <c r="J108" s="1">
        <v>40</v>
      </c>
      <c r="K108" s="1">
        <v>35</v>
      </c>
      <c r="L108" s="1">
        <v>44</v>
      </c>
      <c r="M108" s="1">
        <v>32</v>
      </c>
      <c r="N108" s="1">
        <v>28</v>
      </c>
      <c r="O108" s="1">
        <v>47</v>
      </c>
      <c r="P108" s="1">
        <v>29</v>
      </c>
      <c r="Q108" s="1">
        <v>42</v>
      </c>
      <c r="R108" s="1">
        <v>31</v>
      </c>
      <c r="S108" s="1">
        <v>41</v>
      </c>
      <c r="T108" s="1">
        <v>37</v>
      </c>
      <c r="U108" s="1">
        <v>32</v>
      </c>
      <c r="V108" s="1">
        <v>47</v>
      </c>
      <c r="W108" s="1">
        <v>31</v>
      </c>
      <c r="X108" s="1">
        <v>37</v>
      </c>
      <c r="Y108" s="1">
        <v>43</v>
      </c>
      <c r="Z108" s="1">
        <v>38</v>
      </c>
      <c r="AA108" s="1">
        <v>48</v>
      </c>
      <c r="AB108" s="1">
        <v>41</v>
      </c>
      <c r="AC108" s="1">
        <v>40</v>
      </c>
      <c r="AD108" s="1">
        <v>35</v>
      </c>
      <c r="AE108" s="1">
        <v>40</v>
      </c>
      <c r="AF108" s="18">
        <f t="shared" si="1"/>
        <v>37.166666666666664</v>
      </c>
    </row>
    <row r="109" spans="1:32" x14ac:dyDescent="0.35">
      <c r="A109" s="1" t="s">
        <v>84</v>
      </c>
      <c r="B109" s="1">
        <v>21</v>
      </c>
      <c r="C109" s="1">
        <v>21</v>
      </c>
      <c r="D109" s="1">
        <v>22</v>
      </c>
      <c r="E109" s="1">
        <v>20</v>
      </c>
      <c r="F109" s="1">
        <v>17</v>
      </c>
      <c r="G109" s="1">
        <v>23</v>
      </c>
      <c r="H109" s="1">
        <v>10</v>
      </c>
      <c r="I109" s="1">
        <v>10</v>
      </c>
      <c r="J109" s="1">
        <v>10</v>
      </c>
      <c r="K109" s="1">
        <v>22</v>
      </c>
      <c r="L109" s="1">
        <v>27</v>
      </c>
      <c r="M109" s="1">
        <v>16</v>
      </c>
      <c r="N109" s="1">
        <v>13</v>
      </c>
      <c r="O109" s="1">
        <v>9</v>
      </c>
      <c r="P109" s="1">
        <v>9</v>
      </c>
      <c r="Q109" s="1">
        <v>21</v>
      </c>
      <c r="R109" s="1">
        <v>9</v>
      </c>
      <c r="S109" s="1">
        <v>26</v>
      </c>
      <c r="T109" s="1">
        <v>25</v>
      </c>
      <c r="U109" s="1">
        <v>27</v>
      </c>
      <c r="V109" s="1">
        <v>21</v>
      </c>
      <c r="W109" s="1">
        <v>28</v>
      </c>
      <c r="X109" s="1">
        <v>12</v>
      </c>
      <c r="Y109" s="1">
        <v>16</v>
      </c>
      <c r="Z109" s="1">
        <v>19</v>
      </c>
      <c r="AA109" s="1">
        <v>19</v>
      </c>
      <c r="AB109" s="1">
        <v>12</v>
      </c>
      <c r="AC109" s="1">
        <v>24</v>
      </c>
      <c r="AD109" s="1">
        <v>21</v>
      </c>
      <c r="AE109" s="1">
        <v>11</v>
      </c>
      <c r="AF109" s="18">
        <f t="shared" si="1"/>
        <v>18.033333333333335</v>
      </c>
    </row>
    <row r="110" spans="1:32" x14ac:dyDescent="0.35">
      <c r="A110" s="1" t="s">
        <v>85</v>
      </c>
      <c r="B110" s="1">
        <v>18</v>
      </c>
      <c r="C110" s="1">
        <v>26</v>
      </c>
      <c r="D110" s="1">
        <v>22</v>
      </c>
      <c r="E110" s="1">
        <v>23</v>
      </c>
      <c r="F110" s="1">
        <v>16</v>
      </c>
      <c r="G110" s="1">
        <v>26</v>
      </c>
      <c r="H110" s="1">
        <v>23</v>
      </c>
      <c r="I110" s="1">
        <v>25</v>
      </c>
      <c r="J110" s="1">
        <v>26</v>
      </c>
      <c r="K110" s="1">
        <v>22</v>
      </c>
      <c r="L110" s="1">
        <v>19</v>
      </c>
      <c r="M110" s="1">
        <v>17</v>
      </c>
      <c r="N110" s="1">
        <v>24</v>
      </c>
      <c r="O110" s="1">
        <v>26</v>
      </c>
      <c r="P110" s="1">
        <v>24</v>
      </c>
      <c r="Q110" s="1">
        <v>25</v>
      </c>
      <c r="R110" s="1">
        <v>19</v>
      </c>
      <c r="S110" s="1">
        <v>18</v>
      </c>
      <c r="T110" s="1">
        <v>22</v>
      </c>
      <c r="U110" s="1">
        <v>24</v>
      </c>
      <c r="V110" s="1">
        <v>16</v>
      </c>
      <c r="W110" s="1">
        <v>24</v>
      </c>
      <c r="X110" s="1">
        <v>25</v>
      </c>
      <c r="Y110" s="1">
        <v>25</v>
      </c>
      <c r="Z110" s="1">
        <v>26</v>
      </c>
      <c r="AA110" s="1">
        <v>21</v>
      </c>
      <c r="AB110" s="1">
        <v>23</v>
      </c>
      <c r="AC110" s="1">
        <v>20</v>
      </c>
      <c r="AD110" s="1">
        <v>22</v>
      </c>
      <c r="AE110" s="1">
        <v>21</v>
      </c>
      <c r="AF110" s="18">
        <f t="shared" si="1"/>
        <v>22.266666666666666</v>
      </c>
    </row>
    <row r="111" spans="1:32" x14ac:dyDescent="0.35">
      <c r="A111" s="1" t="s">
        <v>86</v>
      </c>
      <c r="B111" s="1">
        <v>24</v>
      </c>
      <c r="C111" s="1">
        <v>48</v>
      </c>
      <c r="D111" s="1">
        <v>42</v>
      </c>
      <c r="E111" s="1">
        <v>49</v>
      </c>
      <c r="F111" s="1">
        <v>39</v>
      </c>
      <c r="G111" s="1">
        <v>30</v>
      </c>
      <c r="H111" s="1">
        <v>42</v>
      </c>
      <c r="I111" s="1">
        <v>22</v>
      </c>
      <c r="J111" s="1">
        <v>41</v>
      </c>
      <c r="K111" s="1">
        <v>37</v>
      </c>
      <c r="L111" s="1">
        <v>39</v>
      </c>
      <c r="M111" s="1">
        <v>50</v>
      </c>
      <c r="N111" s="1">
        <v>21</v>
      </c>
      <c r="O111" s="1">
        <v>46</v>
      </c>
      <c r="P111" s="1">
        <v>37</v>
      </c>
      <c r="Q111" s="1">
        <v>51</v>
      </c>
      <c r="R111" s="1">
        <v>30</v>
      </c>
      <c r="S111" s="1">
        <v>23</v>
      </c>
      <c r="T111" s="1">
        <v>41</v>
      </c>
      <c r="U111" s="1">
        <v>17</v>
      </c>
      <c r="V111" s="1">
        <v>39</v>
      </c>
      <c r="W111" s="1">
        <v>23</v>
      </c>
      <c r="X111" s="1">
        <v>21</v>
      </c>
      <c r="Y111" s="1">
        <v>29</v>
      </c>
      <c r="Z111" s="1">
        <v>51</v>
      </c>
      <c r="AA111" s="1">
        <v>25</v>
      </c>
      <c r="AB111" s="1">
        <v>23</v>
      </c>
      <c r="AC111" s="1">
        <v>49</v>
      </c>
      <c r="AD111" s="1">
        <v>49</v>
      </c>
      <c r="AE111" s="1">
        <v>34</v>
      </c>
      <c r="AF111" s="18">
        <f t="shared" si="1"/>
        <v>35.733333333333334</v>
      </c>
    </row>
    <row r="112" spans="1:32" x14ac:dyDescent="0.35">
      <c r="A112" s="1" t="s">
        <v>87</v>
      </c>
      <c r="B112" s="1">
        <v>35</v>
      </c>
      <c r="C112" s="1">
        <v>31</v>
      </c>
      <c r="D112" s="1">
        <v>30</v>
      </c>
      <c r="E112" s="1">
        <v>22</v>
      </c>
      <c r="F112" s="1">
        <v>20</v>
      </c>
      <c r="G112" s="1">
        <v>20</v>
      </c>
      <c r="H112" s="1">
        <v>25</v>
      </c>
      <c r="I112" s="1">
        <v>31</v>
      </c>
      <c r="J112" s="1">
        <v>39</v>
      </c>
      <c r="K112" s="1">
        <v>25</v>
      </c>
      <c r="L112" s="1">
        <v>34</v>
      </c>
      <c r="M112" s="1">
        <v>36</v>
      </c>
      <c r="N112" s="1">
        <v>29</v>
      </c>
      <c r="O112" s="1">
        <v>37</v>
      </c>
      <c r="P112" s="1">
        <v>27</v>
      </c>
      <c r="Q112" s="1">
        <v>24</v>
      </c>
      <c r="R112" s="1">
        <v>38</v>
      </c>
      <c r="S112" s="1">
        <v>22</v>
      </c>
      <c r="T112" s="1">
        <v>27</v>
      </c>
      <c r="U112" s="1">
        <v>39</v>
      </c>
      <c r="V112" s="1">
        <v>33</v>
      </c>
      <c r="W112" s="1">
        <v>20</v>
      </c>
      <c r="X112" s="1">
        <v>40</v>
      </c>
      <c r="Y112" s="1">
        <v>39</v>
      </c>
      <c r="Z112" s="1">
        <v>37</v>
      </c>
      <c r="AA112" s="1">
        <v>39</v>
      </c>
      <c r="AB112" s="1">
        <v>41</v>
      </c>
      <c r="AC112" s="1">
        <v>39</v>
      </c>
      <c r="AD112" s="1">
        <v>40</v>
      </c>
      <c r="AE112" s="1">
        <v>29</v>
      </c>
      <c r="AF112" s="18">
        <f t="shared" si="1"/>
        <v>31.6</v>
      </c>
    </row>
    <row r="113" spans="1:32" x14ac:dyDescent="0.35">
      <c r="A113" s="1" t="s">
        <v>88</v>
      </c>
      <c r="B113" s="1">
        <v>33</v>
      </c>
      <c r="C113" s="1">
        <v>24</v>
      </c>
      <c r="D113" s="1">
        <v>43</v>
      </c>
      <c r="E113" s="1">
        <v>45</v>
      </c>
      <c r="F113" s="1">
        <v>42</v>
      </c>
      <c r="G113" s="1">
        <v>37</v>
      </c>
      <c r="H113" s="1">
        <v>37</v>
      </c>
      <c r="I113" s="1">
        <v>22</v>
      </c>
      <c r="J113" s="1">
        <v>21</v>
      </c>
      <c r="K113" s="1">
        <v>27</v>
      </c>
      <c r="L113" s="1">
        <v>29</v>
      </c>
      <c r="M113" s="1">
        <v>26</v>
      </c>
      <c r="N113" s="1">
        <v>27</v>
      </c>
      <c r="O113" s="1">
        <v>35</v>
      </c>
      <c r="P113" s="1">
        <v>29</v>
      </c>
      <c r="Q113" s="1">
        <v>33</v>
      </c>
      <c r="R113" s="1">
        <v>27</v>
      </c>
      <c r="S113" s="1">
        <v>30</v>
      </c>
      <c r="T113" s="1">
        <v>28</v>
      </c>
      <c r="U113" s="1">
        <v>35</v>
      </c>
      <c r="V113" s="1">
        <v>43</v>
      </c>
      <c r="W113" s="1">
        <v>44</v>
      </c>
      <c r="X113" s="1">
        <v>34</v>
      </c>
      <c r="Y113" s="1">
        <v>42</v>
      </c>
      <c r="Z113" s="1">
        <v>21</v>
      </c>
      <c r="AA113" s="1">
        <v>24</v>
      </c>
      <c r="AB113" s="1">
        <v>36</v>
      </c>
      <c r="AC113" s="1">
        <v>30</v>
      </c>
      <c r="AD113" s="1">
        <v>21</v>
      </c>
      <c r="AE113" s="1">
        <v>29</v>
      </c>
      <c r="AF113" s="18">
        <f t="shared" si="1"/>
        <v>31.8</v>
      </c>
    </row>
    <row r="114" spans="1:32" x14ac:dyDescent="0.35">
      <c r="A114" s="1" t="s">
        <v>89</v>
      </c>
      <c r="B114" s="1">
        <v>31</v>
      </c>
      <c r="C114" s="1">
        <v>25</v>
      </c>
      <c r="D114" s="1">
        <v>23</v>
      </c>
      <c r="E114" s="1">
        <v>24</v>
      </c>
      <c r="F114" s="1">
        <v>34</v>
      </c>
      <c r="G114" s="1">
        <v>33</v>
      </c>
      <c r="H114" s="1">
        <v>26</v>
      </c>
      <c r="I114" s="1">
        <v>24</v>
      </c>
      <c r="J114" s="1">
        <v>32</v>
      </c>
      <c r="K114" s="1">
        <v>33</v>
      </c>
      <c r="L114" s="1">
        <v>28</v>
      </c>
      <c r="M114" s="1">
        <v>33</v>
      </c>
      <c r="N114" s="1">
        <v>32</v>
      </c>
      <c r="O114" s="1">
        <v>33</v>
      </c>
      <c r="P114" s="1">
        <v>22</v>
      </c>
      <c r="Q114" s="1">
        <v>33</v>
      </c>
      <c r="R114" s="1">
        <v>25</v>
      </c>
      <c r="S114" s="1">
        <v>22</v>
      </c>
      <c r="T114" s="1">
        <v>25</v>
      </c>
      <c r="U114" s="1">
        <v>26</v>
      </c>
      <c r="V114" s="1">
        <v>22</v>
      </c>
      <c r="W114" s="1">
        <v>28</v>
      </c>
      <c r="X114" s="1">
        <v>22</v>
      </c>
      <c r="Y114" s="1">
        <v>27</v>
      </c>
      <c r="Z114" s="1">
        <v>20</v>
      </c>
      <c r="AA114" s="1">
        <v>31</v>
      </c>
      <c r="AB114" s="1">
        <v>22</v>
      </c>
      <c r="AC114" s="1">
        <v>31</v>
      </c>
      <c r="AD114" s="1">
        <v>33</v>
      </c>
      <c r="AE114" s="1">
        <v>21</v>
      </c>
      <c r="AF114" s="18">
        <f t="shared" si="1"/>
        <v>27.366666666666667</v>
      </c>
    </row>
    <row r="115" spans="1:32" x14ac:dyDescent="0.35">
      <c r="A115" s="1" t="s">
        <v>196</v>
      </c>
      <c r="B115" s="1">
        <v>35</v>
      </c>
      <c r="C115" s="1">
        <v>22</v>
      </c>
      <c r="D115" s="1">
        <v>24</v>
      </c>
      <c r="E115" s="1">
        <v>26</v>
      </c>
      <c r="F115" s="1">
        <v>34</v>
      </c>
      <c r="G115" s="1">
        <v>25</v>
      </c>
      <c r="H115" s="1">
        <v>26</v>
      </c>
      <c r="I115" s="1">
        <v>27</v>
      </c>
      <c r="J115" s="1">
        <v>24</v>
      </c>
      <c r="K115" s="1">
        <v>26</v>
      </c>
      <c r="L115" s="1">
        <v>35</v>
      </c>
      <c r="M115" s="1">
        <v>33</v>
      </c>
      <c r="N115" s="1">
        <v>20</v>
      </c>
      <c r="O115" s="1">
        <v>35</v>
      </c>
      <c r="P115" s="1">
        <v>28</v>
      </c>
      <c r="Q115" s="1">
        <v>29</v>
      </c>
      <c r="R115" s="1">
        <v>20</v>
      </c>
      <c r="S115" s="1">
        <v>18</v>
      </c>
      <c r="T115" s="1">
        <v>34</v>
      </c>
      <c r="U115" s="1">
        <v>21</v>
      </c>
      <c r="V115" s="1">
        <v>36</v>
      </c>
      <c r="W115" s="1">
        <v>34</v>
      </c>
      <c r="X115" s="1">
        <v>19</v>
      </c>
      <c r="Y115" s="1">
        <v>29</v>
      </c>
      <c r="Z115" s="1">
        <v>35</v>
      </c>
      <c r="AA115" s="1">
        <v>22</v>
      </c>
      <c r="AB115" s="1">
        <v>25</v>
      </c>
      <c r="AC115" s="1">
        <v>23</v>
      </c>
      <c r="AD115" s="1">
        <v>22</v>
      </c>
      <c r="AE115" s="1">
        <v>18</v>
      </c>
      <c r="AF115" s="18">
        <f t="shared" si="1"/>
        <v>26.833333333333332</v>
      </c>
    </row>
    <row r="116" spans="1:32" x14ac:dyDescent="0.35">
      <c r="A116" s="1" t="s">
        <v>90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8">
        <f t="shared" si="1"/>
        <v>0</v>
      </c>
    </row>
    <row r="117" spans="1:32" x14ac:dyDescent="0.35">
      <c r="A117" s="1" t="s">
        <v>91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8">
        <f t="shared" si="1"/>
        <v>0</v>
      </c>
    </row>
    <row r="118" spans="1:32" x14ac:dyDescent="0.35">
      <c r="A118" s="1" t="s">
        <v>92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8">
        <f t="shared" si="1"/>
        <v>0</v>
      </c>
    </row>
    <row r="119" spans="1:32" x14ac:dyDescent="0.35">
      <c r="A119" s="1" t="s">
        <v>93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8">
        <f t="shared" si="1"/>
        <v>0</v>
      </c>
    </row>
    <row r="120" spans="1:32" x14ac:dyDescent="0.35">
      <c r="A120" s="1" t="s">
        <v>94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8">
        <f t="shared" si="1"/>
        <v>0</v>
      </c>
    </row>
    <row r="121" spans="1:32" x14ac:dyDescent="0.35">
      <c r="A121" s="1" t="s">
        <v>95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8">
        <f t="shared" si="1"/>
        <v>0</v>
      </c>
    </row>
    <row r="122" spans="1:32" x14ac:dyDescent="0.35">
      <c r="A122" s="1" t="s">
        <v>96</v>
      </c>
      <c r="B122" s="1">
        <v>13</v>
      </c>
      <c r="C122" s="1">
        <v>23</v>
      </c>
      <c r="D122" s="1">
        <v>11</v>
      </c>
      <c r="E122" s="1">
        <v>29</v>
      </c>
      <c r="F122" s="1">
        <v>14</v>
      </c>
      <c r="G122" s="1">
        <v>11</v>
      </c>
      <c r="H122" s="1">
        <v>17</v>
      </c>
      <c r="I122" s="1">
        <v>20</v>
      </c>
      <c r="J122" s="1">
        <v>30</v>
      </c>
      <c r="K122" s="1">
        <v>11</v>
      </c>
      <c r="L122" s="1">
        <v>26</v>
      </c>
      <c r="M122" s="1">
        <v>23</v>
      </c>
      <c r="N122" s="1">
        <v>11</v>
      </c>
      <c r="O122" s="1">
        <v>25</v>
      </c>
      <c r="P122" s="1">
        <v>14</v>
      </c>
      <c r="Q122" s="1">
        <v>15</v>
      </c>
      <c r="R122" s="1">
        <v>17</v>
      </c>
      <c r="S122" s="1">
        <v>13</v>
      </c>
      <c r="T122" s="1">
        <v>18</v>
      </c>
      <c r="U122" s="1">
        <v>17</v>
      </c>
      <c r="V122" s="1">
        <v>18</v>
      </c>
      <c r="W122" s="1">
        <v>26</v>
      </c>
      <c r="X122" s="1">
        <v>16</v>
      </c>
      <c r="Y122" s="1">
        <v>30</v>
      </c>
      <c r="Z122" s="1">
        <v>27</v>
      </c>
      <c r="AA122" s="1">
        <v>21</v>
      </c>
      <c r="AB122" s="1">
        <v>22</v>
      </c>
      <c r="AC122" s="1">
        <v>23</v>
      </c>
      <c r="AD122" s="1">
        <v>19</v>
      </c>
      <c r="AE122" s="1">
        <v>10</v>
      </c>
      <c r="AF122" s="18">
        <f t="shared" si="1"/>
        <v>19</v>
      </c>
    </row>
    <row r="123" spans="1:32" x14ac:dyDescent="0.35">
      <c r="A123" s="1" t="s">
        <v>97</v>
      </c>
      <c r="B123" s="1">
        <v>21</v>
      </c>
      <c r="C123" s="1">
        <v>26</v>
      </c>
      <c r="D123" s="1">
        <v>18</v>
      </c>
      <c r="E123" s="1">
        <v>25</v>
      </c>
      <c r="F123" s="1">
        <v>24</v>
      </c>
      <c r="G123" s="1">
        <v>19</v>
      </c>
      <c r="H123" s="1">
        <v>26</v>
      </c>
      <c r="I123" s="1">
        <v>28</v>
      </c>
      <c r="J123" s="1">
        <v>19</v>
      </c>
      <c r="K123" s="1">
        <v>20</v>
      </c>
      <c r="L123" s="1">
        <v>27</v>
      </c>
      <c r="M123" s="1">
        <v>22</v>
      </c>
      <c r="N123" s="1">
        <v>25</v>
      </c>
      <c r="O123" s="1">
        <v>21</v>
      </c>
      <c r="P123" s="1">
        <v>21</v>
      </c>
      <c r="Q123" s="1">
        <v>19</v>
      </c>
      <c r="R123" s="1">
        <v>28</v>
      </c>
      <c r="S123" s="1">
        <v>28</v>
      </c>
      <c r="T123" s="1">
        <v>23</v>
      </c>
      <c r="U123" s="1">
        <v>25</v>
      </c>
      <c r="V123" s="1">
        <v>24</v>
      </c>
      <c r="W123" s="1">
        <v>20</v>
      </c>
      <c r="X123" s="1">
        <v>28</v>
      </c>
      <c r="Y123" s="1">
        <v>24</v>
      </c>
      <c r="Z123" s="1">
        <v>26</v>
      </c>
      <c r="AA123" s="1">
        <v>18</v>
      </c>
      <c r="AB123" s="1">
        <v>19</v>
      </c>
      <c r="AC123" s="1">
        <v>27</v>
      </c>
      <c r="AD123" s="1">
        <v>24</v>
      </c>
      <c r="AE123" s="1">
        <v>19</v>
      </c>
      <c r="AF123" s="18">
        <f t="shared" si="1"/>
        <v>23.133333333333333</v>
      </c>
    </row>
    <row r="124" spans="1:32" x14ac:dyDescent="0.35">
      <c r="A124" s="1" t="s">
        <v>98</v>
      </c>
      <c r="B124" s="1">
        <v>18</v>
      </c>
      <c r="C124" s="1">
        <v>20</v>
      </c>
      <c r="D124" s="1">
        <v>18</v>
      </c>
      <c r="E124" s="1">
        <v>7</v>
      </c>
      <c r="F124" s="1">
        <v>27</v>
      </c>
      <c r="G124" s="1">
        <v>20</v>
      </c>
      <c r="H124" s="1">
        <v>26</v>
      </c>
      <c r="I124" s="1">
        <v>9</v>
      </c>
      <c r="J124" s="1">
        <v>20</v>
      </c>
      <c r="K124" s="1">
        <v>21</v>
      </c>
      <c r="L124" s="1">
        <v>16</v>
      </c>
      <c r="M124" s="1">
        <v>19</v>
      </c>
      <c r="N124" s="1">
        <v>27</v>
      </c>
      <c r="O124" s="1">
        <v>24</v>
      </c>
      <c r="P124" s="1">
        <v>27</v>
      </c>
      <c r="Q124" s="1">
        <v>7</v>
      </c>
      <c r="R124" s="1">
        <v>14</v>
      </c>
      <c r="S124" s="1">
        <v>12</v>
      </c>
      <c r="T124" s="1">
        <v>25</v>
      </c>
      <c r="U124" s="1">
        <v>22</v>
      </c>
      <c r="V124" s="1">
        <v>18</v>
      </c>
      <c r="W124" s="1">
        <v>12</v>
      </c>
      <c r="X124" s="1">
        <v>12</v>
      </c>
      <c r="Y124" s="1">
        <v>18</v>
      </c>
      <c r="Z124" s="1">
        <v>24</v>
      </c>
      <c r="AA124" s="1">
        <v>18</v>
      </c>
      <c r="AB124" s="1">
        <v>19</v>
      </c>
      <c r="AC124" s="1">
        <v>14</v>
      </c>
      <c r="AD124" s="1">
        <v>9</v>
      </c>
      <c r="AE124" s="1">
        <v>17</v>
      </c>
      <c r="AF124" s="18">
        <f t="shared" si="1"/>
        <v>18</v>
      </c>
    </row>
    <row r="125" spans="1:32" x14ac:dyDescent="0.35">
      <c r="A125" s="1" t="s">
        <v>184</v>
      </c>
      <c r="B125" s="1">
        <v>37</v>
      </c>
      <c r="C125" s="1">
        <v>41</v>
      </c>
      <c r="D125" s="1">
        <v>42</v>
      </c>
      <c r="E125" s="1">
        <v>41</v>
      </c>
      <c r="F125" s="1">
        <v>26</v>
      </c>
      <c r="G125" s="1">
        <v>30</v>
      </c>
      <c r="H125" s="1">
        <v>38</v>
      </c>
      <c r="I125" s="1">
        <v>39</v>
      </c>
      <c r="J125" s="1">
        <v>34</v>
      </c>
      <c r="K125" s="1">
        <v>26</v>
      </c>
      <c r="L125" s="1">
        <v>36</v>
      </c>
      <c r="M125" s="1">
        <v>35</v>
      </c>
      <c r="N125" s="1">
        <v>29</v>
      </c>
      <c r="O125" s="1">
        <v>25</v>
      </c>
      <c r="P125" s="1">
        <v>27</v>
      </c>
      <c r="Q125" s="1">
        <v>25</v>
      </c>
      <c r="R125" s="1">
        <v>22</v>
      </c>
      <c r="S125" s="1">
        <v>44</v>
      </c>
      <c r="T125" s="1">
        <v>24</v>
      </c>
      <c r="U125" s="1">
        <v>24</v>
      </c>
      <c r="V125" s="1">
        <v>29</v>
      </c>
      <c r="W125" s="1">
        <v>23</v>
      </c>
      <c r="X125" s="1">
        <v>27</v>
      </c>
      <c r="Y125" s="1">
        <v>24</v>
      </c>
      <c r="Z125" s="1">
        <v>27</v>
      </c>
      <c r="AA125" s="1">
        <v>31</v>
      </c>
      <c r="AB125" s="1">
        <v>44</v>
      </c>
      <c r="AC125" s="1">
        <v>24</v>
      </c>
      <c r="AD125" s="1">
        <v>43</v>
      </c>
      <c r="AE125" s="1">
        <v>35</v>
      </c>
      <c r="AF125" s="18">
        <f t="shared" si="1"/>
        <v>31.733333333333334</v>
      </c>
    </row>
    <row r="126" spans="1:32" x14ac:dyDescent="0.35">
      <c r="A126" s="1" t="s">
        <v>99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8">
        <f t="shared" si="1"/>
        <v>0</v>
      </c>
    </row>
    <row r="127" spans="1:32" x14ac:dyDescent="0.35">
      <c r="A127" s="1" t="s">
        <v>100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8">
        <f t="shared" si="1"/>
        <v>0</v>
      </c>
    </row>
    <row r="128" spans="1:32" x14ac:dyDescent="0.35">
      <c r="A128" s="1" t="s">
        <v>101</v>
      </c>
      <c r="B128" s="1">
        <v>19</v>
      </c>
      <c r="C128" s="1">
        <v>27</v>
      </c>
      <c r="D128" s="1">
        <v>20</v>
      </c>
      <c r="E128" s="1">
        <v>20</v>
      </c>
      <c r="F128" s="1">
        <v>29</v>
      </c>
      <c r="G128" s="1">
        <v>27</v>
      </c>
      <c r="H128" s="1">
        <v>27</v>
      </c>
      <c r="I128" s="1">
        <v>21</v>
      </c>
      <c r="J128" s="1">
        <v>26</v>
      </c>
      <c r="K128" s="1">
        <v>28</v>
      </c>
      <c r="L128" s="1">
        <v>22</v>
      </c>
      <c r="M128" s="1">
        <v>28</v>
      </c>
      <c r="N128" s="1">
        <v>19</v>
      </c>
      <c r="O128" s="1">
        <v>19</v>
      </c>
      <c r="P128" s="1">
        <v>25</v>
      </c>
      <c r="Q128" s="1">
        <v>26</v>
      </c>
      <c r="R128" s="1">
        <v>22</v>
      </c>
      <c r="S128" s="1">
        <v>27</v>
      </c>
      <c r="T128" s="1">
        <v>24</v>
      </c>
      <c r="U128" s="1">
        <v>27</v>
      </c>
      <c r="V128" s="1">
        <v>21</v>
      </c>
      <c r="W128" s="1">
        <v>22</v>
      </c>
      <c r="X128" s="1">
        <v>26</v>
      </c>
      <c r="Y128" s="1">
        <v>20</v>
      </c>
      <c r="Z128" s="1">
        <v>26</v>
      </c>
      <c r="AA128" s="1">
        <v>26</v>
      </c>
      <c r="AB128" s="1">
        <v>25</v>
      </c>
      <c r="AC128" s="1">
        <v>25</v>
      </c>
      <c r="AD128" s="1">
        <v>23</v>
      </c>
      <c r="AE128" s="1">
        <v>23</v>
      </c>
      <c r="AF128" s="18">
        <f t="shared" si="1"/>
        <v>24</v>
      </c>
    </row>
    <row r="129" spans="1:32" x14ac:dyDescent="0.35">
      <c r="A129" s="1" t="s">
        <v>185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8">
        <f t="shared" si="1"/>
        <v>0</v>
      </c>
    </row>
    <row r="130" spans="1:32" x14ac:dyDescent="0.35">
      <c r="A130" s="1" t="s">
        <v>102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8">
        <f t="shared" si="1"/>
        <v>0</v>
      </c>
    </row>
    <row r="131" spans="1:32" x14ac:dyDescent="0.35">
      <c r="A131" s="1" t="s">
        <v>103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8">
        <f t="shared" si="1"/>
        <v>0</v>
      </c>
    </row>
    <row r="132" spans="1:32" x14ac:dyDescent="0.35">
      <c r="A132" s="1" t="s">
        <v>186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8">
        <f t="shared" ref="AF132:AF195" si="2">AVERAGE(B132:AE132)</f>
        <v>0</v>
      </c>
    </row>
    <row r="133" spans="1:32" x14ac:dyDescent="0.35">
      <c r="A133" s="1" t="s">
        <v>104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8">
        <f t="shared" si="2"/>
        <v>0</v>
      </c>
    </row>
    <row r="134" spans="1:32" x14ac:dyDescent="0.35">
      <c r="A134" s="1" t="s">
        <v>187</v>
      </c>
      <c r="B134" s="1">
        <v>51</v>
      </c>
      <c r="C134" s="1">
        <v>54</v>
      </c>
      <c r="D134" s="1">
        <v>60</v>
      </c>
      <c r="E134" s="1">
        <v>52</v>
      </c>
      <c r="F134" s="1">
        <v>61</v>
      </c>
      <c r="G134" s="1">
        <v>53</v>
      </c>
      <c r="H134" s="1">
        <v>53</v>
      </c>
      <c r="I134" s="1">
        <v>62</v>
      </c>
      <c r="J134" s="1">
        <v>66</v>
      </c>
      <c r="K134" s="1">
        <v>62</v>
      </c>
      <c r="L134" s="1">
        <v>67</v>
      </c>
      <c r="M134" s="1">
        <v>53</v>
      </c>
      <c r="N134" s="1">
        <v>57</v>
      </c>
      <c r="O134" s="1">
        <v>54</v>
      </c>
      <c r="P134" s="1">
        <v>69</v>
      </c>
      <c r="Q134" s="1">
        <v>66</v>
      </c>
      <c r="R134" s="1">
        <v>51</v>
      </c>
      <c r="S134" s="1">
        <v>52</v>
      </c>
      <c r="T134" s="1">
        <v>63</v>
      </c>
      <c r="U134" s="1">
        <v>53</v>
      </c>
      <c r="V134" s="1">
        <v>67</v>
      </c>
      <c r="W134" s="1">
        <v>54</v>
      </c>
      <c r="X134" s="1">
        <v>52</v>
      </c>
      <c r="Y134" s="1">
        <v>52</v>
      </c>
      <c r="Z134" s="1">
        <v>52</v>
      </c>
      <c r="AA134" s="1">
        <v>68</v>
      </c>
      <c r="AB134" s="1">
        <v>70</v>
      </c>
      <c r="AC134" s="1">
        <v>66</v>
      </c>
      <c r="AD134" s="1">
        <v>52</v>
      </c>
      <c r="AE134" s="1">
        <v>60</v>
      </c>
      <c r="AF134" s="18">
        <f t="shared" si="2"/>
        <v>58.4</v>
      </c>
    </row>
    <row r="135" spans="1:32" x14ac:dyDescent="0.35">
      <c r="A135" s="1" t="s">
        <v>160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8">
        <f t="shared" si="2"/>
        <v>0</v>
      </c>
    </row>
    <row r="136" spans="1:32" x14ac:dyDescent="0.35">
      <c r="A136" s="1" t="s">
        <v>105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8">
        <f t="shared" si="2"/>
        <v>0</v>
      </c>
    </row>
    <row r="137" spans="1:32" x14ac:dyDescent="0.35">
      <c r="A137" s="1" t="s">
        <v>106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8">
        <f t="shared" si="2"/>
        <v>0</v>
      </c>
    </row>
    <row r="138" spans="1:32" x14ac:dyDescent="0.35">
      <c r="A138" s="1" t="s">
        <v>188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8">
        <f t="shared" si="2"/>
        <v>0</v>
      </c>
    </row>
    <row r="139" spans="1:32" x14ac:dyDescent="0.35">
      <c r="A139" s="1" t="s">
        <v>107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8">
        <f t="shared" si="2"/>
        <v>0</v>
      </c>
    </row>
    <row r="140" spans="1:32" x14ac:dyDescent="0.35">
      <c r="A140" s="1" t="s">
        <v>108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8">
        <f t="shared" si="2"/>
        <v>0</v>
      </c>
    </row>
    <row r="141" spans="1:32" x14ac:dyDescent="0.35">
      <c r="A141" s="1" t="s">
        <v>109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8">
        <f t="shared" si="2"/>
        <v>0</v>
      </c>
    </row>
    <row r="142" spans="1:32" x14ac:dyDescent="0.35">
      <c r="A142" s="1" t="s">
        <v>189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8">
        <f t="shared" si="2"/>
        <v>0</v>
      </c>
    </row>
    <row r="143" spans="1:32" x14ac:dyDescent="0.35">
      <c r="A143" s="1" t="s">
        <v>110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8">
        <f t="shared" si="2"/>
        <v>0</v>
      </c>
    </row>
    <row r="144" spans="1:32" x14ac:dyDescent="0.35">
      <c r="A144" s="1" t="s">
        <v>111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8">
        <f t="shared" si="2"/>
        <v>0</v>
      </c>
    </row>
    <row r="145" spans="1:32" x14ac:dyDescent="0.35">
      <c r="A145" s="1" t="s">
        <v>112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8">
        <f t="shared" si="2"/>
        <v>0</v>
      </c>
    </row>
    <row r="146" spans="1:32" x14ac:dyDescent="0.35">
      <c r="A146" s="1" t="s">
        <v>113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8">
        <f t="shared" si="2"/>
        <v>0</v>
      </c>
    </row>
    <row r="147" spans="1:32" x14ac:dyDescent="0.35">
      <c r="A147" s="1" t="s">
        <v>114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8">
        <f t="shared" si="2"/>
        <v>0</v>
      </c>
    </row>
    <row r="148" spans="1:32" x14ac:dyDescent="0.35">
      <c r="A148" s="1" t="s">
        <v>115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8">
        <f t="shared" si="2"/>
        <v>0</v>
      </c>
    </row>
    <row r="149" spans="1:32" x14ac:dyDescent="0.35">
      <c r="A149" s="1" t="s">
        <v>190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8">
        <f t="shared" si="2"/>
        <v>0</v>
      </c>
    </row>
    <row r="150" spans="1:32" x14ac:dyDescent="0.35">
      <c r="A150" s="1" t="s">
        <v>116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8">
        <f t="shared" si="2"/>
        <v>0</v>
      </c>
    </row>
    <row r="151" spans="1:32" x14ac:dyDescent="0.35">
      <c r="A151" s="1" t="s">
        <v>197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8">
        <f t="shared" si="2"/>
        <v>0</v>
      </c>
    </row>
    <row r="152" spans="1:32" x14ac:dyDescent="0.35">
      <c r="A152" s="1" t="s">
        <v>117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8">
        <f t="shared" si="2"/>
        <v>0</v>
      </c>
    </row>
    <row r="153" spans="1:32" x14ac:dyDescent="0.35">
      <c r="A153" s="1" t="s">
        <v>198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8">
        <f t="shared" si="2"/>
        <v>0</v>
      </c>
    </row>
    <row r="154" spans="1:32" x14ac:dyDescent="0.35">
      <c r="A154" s="1" t="s">
        <v>118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8">
        <f t="shared" si="2"/>
        <v>0</v>
      </c>
    </row>
    <row r="155" spans="1:32" x14ac:dyDescent="0.35">
      <c r="A155" s="1" t="s">
        <v>119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8">
        <f t="shared" si="2"/>
        <v>0</v>
      </c>
    </row>
    <row r="156" spans="1:32" x14ac:dyDescent="0.35">
      <c r="A156" s="1" t="s">
        <v>191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8">
        <f t="shared" si="2"/>
        <v>0</v>
      </c>
    </row>
    <row r="157" spans="1:32" x14ac:dyDescent="0.35">
      <c r="A157" s="1" t="s">
        <v>120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8">
        <f t="shared" si="2"/>
        <v>0</v>
      </c>
    </row>
    <row r="158" spans="1:32" x14ac:dyDescent="0.35">
      <c r="A158" s="1" t="s">
        <v>121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8">
        <f t="shared" si="2"/>
        <v>0</v>
      </c>
    </row>
    <row r="159" spans="1:32" x14ac:dyDescent="0.35">
      <c r="A159" s="1" t="s">
        <v>141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8">
        <f t="shared" si="2"/>
        <v>0</v>
      </c>
    </row>
    <row r="160" spans="1:32" x14ac:dyDescent="0.35">
      <c r="A160" s="1" t="s">
        <v>122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8">
        <f t="shared" si="2"/>
        <v>0</v>
      </c>
    </row>
    <row r="161" spans="1:32" x14ac:dyDescent="0.35">
      <c r="A161" s="1" t="s">
        <v>165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8">
        <f t="shared" si="2"/>
        <v>0</v>
      </c>
    </row>
    <row r="162" spans="1:32" x14ac:dyDescent="0.35">
      <c r="A162" s="1" t="s">
        <v>123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8">
        <f t="shared" si="2"/>
        <v>0</v>
      </c>
    </row>
    <row r="163" spans="1:32" x14ac:dyDescent="0.35">
      <c r="A163" s="1" t="s">
        <v>124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8">
        <f t="shared" si="2"/>
        <v>0</v>
      </c>
    </row>
    <row r="164" spans="1:32" x14ac:dyDescent="0.35">
      <c r="A164" s="1" t="s">
        <v>125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8">
        <f t="shared" si="2"/>
        <v>0</v>
      </c>
    </row>
    <row r="165" spans="1:32" x14ac:dyDescent="0.35">
      <c r="A165" s="1" t="s">
        <v>126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8">
        <f t="shared" si="2"/>
        <v>0</v>
      </c>
    </row>
    <row r="166" spans="1:32" x14ac:dyDescent="0.35">
      <c r="A166" s="1" t="s">
        <v>127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8">
        <f t="shared" si="2"/>
        <v>0</v>
      </c>
    </row>
    <row r="167" spans="1:32" x14ac:dyDescent="0.35">
      <c r="A167" s="1" t="s">
        <v>128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8">
        <f t="shared" si="2"/>
        <v>0</v>
      </c>
    </row>
    <row r="168" spans="1:32" x14ac:dyDescent="0.35">
      <c r="A168" s="1" t="s">
        <v>156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8">
        <f t="shared" si="2"/>
        <v>0</v>
      </c>
    </row>
    <row r="169" spans="1:32" x14ac:dyDescent="0.35">
      <c r="A169" s="1" t="s">
        <v>129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8">
        <f t="shared" si="2"/>
        <v>0</v>
      </c>
    </row>
    <row r="170" spans="1:32" x14ac:dyDescent="0.35">
      <c r="A170" s="1" t="s">
        <v>130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8">
        <f t="shared" si="2"/>
        <v>0</v>
      </c>
    </row>
    <row r="171" spans="1:32" x14ac:dyDescent="0.35">
      <c r="A171" s="1" t="s">
        <v>192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8">
        <f t="shared" si="2"/>
        <v>0</v>
      </c>
    </row>
    <row r="172" spans="1:32" x14ac:dyDescent="0.35">
      <c r="A172" s="1" t="s">
        <v>131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8">
        <f t="shared" si="2"/>
        <v>0</v>
      </c>
    </row>
    <row r="173" spans="1:32" x14ac:dyDescent="0.35">
      <c r="A173" s="1" t="s">
        <v>132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8">
        <f t="shared" si="2"/>
        <v>0</v>
      </c>
    </row>
    <row r="174" spans="1:32" x14ac:dyDescent="0.35">
      <c r="A174" s="1" t="s">
        <v>133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8">
        <f t="shared" si="2"/>
        <v>0</v>
      </c>
    </row>
    <row r="175" spans="1:32" x14ac:dyDescent="0.35">
      <c r="A175" s="1" t="s">
        <v>134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8">
        <f t="shared" si="2"/>
        <v>0</v>
      </c>
    </row>
    <row r="176" spans="1:32" x14ac:dyDescent="0.35">
      <c r="A176" s="1" t="s">
        <v>135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8">
        <f t="shared" si="2"/>
        <v>0</v>
      </c>
    </row>
    <row r="177" spans="1:32" x14ac:dyDescent="0.35">
      <c r="A177" s="1" t="s">
        <v>162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8">
        <f t="shared" si="2"/>
        <v>0</v>
      </c>
    </row>
    <row r="178" spans="1:32" x14ac:dyDescent="0.35">
      <c r="A178" s="1" t="s">
        <v>136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8">
        <f t="shared" si="2"/>
        <v>0</v>
      </c>
    </row>
    <row r="179" spans="1:32" x14ac:dyDescent="0.35">
      <c r="A179" s="1" t="s">
        <v>142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8">
        <f t="shared" si="2"/>
        <v>0</v>
      </c>
    </row>
    <row r="180" spans="1:32" x14ac:dyDescent="0.35">
      <c r="A180" s="1" t="s">
        <v>137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8">
        <f t="shared" si="2"/>
        <v>0</v>
      </c>
    </row>
    <row r="181" spans="1:32" x14ac:dyDescent="0.35">
      <c r="A181" s="1" t="s">
        <v>138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8">
        <f t="shared" si="2"/>
        <v>0</v>
      </c>
    </row>
    <row r="182" spans="1:32" x14ac:dyDescent="0.35">
      <c r="A182" s="1" t="s">
        <v>139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8">
        <f t="shared" si="2"/>
        <v>0</v>
      </c>
    </row>
    <row r="183" spans="1:32" x14ac:dyDescent="0.35">
      <c r="A183" s="1" t="s">
        <v>140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8">
        <f t="shared" si="2"/>
        <v>0</v>
      </c>
    </row>
    <row r="184" spans="1:32" x14ac:dyDescent="0.35">
      <c r="A184" s="1" t="s">
        <v>143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8">
        <f t="shared" si="2"/>
        <v>0</v>
      </c>
    </row>
    <row r="185" spans="1:32" x14ac:dyDescent="0.35">
      <c r="A185" s="1" t="s">
        <v>144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8">
        <f t="shared" si="2"/>
        <v>0</v>
      </c>
    </row>
    <row r="186" spans="1:32" x14ac:dyDescent="0.35">
      <c r="A186" s="1" t="s">
        <v>145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8">
        <f t="shared" si="2"/>
        <v>0</v>
      </c>
    </row>
    <row r="187" spans="1:32" x14ac:dyDescent="0.35">
      <c r="A187" s="1" t="s">
        <v>146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8">
        <f t="shared" si="2"/>
        <v>0</v>
      </c>
    </row>
    <row r="188" spans="1:32" x14ac:dyDescent="0.35">
      <c r="A188" s="1" t="s">
        <v>147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8">
        <f t="shared" si="2"/>
        <v>0</v>
      </c>
    </row>
    <row r="189" spans="1:32" x14ac:dyDescent="0.35">
      <c r="A189" s="1" t="s">
        <v>148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8">
        <f t="shared" si="2"/>
        <v>0</v>
      </c>
    </row>
    <row r="190" spans="1:32" x14ac:dyDescent="0.35">
      <c r="A190" s="1" t="s">
        <v>149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8">
        <f t="shared" si="2"/>
        <v>0</v>
      </c>
    </row>
    <row r="191" spans="1:32" x14ac:dyDescent="0.35">
      <c r="A191" s="1" t="s">
        <v>150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8">
        <f t="shared" si="2"/>
        <v>0</v>
      </c>
    </row>
    <row r="192" spans="1:32" x14ac:dyDescent="0.35">
      <c r="A192" s="1" t="s">
        <v>159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8">
        <f t="shared" si="2"/>
        <v>0</v>
      </c>
    </row>
    <row r="193" spans="1:32" x14ac:dyDescent="0.35">
      <c r="A193" s="1" t="s">
        <v>151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8">
        <f t="shared" si="2"/>
        <v>0</v>
      </c>
    </row>
    <row r="194" spans="1:32" x14ac:dyDescent="0.35">
      <c r="A194" s="1" t="s">
        <v>152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8">
        <f t="shared" si="2"/>
        <v>0</v>
      </c>
    </row>
    <row r="195" spans="1:32" x14ac:dyDescent="0.35">
      <c r="A195" s="1" t="s">
        <v>153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8">
        <f t="shared" si="2"/>
        <v>0</v>
      </c>
    </row>
    <row r="196" spans="1:32" x14ac:dyDescent="0.35">
      <c r="A196" s="1" t="s">
        <v>193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8">
        <f t="shared" ref="AF196:AF202" si="3">AVERAGE(B196:AE196)</f>
        <v>0</v>
      </c>
    </row>
    <row r="197" spans="1:32" x14ac:dyDescent="0.35">
      <c r="A197" s="1" t="s">
        <v>154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8">
        <f t="shared" si="3"/>
        <v>0</v>
      </c>
    </row>
    <row r="198" spans="1:32" x14ac:dyDescent="0.35">
      <c r="A198" s="1" t="s">
        <v>155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8">
        <f t="shared" si="3"/>
        <v>0</v>
      </c>
    </row>
    <row r="199" spans="1:32" x14ac:dyDescent="0.35">
      <c r="A199" s="1" t="s">
        <v>163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8">
        <f t="shared" si="3"/>
        <v>0</v>
      </c>
    </row>
    <row r="200" spans="1:32" x14ac:dyDescent="0.35">
      <c r="A200" s="1" t="s">
        <v>194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8">
        <f t="shared" si="3"/>
        <v>0</v>
      </c>
    </row>
    <row r="201" spans="1:32" x14ac:dyDescent="0.35">
      <c r="A201" s="1" t="s">
        <v>157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8">
        <f t="shared" si="3"/>
        <v>0</v>
      </c>
    </row>
    <row r="202" spans="1:32" x14ac:dyDescent="0.35">
      <c r="A202" s="1" t="s">
        <v>158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8">
        <f t="shared" si="3"/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EC0-0E4F-4135-BD24-03AE5C8440BC}">
  <dimension ref="A1:AF203"/>
  <sheetViews>
    <sheetView zoomScale="70" zoomScaleNormal="70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44</v>
      </c>
      <c r="C3" s="1">
        <v>61</v>
      </c>
      <c r="D3" s="1">
        <v>58</v>
      </c>
      <c r="E3" s="1">
        <v>48</v>
      </c>
      <c r="F3" s="1">
        <v>76</v>
      </c>
      <c r="G3" s="1">
        <v>50</v>
      </c>
      <c r="H3" s="1">
        <v>24</v>
      </c>
      <c r="I3" s="1">
        <v>50</v>
      </c>
      <c r="J3" s="1">
        <v>22</v>
      </c>
      <c r="K3" s="1">
        <v>33</v>
      </c>
      <c r="L3" s="1">
        <v>60</v>
      </c>
      <c r="M3" s="1">
        <v>15</v>
      </c>
      <c r="N3" s="1">
        <v>25</v>
      </c>
      <c r="O3" s="1">
        <v>30</v>
      </c>
      <c r="P3" s="1">
        <v>18</v>
      </c>
      <c r="Q3" s="1">
        <v>34</v>
      </c>
      <c r="R3" s="1">
        <v>25</v>
      </c>
      <c r="S3" s="1">
        <v>22</v>
      </c>
      <c r="T3" s="1">
        <v>22</v>
      </c>
      <c r="U3" s="1">
        <v>12</v>
      </c>
      <c r="V3" s="1">
        <v>33</v>
      </c>
      <c r="W3" s="1">
        <v>73</v>
      </c>
      <c r="X3" s="1">
        <v>21</v>
      </c>
      <c r="Y3" s="1">
        <v>21</v>
      </c>
      <c r="Z3" s="1">
        <v>19</v>
      </c>
      <c r="AA3" s="1">
        <v>19</v>
      </c>
      <c r="AB3" s="1">
        <v>18</v>
      </c>
      <c r="AC3" s="1">
        <v>48</v>
      </c>
      <c r="AD3" s="1">
        <v>176</v>
      </c>
      <c r="AE3" s="1">
        <v>20</v>
      </c>
      <c r="AF3" s="18">
        <f>AVERAGE(B3:AE3)</f>
        <v>39.233333333333334</v>
      </c>
    </row>
    <row r="4" spans="1:32" x14ac:dyDescent="0.35">
      <c r="A4" s="1" t="s">
        <v>166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8">
        <f t="shared" ref="AF4:AF67" si="0">AVERAGE(B4:AE4)</f>
        <v>0</v>
      </c>
    </row>
    <row r="5" spans="1:32" x14ac:dyDescent="0.35">
      <c r="A5" s="1" t="s">
        <v>167</v>
      </c>
      <c r="B5" s="1">
        <v>20</v>
      </c>
      <c r="C5" s="1">
        <v>39</v>
      </c>
      <c r="D5" s="1">
        <v>103</v>
      </c>
      <c r="E5" s="1">
        <v>76</v>
      </c>
      <c r="F5" s="1">
        <v>41</v>
      </c>
      <c r="G5" s="1">
        <v>23</v>
      </c>
      <c r="H5" s="1">
        <v>41</v>
      </c>
      <c r="I5" s="1">
        <v>24</v>
      </c>
      <c r="J5" s="1">
        <v>45</v>
      </c>
      <c r="K5" s="1">
        <v>39</v>
      </c>
      <c r="L5" s="1">
        <v>65</v>
      </c>
      <c r="M5" s="1">
        <v>62</v>
      </c>
      <c r="N5" s="1">
        <v>94</v>
      </c>
      <c r="O5" s="1">
        <v>25</v>
      </c>
      <c r="P5" s="1">
        <v>161</v>
      </c>
      <c r="Q5" s="1">
        <v>33</v>
      </c>
      <c r="R5" s="1">
        <v>142</v>
      </c>
      <c r="S5" s="1">
        <v>38</v>
      </c>
      <c r="T5" s="1">
        <v>51</v>
      </c>
      <c r="U5" s="1">
        <v>31</v>
      </c>
      <c r="V5" s="1">
        <v>18</v>
      </c>
      <c r="W5" s="1">
        <v>45</v>
      </c>
      <c r="X5" s="1">
        <v>44</v>
      </c>
      <c r="Y5" s="1">
        <v>25</v>
      </c>
      <c r="Z5" s="1">
        <v>14</v>
      </c>
      <c r="AA5" s="1">
        <v>57</v>
      </c>
      <c r="AB5" s="1">
        <v>47</v>
      </c>
      <c r="AC5" s="1">
        <v>84</v>
      </c>
      <c r="AD5" s="1">
        <v>38</v>
      </c>
      <c r="AE5" s="1">
        <v>23</v>
      </c>
      <c r="AF5" s="18">
        <f t="shared" si="0"/>
        <v>51.6</v>
      </c>
    </row>
    <row r="6" spans="1:32" x14ac:dyDescent="0.35">
      <c r="A6" s="1" t="s">
        <v>211</v>
      </c>
      <c r="B6" s="1">
        <v>33</v>
      </c>
      <c r="C6" s="1">
        <v>26</v>
      </c>
      <c r="D6" s="1">
        <v>23</v>
      </c>
      <c r="E6" s="1">
        <v>39</v>
      </c>
      <c r="F6" s="1">
        <v>20</v>
      </c>
      <c r="G6" s="1">
        <v>33</v>
      </c>
      <c r="H6" s="1">
        <v>41</v>
      </c>
      <c r="I6" s="1">
        <v>36</v>
      </c>
      <c r="J6" s="1">
        <v>69</v>
      </c>
      <c r="K6" s="1">
        <v>28</v>
      </c>
      <c r="L6" s="1">
        <v>19</v>
      </c>
      <c r="M6" s="1">
        <v>83</v>
      </c>
      <c r="N6" s="1">
        <v>21</v>
      </c>
      <c r="O6" s="1">
        <v>53</v>
      </c>
      <c r="P6" s="1">
        <v>40</v>
      </c>
      <c r="Q6" s="1">
        <v>12</v>
      </c>
      <c r="R6" s="1">
        <v>40</v>
      </c>
      <c r="S6" s="1">
        <v>27</v>
      </c>
      <c r="T6" s="1">
        <v>67</v>
      </c>
      <c r="U6" s="1">
        <v>42</v>
      </c>
      <c r="V6" s="1">
        <v>60</v>
      </c>
      <c r="W6" s="1">
        <v>148</v>
      </c>
      <c r="X6" s="1">
        <v>25</v>
      </c>
      <c r="Y6" s="1">
        <v>40</v>
      </c>
      <c r="Z6" s="1">
        <v>47</v>
      </c>
      <c r="AA6" s="1">
        <v>150</v>
      </c>
      <c r="AB6" s="1">
        <v>37</v>
      </c>
      <c r="AC6" s="1">
        <v>218</v>
      </c>
      <c r="AD6" s="1">
        <v>57</v>
      </c>
      <c r="AE6" s="1">
        <v>14</v>
      </c>
      <c r="AF6" s="18">
        <f t="shared" si="0"/>
        <v>51.6</v>
      </c>
    </row>
    <row r="7" spans="1:32" x14ac:dyDescent="0.35">
      <c r="A7" s="1" t="s">
        <v>168</v>
      </c>
      <c r="B7" s="1">
        <v>21</v>
      </c>
      <c r="C7" s="1">
        <v>62</v>
      </c>
      <c r="D7" s="1">
        <v>84</v>
      </c>
      <c r="E7" s="1">
        <v>61</v>
      </c>
      <c r="F7" s="1">
        <v>26</v>
      </c>
      <c r="G7" s="1">
        <v>99</v>
      </c>
      <c r="H7" s="1">
        <v>26</v>
      </c>
      <c r="I7" s="1">
        <v>88</v>
      </c>
      <c r="J7" s="1">
        <v>111</v>
      </c>
      <c r="K7" s="1">
        <v>22</v>
      </c>
      <c r="L7" s="1">
        <v>47</v>
      </c>
      <c r="M7" s="1">
        <v>44</v>
      </c>
      <c r="N7" s="1">
        <v>126</v>
      </c>
      <c r="O7" s="1">
        <v>82</v>
      </c>
      <c r="P7" s="1">
        <v>40</v>
      </c>
      <c r="Q7" s="1">
        <v>53</v>
      </c>
      <c r="R7" s="1">
        <v>118</v>
      </c>
      <c r="S7" s="1">
        <v>52</v>
      </c>
      <c r="T7" s="1">
        <v>26</v>
      </c>
      <c r="U7" s="1">
        <v>53</v>
      </c>
      <c r="V7" s="1">
        <v>15</v>
      </c>
      <c r="W7" s="1">
        <v>19</v>
      </c>
      <c r="X7" s="1">
        <v>45</v>
      </c>
      <c r="Y7" s="1">
        <v>22</v>
      </c>
      <c r="Z7" s="1">
        <v>37</v>
      </c>
      <c r="AA7" s="1">
        <v>76</v>
      </c>
      <c r="AB7" s="1">
        <v>25</v>
      </c>
      <c r="AC7" s="1">
        <v>20</v>
      </c>
      <c r="AD7" s="1">
        <v>149</v>
      </c>
      <c r="AE7" s="1">
        <v>24</v>
      </c>
      <c r="AF7" s="18">
        <f t="shared" si="0"/>
        <v>55.766666666666666</v>
      </c>
    </row>
    <row r="8" spans="1:32" x14ac:dyDescent="0.35">
      <c r="A8" s="1" t="s">
        <v>169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8">
        <f t="shared" si="0"/>
        <v>0</v>
      </c>
    </row>
    <row r="9" spans="1:32" x14ac:dyDescent="0.35">
      <c r="A9" s="1" t="s">
        <v>170</v>
      </c>
      <c r="B9" s="1">
        <v>32</v>
      </c>
      <c r="C9" s="1">
        <v>65</v>
      </c>
      <c r="D9" s="1">
        <v>32</v>
      </c>
      <c r="E9" s="1">
        <v>55</v>
      </c>
      <c r="F9" s="1">
        <v>13</v>
      </c>
      <c r="G9" s="1">
        <v>14</v>
      </c>
      <c r="H9" s="1">
        <v>18</v>
      </c>
      <c r="I9" s="1">
        <v>16</v>
      </c>
      <c r="J9" s="1">
        <v>24</v>
      </c>
      <c r="K9" s="1">
        <v>53</v>
      </c>
      <c r="L9" s="1">
        <v>15</v>
      </c>
      <c r="M9" s="1">
        <v>18</v>
      </c>
      <c r="N9" s="1">
        <v>14</v>
      </c>
      <c r="O9" s="1">
        <v>22</v>
      </c>
      <c r="P9" s="1">
        <v>45</v>
      </c>
      <c r="Q9" s="1">
        <v>46</v>
      </c>
      <c r="R9" s="1">
        <v>21</v>
      </c>
      <c r="S9" s="1">
        <v>70</v>
      </c>
      <c r="T9" s="1">
        <v>13</v>
      </c>
      <c r="U9" s="1">
        <v>150</v>
      </c>
      <c r="V9" s="1">
        <v>27</v>
      </c>
      <c r="W9" s="1">
        <v>22</v>
      </c>
      <c r="X9" s="1">
        <v>53</v>
      </c>
      <c r="Y9" s="1">
        <v>49</v>
      </c>
      <c r="Z9" s="1">
        <v>22</v>
      </c>
      <c r="AA9" s="1">
        <v>32</v>
      </c>
      <c r="AB9" s="1">
        <v>15</v>
      </c>
      <c r="AC9" s="1">
        <v>63</v>
      </c>
      <c r="AD9" s="1">
        <v>14</v>
      </c>
      <c r="AE9" s="1">
        <v>31</v>
      </c>
      <c r="AF9" s="18">
        <f t="shared" si="0"/>
        <v>35.466666666666669</v>
      </c>
    </row>
    <row r="10" spans="1:32" x14ac:dyDescent="0.35">
      <c r="A10" s="1" t="s">
        <v>4</v>
      </c>
      <c r="B10" s="1">
        <v>151</v>
      </c>
      <c r="C10" s="1">
        <v>69</v>
      </c>
      <c r="D10" s="1">
        <v>21</v>
      </c>
      <c r="E10" s="1">
        <v>54</v>
      </c>
      <c r="F10" s="1">
        <v>84</v>
      </c>
      <c r="G10" s="1">
        <v>27</v>
      </c>
      <c r="H10" s="1">
        <v>16</v>
      </c>
      <c r="I10" s="1">
        <v>26</v>
      </c>
      <c r="J10" s="1">
        <v>20</v>
      </c>
      <c r="K10" s="1">
        <v>90</v>
      </c>
      <c r="L10" s="1">
        <v>47</v>
      </c>
      <c r="M10" s="1">
        <v>54</v>
      </c>
      <c r="N10" s="1">
        <v>68</v>
      </c>
      <c r="O10" s="1">
        <v>36</v>
      </c>
      <c r="P10" s="1">
        <v>34</v>
      </c>
      <c r="Q10" s="1">
        <v>44</v>
      </c>
      <c r="R10" s="1">
        <v>56</v>
      </c>
      <c r="S10" s="1">
        <v>94</v>
      </c>
      <c r="T10" s="1">
        <v>52</v>
      </c>
      <c r="U10" s="1">
        <v>88</v>
      </c>
      <c r="V10" s="1">
        <v>142</v>
      </c>
      <c r="W10" s="1">
        <v>46</v>
      </c>
      <c r="X10" s="1">
        <v>145</v>
      </c>
      <c r="Y10" s="1">
        <v>21</v>
      </c>
      <c r="Z10" s="1">
        <v>31</v>
      </c>
      <c r="AA10" s="1">
        <v>17</v>
      </c>
      <c r="AB10" s="1">
        <v>155</v>
      </c>
      <c r="AC10" s="1">
        <v>323</v>
      </c>
      <c r="AD10" s="1">
        <v>61</v>
      </c>
      <c r="AE10" s="1">
        <v>65</v>
      </c>
      <c r="AF10" s="18">
        <f t="shared" si="0"/>
        <v>71.233333333333334</v>
      </c>
    </row>
    <row r="11" spans="1:32" x14ac:dyDescent="0.35">
      <c r="A11" s="1" t="s">
        <v>5</v>
      </c>
      <c r="B11" s="1">
        <v>66</v>
      </c>
      <c r="C11" s="1">
        <v>39</v>
      </c>
      <c r="D11" s="1">
        <v>26</v>
      </c>
      <c r="E11" s="1">
        <v>24</v>
      </c>
      <c r="F11" s="1">
        <v>42</v>
      </c>
      <c r="G11" s="1">
        <v>68</v>
      </c>
      <c r="H11" s="1">
        <v>13</v>
      </c>
      <c r="I11" s="1">
        <v>74</v>
      </c>
      <c r="J11" s="1">
        <v>62</v>
      </c>
      <c r="K11" s="1">
        <v>69</v>
      </c>
      <c r="L11" s="1">
        <v>111</v>
      </c>
      <c r="M11" s="1">
        <v>24</v>
      </c>
      <c r="N11" s="1">
        <v>79</v>
      </c>
      <c r="O11" s="1">
        <v>28</v>
      </c>
      <c r="P11" s="1">
        <v>14</v>
      </c>
      <c r="Q11" s="1">
        <v>50</v>
      </c>
      <c r="R11" s="1">
        <v>27</v>
      </c>
      <c r="S11" s="1">
        <v>56</v>
      </c>
      <c r="T11" s="1">
        <v>47</v>
      </c>
      <c r="U11" s="1">
        <v>29</v>
      </c>
      <c r="V11" s="1">
        <v>57</v>
      </c>
      <c r="W11" s="1">
        <v>34</v>
      </c>
      <c r="X11" s="1">
        <v>25</v>
      </c>
      <c r="Y11" s="1">
        <v>42</v>
      </c>
      <c r="Z11" s="1">
        <v>121</v>
      </c>
      <c r="AA11" s="1">
        <v>17</v>
      </c>
      <c r="AB11" s="1">
        <v>27</v>
      </c>
      <c r="AC11" s="1">
        <v>125</v>
      </c>
      <c r="AD11" s="1">
        <v>125</v>
      </c>
      <c r="AE11" s="1">
        <v>62</v>
      </c>
      <c r="AF11" s="18">
        <f t="shared" si="0"/>
        <v>52.766666666666666</v>
      </c>
    </row>
    <row r="12" spans="1:32" x14ac:dyDescent="0.35">
      <c r="A12" s="1" t="s">
        <v>161</v>
      </c>
      <c r="B12" s="1">
        <v>39</v>
      </c>
      <c r="C12" s="1">
        <v>61</v>
      </c>
      <c r="D12" s="1">
        <v>23</v>
      </c>
      <c r="E12" s="1">
        <v>22</v>
      </c>
      <c r="F12" s="1">
        <v>70</v>
      </c>
      <c r="G12" s="1">
        <v>25</v>
      </c>
      <c r="H12" s="1">
        <v>13</v>
      </c>
      <c r="I12" s="1">
        <v>104</v>
      </c>
      <c r="J12" s="1">
        <v>17</v>
      </c>
      <c r="K12" s="1">
        <v>46</v>
      </c>
      <c r="L12" s="1">
        <v>70</v>
      </c>
      <c r="M12" s="1">
        <v>32</v>
      </c>
      <c r="N12" s="1">
        <v>30</v>
      </c>
      <c r="O12" s="1">
        <v>13</v>
      </c>
      <c r="P12" s="1">
        <v>31</v>
      </c>
      <c r="Q12" s="1">
        <v>49</v>
      </c>
      <c r="R12" s="1">
        <v>29</v>
      </c>
      <c r="S12" s="1">
        <v>13</v>
      </c>
      <c r="T12" s="1">
        <v>26</v>
      </c>
      <c r="U12" s="1">
        <v>40</v>
      </c>
      <c r="V12" s="1">
        <v>65</v>
      </c>
      <c r="W12" s="1">
        <v>65</v>
      </c>
      <c r="X12" s="1">
        <v>33</v>
      </c>
      <c r="Y12" s="1">
        <v>63</v>
      </c>
      <c r="Z12" s="1">
        <v>49</v>
      </c>
      <c r="AA12" s="1">
        <v>31</v>
      </c>
      <c r="AB12" s="1">
        <v>78</v>
      </c>
      <c r="AC12" s="1">
        <v>21</v>
      </c>
      <c r="AD12" s="1">
        <v>60</v>
      </c>
      <c r="AE12" s="1">
        <v>58</v>
      </c>
      <c r="AF12" s="18">
        <f t="shared" si="0"/>
        <v>42.533333333333331</v>
      </c>
    </row>
    <row r="13" spans="1:32" x14ac:dyDescent="0.35">
      <c r="A13" s="1" t="s">
        <v>212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8">
        <f t="shared" si="0"/>
        <v>0</v>
      </c>
    </row>
    <row r="14" spans="1:32" x14ac:dyDescent="0.35">
      <c r="A14" s="1" t="s">
        <v>6</v>
      </c>
      <c r="B14" s="1">
        <v>163</v>
      </c>
      <c r="C14" s="1">
        <v>25</v>
      </c>
      <c r="D14" s="1">
        <v>57</v>
      </c>
      <c r="E14" s="1">
        <v>62</v>
      </c>
      <c r="F14" s="1">
        <v>56</v>
      </c>
      <c r="G14" s="1">
        <v>44</v>
      </c>
      <c r="H14" s="1">
        <v>36</v>
      </c>
      <c r="I14" s="1">
        <v>117</v>
      </c>
      <c r="J14" s="1">
        <v>17</v>
      </c>
      <c r="K14" s="1">
        <v>45</v>
      </c>
      <c r="L14" s="1">
        <v>23</v>
      </c>
      <c r="M14" s="1">
        <v>47</v>
      </c>
      <c r="N14" s="1">
        <v>90</v>
      </c>
      <c r="O14" s="1">
        <v>93</v>
      </c>
      <c r="P14" s="1">
        <v>22</v>
      </c>
      <c r="Q14" s="1">
        <v>108</v>
      </c>
      <c r="R14" s="1">
        <v>68</v>
      </c>
      <c r="S14" s="1">
        <v>30</v>
      </c>
      <c r="T14" s="1">
        <v>63</v>
      </c>
      <c r="U14" s="1">
        <v>63</v>
      </c>
      <c r="V14" s="1">
        <v>158</v>
      </c>
      <c r="W14" s="1">
        <v>31</v>
      </c>
      <c r="X14" s="1">
        <v>57</v>
      </c>
      <c r="Y14" s="1">
        <v>30</v>
      </c>
      <c r="Z14" s="1">
        <v>17</v>
      </c>
      <c r="AA14" s="1">
        <v>83</v>
      </c>
      <c r="AB14" s="1">
        <v>12</v>
      </c>
      <c r="AC14" s="1">
        <v>50</v>
      </c>
      <c r="AD14" s="1">
        <v>56</v>
      </c>
      <c r="AE14" s="1">
        <v>31</v>
      </c>
      <c r="AF14" s="18">
        <f t="shared" si="0"/>
        <v>58.466666666666669</v>
      </c>
    </row>
    <row r="15" spans="1:32" x14ac:dyDescent="0.35">
      <c r="A15" s="1" t="s">
        <v>7</v>
      </c>
      <c r="B15" s="1">
        <v>43</v>
      </c>
      <c r="C15" s="1">
        <v>75</v>
      </c>
      <c r="D15" s="1">
        <v>29</v>
      </c>
      <c r="E15" s="1">
        <v>164</v>
      </c>
      <c r="F15" s="1">
        <v>16</v>
      </c>
      <c r="G15" s="1">
        <v>333</v>
      </c>
      <c r="H15" s="1">
        <v>178</v>
      </c>
      <c r="I15" s="1">
        <v>32</v>
      </c>
      <c r="J15" s="1">
        <v>20</v>
      </c>
      <c r="K15" s="1">
        <v>22</v>
      </c>
      <c r="L15" s="1">
        <v>19</v>
      </c>
      <c r="M15" s="1">
        <v>135</v>
      </c>
      <c r="N15" s="1">
        <v>119</v>
      </c>
      <c r="O15" s="1">
        <v>63</v>
      </c>
      <c r="P15" s="1">
        <v>95</v>
      </c>
      <c r="Q15" s="1">
        <v>24</v>
      </c>
      <c r="R15" s="1">
        <v>18</v>
      </c>
      <c r="S15" s="1">
        <v>80</v>
      </c>
      <c r="T15" s="1">
        <v>108</v>
      </c>
      <c r="U15" s="1">
        <v>49</v>
      </c>
      <c r="V15" s="1">
        <v>50</v>
      </c>
      <c r="W15" s="1">
        <v>305</v>
      </c>
      <c r="X15" s="1">
        <v>21</v>
      </c>
      <c r="Y15" s="1">
        <v>63</v>
      </c>
      <c r="Z15" s="1">
        <v>47</v>
      </c>
      <c r="AA15" s="1">
        <v>53</v>
      </c>
      <c r="AB15" s="1">
        <v>76</v>
      </c>
      <c r="AC15" s="1">
        <v>29</v>
      </c>
      <c r="AD15" s="1">
        <v>105</v>
      </c>
      <c r="AE15" s="1">
        <v>21</v>
      </c>
      <c r="AF15" s="18">
        <f t="shared" si="0"/>
        <v>79.733333333333334</v>
      </c>
    </row>
    <row r="16" spans="1:32" x14ac:dyDescent="0.35">
      <c r="A16" s="1" t="s">
        <v>8</v>
      </c>
      <c r="B16" s="1">
        <v>105</v>
      </c>
      <c r="C16" s="1">
        <v>17</v>
      </c>
      <c r="D16" s="1">
        <v>56</v>
      </c>
      <c r="E16" s="1">
        <v>130</v>
      </c>
      <c r="F16" s="1">
        <v>101</v>
      </c>
      <c r="G16" s="1">
        <v>21</v>
      </c>
      <c r="H16" s="1">
        <v>62</v>
      </c>
      <c r="I16" s="1">
        <v>28</v>
      </c>
      <c r="J16" s="1">
        <v>65</v>
      </c>
      <c r="K16" s="1">
        <v>14</v>
      </c>
      <c r="L16" s="1">
        <v>18</v>
      </c>
      <c r="M16" s="1">
        <v>76</v>
      </c>
      <c r="N16" s="1">
        <v>23</v>
      </c>
      <c r="O16" s="1">
        <v>40</v>
      </c>
      <c r="P16" s="1">
        <v>24</v>
      </c>
      <c r="Q16" s="1">
        <v>12</v>
      </c>
      <c r="R16" s="1">
        <v>32</v>
      </c>
      <c r="S16" s="1">
        <v>43</v>
      </c>
      <c r="T16" s="1">
        <v>48</v>
      </c>
      <c r="U16" s="1">
        <v>51</v>
      </c>
      <c r="V16" s="1">
        <v>92</v>
      </c>
      <c r="W16" s="1">
        <v>60</v>
      </c>
      <c r="X16" s="1">
        <v>20</v>
      </c>
      <c r="Y16" s="1">
        <v>49</v>
      </c>
      <c r="Z16" s="1">
        <v>48</v>
      </c>
      <c r="AA16" s="1">
        <v>28</v>
      </c>
      <c r="AB16" s="1">
        <v>88</v>
      </c>
      <c r="AC16" s="1">
        <v>140</v>
      </c>
      <c r="AD16" s="1">
        <v>102</v>
      </c>
      <c r="AE16" s="1">
        <v>16</v>
      </c>
      <c r="AF16" s="18">
        <f t="shared" si="0"/>
        <v>53.633333333333333</v>
      </c>
    </row>
    <row r="17" spans="1:32" x14ac:dyDescent="0.35">
      <c r="A17" s="1" t="s">
        <v>9</v>
      </c>
      <c r="B17" s="1">
        <v>102</v>
      </c>
      <c r="C17" s="1">
        <v>22</v>
      </c>
      <c r="D17" s="1">
        <v>12</v>
      </c>
      <c r="E17" s="1">
        <v>49</v>
      </c>
      <c r="F17" s="1">
        <v>63</v>
      </c>
      <c r="G17" s="1">
        <v>14</v>
      </c>
      <c r="H17" s="1">
        <v>28</v>
      </c>
      <c r="I17" s="1">
        <v>65</v>
      </c>
      <c r="J17" s="1">
        <v>155</v>
      </c>
      <c r="K17" s="1">
        <v>46</v>
      </c>
      <c r="L17" s="1">
        <v>69</v>
      </c>
      <c r="M17" s="1">
        <v>257</v>
      </c>
      <c r="N17" s="1">
        <v>56</v>
      </c>
      <c r="O17" s="1">
        <v>75</v>
      </c>
      <c r="P17" s="1">
        <v>220</v>
      </c>
      <c r="Q17" s="1">
        <v>53</v>
      </c>
      <c r="R17" s="1">
        <v>325</v>
      </c>
      <c r="S17" s="1">
        <v>76</v>
      </c>
      <c r="T17" s="1">
        <v>26</v>
      </c>
      <c r="U17" s="1">
        <v>71</v>
      </c>
      <c r="V17" s="1">
        <v>139</v>
      </c>
      <c r="W17" s="1">
        <v>19</v>
      </c>
      <c r="X17" s="1">
        <v>15</v>
      </c>
      <c r="Y17" s="1">
        <v>58</v>
      </c>
      <c r="Z17" s="1">
        <v>49</v>
      </c>
      <c r="AA17" s="1">
        <v>83</v>
      </c>
      <c r="AB17" s="1">
        <v>79</v>
      </c>
      <c r="AC17" s="1">
        <v>84</v>
      </c>
      <c r="AD17" s="1">
        <v>56</v>
      </c>
      <c r="AE17" s="1">
        <v>48</v>
      </c>
      <c r="AF17" s="18">
        <f t="shared" si="0"/>
        <v>80.466666666666669</v>
      </c>
    </row>
    <row r="18" spans="1:32" x14ac:dyDescent="0.35">
      <c r="A18" s="1" t="s">
        <v>213</v>
      </c>
      <c r="B18" s="1">
        <v>54</v>
      </c>
      <c r="C18" s="1">
        <v>15</v>
      </c>
      <c r="D18" s="1">
        <v>100</v>
      </c>
      <c r="E18" s="1">
        <v>19</v>
      </c>
      <c r="F18" s="1">
        <v>23</v>
      </c>
      <c r="G18" s="1">
        <v>46</v>
      </c>
      <c r="H18" s="1">
        <v>25</v>
      </c>
      <c r="I18" s="1">
        <v>13</v>
      </c>
      <c r="J18" s="1">
        <v>35</v>
      </c>
      <c r="K18" s="1">
        <v>45</v>
      </c>
      <c r="L18" s="1">
        <v>110</v>
      </c>
      <c r="M18" s="1">
        <v>46</v>
      </c>
      <c r="N18" s="1">
        <v>29</v>
      </c>
      <c r="O18" s="1">
        <v>29</v>
      </c>
      <c r="P18" s="1">
        <v>113</v>
      </c>
      <c r="Q18" s="1">
        <v>28</v>
      </c>
      <c r="R18" s="1">
        <v>96</v>
      </c>
      <c r="S18" s="1">
        <v>63</v>
      </c>
      <c r="T18" s="1">
        <v>54</v>
      </c>
      <c r="U18" s="1">
        <v>110</v>
      </c>
      <c r="V18" s="1">
        <v>35</v>
      </c>
      <c r="W18" s="1">
        <v>95</v>
      </c>
      <c r="X18" s="1">
        <v>28</v>
      </c>
      <c r="Y18" s="1">
        <v>125</v>
      </c>
      <c r="Z18" s="1">
        <v>24</v>
      </c>
      <c r="AA18" s="1">
        <v>125</v>
      </c>
      <c r="AB18" s="1">
        <v>42</v>
      </c>
      <c r="AC18" s="1">
        <v>50</v>
      </c>
      <c r="AD18" s="1">
        <v>65</v>
      </c>
      <c r="AE18" s="1">
        <v>82</v>
      </c>
      <c r="AF18" s="18">
        <f t="shared" si="0"/>
        <v>57.466666666666669</v>
      </c>
    </row>
    <row r="19" spans="1:32" x14ac:dyDescent="0.35">
      <c r="A19" s="1" t="s">
        <v>171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8">
        <f t="shared" si="0"/>
        <v>0</v>
      </c>
    </row>
    <row r="20" spans="1:32" x14ac:dyDescent="0.35">
      <c r="A20" s="1" t="s">
        <v>214</v>
      </c>
      <c r="B20" s="1">
        <v>144</v>
      </c>
      <c r="C20" s="1">
        <v>18</v>
      </c>
      <c r="D20" s="1">
        <v>35</v>
      </c>
      <c r="E20" s="1">
        <v>74</v>
      </c>
      <c r="F20" s="1">
        <v>66</v>
      </c>
      <c r="G20" s="1">
        <v>19</v>
      </c>
      <c r="H20" s="1">
        <v>135</v>
      </c>
      <c r="I20" s="1">
        <v>29</v>
      </c>
      <c r="J20" s="1">
        <v>96</v>
      </c>
      <c r="K20" s="1">
        <v>24</v>
      </c>
      <c r="L20" s="1">
        <v>103</v>
      </c>
      <c r="M20" s="1">
        <v>46</v>
      </c>
      <c r="N20" s="1">
        <v>14</v>
      </c>
      <c r="O20" s="1">
        <v>54</v>
      </c>
      <c r="P20" s="1">
        <v>19</v>
      </c>
      <c r="Q20" s="1">
        <v>199</v>
      </c>
      <c r="R20" s="1">
        <v>58</v>
      </c>
      <c r="S20" s="1">
        <v>36</v>
      </c>
      <c r="T20" s="1">
        <v>21</v>
      </c>
      <c r="U20" s="1">
        <v>568</v>
      </c>
      <c r="V20" s="1">
        <v>171</v>
      </c>
      <c r="W20" s="1">
        <v>162</v>
      </c>
      <c r="X20" s="1">
        <v>98</v>
      </c>
      <c r="Y20" s="1">
        <v>107</v>
      </c>
      <c r="Z20" s="1">
        <v>96</v>
      </c>
      <c r="AA20" s="1">
        <v>12</v>
      </c>
      <c r="AB20" s="1">
        <v>14</v>
      </c>
      <c r="AC20" s="1">
        <v>166</v>
      </c>
      <c r="AD20" s="1">
        <v>133</v>
      </c>
      <c r="AE20" s="1">
        <v>18</v>
      </c>
      <c r="AF20" s="18">
        <f t="shared" si="0"/>
        <v>91.166666666666671</v>
      </c>
    </row>
    <row r="21" spans="1:32" x14ac:dyDescent="0.35">
      <c r="A21" s="1" t="s">
        <v>10</v>
      </c>
      <c r="B21" s="1">
        <v>28</v>
      </c>
      <c r="C21" s="1">
        <v>72</v>
      </c>
      <c r="D21" s="1">
        <v>73</v>
      </c>
      <c r="E21" s="1">
        <v>51</v>
      </c>
      <c r="F21" s="1">
        <v>73</v>
      </c>
      <c r="G21" s="1">
        <v>24</v>
      </c>
      <c r="H21" s="1">
        <v>25</v>
      </c>
      <c r="I21" s="1">
        <v>135</v>
      </c>
      <c r="J21" s="1">
        <v>34</v>
      </c>
      <c r="K21" s="1">
        <v>45</v>
      </c>
      <c r="L21" s="1">
        <v>36</v>
      </c>
      <c r="M21" s="1">
        <v>101</v>
      </c>
      <c r="N21" s="1">
        <v>102</v>
      </c>
      <c r="O21" s="1">
        <v>15</v>
      </c>
      <c r="P21" s="1">
        <v>115</v>
      </c>
      <c r="Q21" s="1">
        <v>34</v>
      </c>
      <c r="R21" s="1">
        <v>41</v>
      </c>
      <c r="S21" s="1">
        <v>87</v>
      </c>
      <c r="T21" s="1">
        <v>13</v>
      </c>
      <c r="U21" s="1">
        <v>30</v>
      </c>
      <c r="V21" s="1">
        <v>48</v>
      </c>
      <c r="W21" s="1">
        <v>21</v>
      </c>
      <c r="X21" s="1">
        <v>39</v>
      </c>
      <c r="Y21" s="1">
        <v>39</v>
      </c>
      <c r="Z21" s="1">
        <v>48</v>
      </c>
      <c r="AA21" s="1">
        <v>20</v>
      </c>
      <c r="AB21" s="1">
        <v>23</v>
      </c>
      <c r="AC21" s="1">
        <v>35</v>
      </c>
      <c r="AD21" s="1">
        <v>29</v>
      </c>
      <c r="AE21" s="1">
        <v>206</v>
      </c>
      <c r="AF21" s="18">
        <f t="shared" si="0"/>
        <v>54.733333333333334</v>
      </c>
    </row>
    <row r="22" spans="1:32" x14ac:dyDescent="0.35">
      <c r="A22" s="1" t="s">
        <v>11</v>
      </c>
      <c r="B22" s="1">
        <v>31</v>
      </c>
      <c r="C22" s="1">
        <v>35</v>
      </c>
      <c r="D22" s="1">
        <v>64</v>
      </c>
      <c r="E22" s="1">
        <v>26</v>
      </c>
      <c r="F22" s="1">
        <v>23</v>
      </c>
      <c r="G22" s="1">
        <v>15</v>
      </c>
      <c r="H22" s="1">
        <v>18</v>
      </c>
      <c r="I22" s="1">
        <v>15</v>
      </c>
      <c r="J22" s="1">
        <v>29</v>
      </c>
      <c r="K22" s="1">
        <v>35</v>
      </c>
      <c r="L22" s="1">
        <v>15</v>
      </c>
      <c r="M22" s="1">
        <v>48</v>
      </c>
      <c r="N22" s="1">
        <v>47</v>
      </c>
      <c r="O22" s="1">
        <v>16</v>
      </c>
      <c r="P22" s="1">
        <v>28</v>
      </c>
      <c r="Q22" s="1">
        <v>20</v>
      </c>
      <c r="R22" s="1">
        <v>17</v>
      </c>
      <c r="S22" s="1">
        <v>13</v>
      </c>
      <c r="T22" s="1">
        <v>30</v>
      </c>
      <c r="U22" s="1">
        <v>25</v>
      </c>
      <c r="V22" s="1">
        <v>86</v>
      </c>
      <c r="W22" s="1">
        <v>22</v>
      </c>
      <c r="X22" s="1">
        <v>15</v>
      </c>
      <c r="Y22" s="1">
        <v>20</v>
      </c>
      <c r="Z22" s="1">
        <v>29</v>
      </c>
      <c r="AA22" s="1">
        <v>71</v>
      </c>
      <c r="AB22" s="1">
        <v>15</v>
      </c>
      <c r="AC22" s="1">
        <v>30</v>
      </c>
      <c r="AD22" s="1">
        <v>41</v>
      </c>
      <c r="AE22" s="1">
        <v>18</v>
      </c>
      <c r="AF22" s="18">
        <f t="shared" si="0"/>
        <v>29.9</v>
      </c>
    </row>
    <row r="23" spans="1:32" x14ac:dyDescent="0.35">
      <c r="A23" s="1" t="s">
        <v>12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8">
        <f t="shared" si="0"/>
        <v>0</v>
      </c>
    </row>
    <row r="24" spans="1:32" x14ac:dyDescent="0.35">
      <c r="A24" s="1" t="s">
        <v>13</v>
      </c>
      <c r="B24" s="1">
        <v>46</v>
      </c>
      <c r="C24" s="1">
        <v>31</v>
      </c>
      <c r="D24" s="1">
        <v>16</v>
      </c>
      <c r="E24" s="1">
        <v>29</v>
      </c>
      <c r="F24" s="1">
        <v>38</v>
      </c>
      <c r="G24" s="1">
        <v>94</v>
      </c>
      <c r="H24" s="1">
        <v>57</v>
      </c>
      <c r="I24" s="1">
        <v>67</v>
      </c>
      <c r="J24" s="1">
        <v>16</v>
      </c>
      <c r="K24" s="1">
        <v>44</v>
      </c>
      <c r="L24" s="1">
        <v>115</v>
      </c>
      <c r="M24" s="1">
        <v>38</v>
      </c>
      <c r="N24" s="1">
        <v>29</v>
      </c>
      <c r="O24" s="1">
        <v>33</v>
      </c>
      <c r="P24" s="1">
        <v>89</v>
      </c>
      <c r="Q24" s="1">
        <v>47</v>
      </c>
      <c r="R24" s="1">
        <v>80</v>
      </c>
      <c r="S24" s="1">
        <v>105</v>
      </c>
      <c r="T24" s="1">
        <v>43</v>
      </c>
      <c r="U24" s="1">
        <v>64</v>
      </c>
      <c r="V24" s="1">
        <v>70</v>
      </c>
      <c r="W24" s="1">
        <v>89</v>
      </c>
      <c r="X24" s="1">
        <v>32</v>
      </c>
      <c r="Y24" s="1">
        <v>77</v>
      </c>
      <c r="Z24" s="1">
        <v>18</v>
      </c>
      <c r="AA24" s="1">
        <v>49</v>
      </c>
      <c r="AB24" s="1">
        <v>113</v>
      </c>
      <c r="AC24" s="1">
        <v>15</v>
      </c>
      <c r="AD24" s="1">
        <v>110</v>
      </c>
      <c r="AE24" s="1">
        <v>94</v>
      </c>
      <c r="AF24" s="18">
        <f t="shared" si="0"/>
        <v>58.266666666666666</v>
      </c>
    </row>
    <row r="25" spans="1:32" x14ac:dyDescent="0.35">
      <c r="A25" s="1" t="s">
        <v>14</v>
      </c>
      <c r="B25" s="1">
        <v>51</v>
      </c>
      <c r="C25" s="1">
        <v>24</v>
      </c>
      <c r="D25" s="1">
        <v>25</v>
      </c>
      <c r="E25" s="1">
        <v>34</v>
      </c>
      <c r="F25" s="1">
        <v>146</v>
      </c>
      <c r="G25" s="1">
        <v>115</v>
      </c>
      <c r="H25" s="1">
        <v>43</v>
      </c>
      <c r="I25" s="1">
        <v>114</v>
      </c>
      <c r="J25" s="1">
        <v>274</v>
      </c>
      <c r="K25" s="1">
        <v>25</v>
      </c>
      <c r="L25" s="1">
        <v>107</v>
      </c>
      <c r="M25" s="1">
        <v>59</v>
      </c>
      <c r="N25" s="1">
        <v>42</v>
      </c>
      <c r="O25" s="1">
        <v>63</v>
      </c>
      <c r="P25" s="1">
        <v>107</v>
      </c>
      <c r="Q25" s="1">
        <v>12</v>
      </c>
      <c r="R25" s="1">
        <v>20</v>
      </c>
      <c r="S25" s="1">
        <v>12</v>
      </c>
      <c r="T25" s="1">
        <v>51</v>
      </c>
      <c r="U25" s="1">
        <v>262</v>
      </c>
      <c r="V25" s="1">
        <v>16</v>
      </c>
      <c r="W25" s="1">
        <v>51</v>
      </c>
      <c r="X25" s="1">
        <v>45</v>
      </c>
      <c r="Y25" s="1">
        <v>159</v>
      </c>
      <c r="Z25" s="1">
        <v>42</v>
      </c>
      <c r="AA25" s="1">
        <v>45</v>
      </c>
      <c r="AB25" s="1">
        <v>23</v>
      </c>
      <c r="AC25" s="1">
        <v>26</v>
      </c>
      <c r="AD25" s="1">
        <v>76</v>
      </c>
      <c r="AE25" s="1">
        <v>46</v>
      </c>
      <c r="AF25" s="18">
        <f t="shared" si="0"/>
        <v>70.5</v>
      </c>
    </row>
    <row r="26" spans="1:32" x14ac:dyDescent="0.35">
      <c r="A26" s="1" t="s">
        <v>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8">
        <f t="shared" si="0"/>
        <v>0</v>
      </c>
    </row>
    <row r="27" spans="1:32" x14ac:dyDescent="0.35">
      <c r="A27" s="1" t="s">
        <v>172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8">
        <f t="shared" si="0"/>
        <v>0</v>
      </c>
    </row>
    <row r="28" spans="1:32" x14ac:dyDescent="0.35">
      <c r="A28" s="1" t="s">
        <v>16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8">
        <f t="shared" si="0"/>
        <v>0</v>
      </c>
    </row>
    <row r="29" spans="1:32" x14ac:dyDescent="0.35">
      <c r="A29" s="1" t="s">
        <v>195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8">
        <f t="shared" si="0"/>
        <v>0</v>
      </c>
    </row>
    <row r="30" spans="1:32" x14ac:dyDescent="0.35">
      <c r="A30" s="1" t="s">
        <v>173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8">
        <f t="shared" si="0"/>
        <v>0</v>
      </c>
    </row>
    <row r="31" spans="1:32" x14ac:dyDescent="0.35">
      <c r="A31" s="1" t="s">
        <v>17</v>
      </c>
      <c r="B31" s="1">
        <v>16</v>
      </c>
      <c r="C31" s="1">
        <v>132</v>
      </c>
      <c r="D31" s="1">
        <v>22</v>
      </c>
      <c r="E31" s="1">
        <v>32</v>
      </c>
      <c r="F31" s="1">
        <v>89</v>
      </c>
      <c r="G31" s="1">
        <v>46</v>
      </c>
      <c r="H31" s="1">
        <v>24</v>
      </c>
      <c r="I31" s="1">
        <v>42</v>
      </c>
      <c r="J31" s="1">
        <v>30</v>
      </c>
      <c r="K31" s="1">
        <v>29</v>
      </c>
      <c r="L31" s="1">
        <v>53</v>
      </c>
      <c r="M31" s="1">
        <v>13</v>
      </c>
      <c r="N31" s="1">
        <v>37</v>
      </c>
      <c r="O31" s="1">
        <v>23</v>
      </c>
      <c r="P31" s="1">
        <v>33</v>
      </c>
      <c r="Q31" s="1">
        <v>20</v>
      </c>
      <c r="R31" s="1">
        <v>32</v>
      </c>
      <c r="S31" s="1">
        <v>21</v>
      </c>
      <c r="T31" s="1">
        <v>20</v>
      </c>
      <c r="U31" s="1">
        <v>50</v>
      </c>
      <c r="V31" s="1">
        <v>52</v>
      </c>
      <c r="W31" s="1">
        <v>76</v>
      </c>
      <c r="X31" s="1">
        <v>15</v>
      </c>
      <c r="Y31" s="1">
        <v>50</v>
      </c>
      <c r="Z31" s="1">
        <v>43</v>
      </c>
      <c r="AA31" s="1">
        <v>37</v>
      </c>
      <c r="AB31" s="1">
        <v>33</v>
      </c>
      <c r="AC31" s="1">
        <v>13</v>
      </c>
      <c r="AD31" s="1">
        <v>17</v>
      </c>
      <c r="AE31" s="1">
        <v>45</v>
      </c>
      <c r="AF31" s="18">
        <f t="shared" si="0"/>
        <v>38.166666666666664</v>
      </c>
    </row>
    <row r="32" spans="1:32" x14ac:dyDescent="0.35">
      <c r="A32" s="1" t="s">
        <v>18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8">
        <f t="shared" si="0"/>
        <v>0</v>
      </c>
    </row>
    <row r="33" spans="1:32" x14ac:dyDescent="0.35">
      <c r="A33" s="1" t="s">
        <v>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8">
        <f t="shared" si="0"/>
        <v>0</v>
      </c>
    </row>
    <row r="34" spans="1:32" x14ac:dyDescent="0.35">
      <c r="A34" s="1" t="s">
        <v>174</v>
      </c>
      <c r="B34" s="1">
        <v>120</v>
      </c>
      <c r="C34" s="1">
        <v>72</v>
      </c>
      <c r="D34" s="1">
        <v>96</v>
      </c>
      <c r="E34" s="1">
        <v>115</v>
      </c>
      <c r="F34" s="1">
        <v>172</v>
      </c>
      <c r="G34" s="1">
        <v>72</v>
      </c>
      <c r="H34" s="1">
        <v>29</v>
      </c>
      <c r="I34" s="1">
        <v>46</v>
      </c>
      <c r="J34" s="1">
        <v>29</v>
      </c>
      <c r="K34" s="1">
        <v>88</v>
      </c>
      <c r="L34" s="1">
        <v>68</v>
      </c>
      <c r="M34" s="1">
        <v>114</v>
      </c>
      <c r="N34" s="1">
        <v>98</v>
      </c>
      <c r="O34" s="1">
        <v>38</v>
      </c>
      <c r="P34" s="1">
        <v>51</v>
      </c>
      <c r="Q34" s="1">
        <v>111</v>
      </c>
      <c r="R34" s="1">
        <v>48</v>
      </c>
      <c r="S34" s="1">
        <v>20</v>
      </c>
      <c r="T34" s="1">
        <v>35</v>
      </c>
      <c r="U34" s="1">
        <v>89</v>
      </c>
      <c r="V34" s="1">
        <v>23</v>
      </c>
      <c r="W34" s="1">
        <v>144</v>
      </c>
      <c r="X34" s="1">
        <v>23</v>
      </c>
      <c r="Y34" s="1">
        <v>148</v>
      </c>
      <c r="Z34" s="1">
        <v>60</v>
      </c>
      <c r="AA34" s="1">
        <v>45</v>
      </c>
      <c r="AB34" s="1">
        <v>34</v>
      </c>
      <c r="AC34" s="1">
        <v>163</v>
      </c>
      <c r="AD34" s="1">
        <v>53</v>
      </c>
      <c r="AE34" s="1">
        <v>43</v>
      </c>
      <c r="AF34" s="18">
        <f t="shared" si="0"/>
        <v>74.900000000000006</v>
      </c>
    </row>
    <row r="35" spans="1:32" x14ac:dyDescent="0.35">
      <c r="A35" s="1" t="s">
        <v>20</v>
      </c>
      <c r="B35" s="1">
        <v>67</v>
      </c>
      <c r="C35" s="1">
        <v>58</v>
      </c>
      <c r="D35" s="1">
        <v>33</v>
      </c>
      <c r="E35" s="1">
        <v>31</v>
      </c>
      <c r="F35" s="1">
        <v>23</v>
      </c>
      <c r="G35" s="1">
        <v>73</v>
      </c>
      <c r="H35" s="1">
        <v>202</v>
      </c>
      <c r="I35" s="1">
        <v>17</v>
      </c>
      <c r="J35" s="1">
        <v>28</v>
      </c>
      <c r="K35" s="1">
        <v>36</v>
      </c>
      <c r="L35" s="1">
        <v>24</v>
      </c>
      <c r="M35" s="1">
        <v>43</v>
      </c>
      <c r="N35" s="1">
        <v>41</v>
      </c>
      <c r="O35" s="1">
        <v>25</v>
      </c>
      <c r="P35" s="1">
        <v>64</v>
      </c>
      <c r="Q35" s="1">
        <v>33</v>
      </c>
      <c r="R35" s="1">
        <v>32</v>
      </c>
      <c r="S35" s="1">
        <v>20</v>
      </c>
      <c r="T35" s="1">
        <v>32</v>
      </c>
      <c r="U35" s="1">
        <v>26</v>
      </c>
      <c r="V35" s="1">
        <v>39</v>
      </c>
      <c r="W35" s="1">
        <v>127</v>
      </c>
      <c r="X35" s="1">
        <v>186</v>
      </c>
      <c r="Y35" s="1">
        <v>23</v>
      </c>
      <c r="Z35" s="1">
        <v>121</v>
      </c>
      <c r="AA35" s="1">
        <v>28</v>
      </c>
      <c r="AB35" s="1">
        <v>23</v>
      </c>
      <c r="AC35" s="1">
        <v>96</v>
      </c>
      <c r="AD35" s="1">
        <v>31</v>
      </c>
      <c r="AE35" s="1">
        <v>42</v>
      </c>
      <c r="AF35" s="18">
        <f t="shared" si="0"/>
        <v>54.133333333333333</v>
      </c>
    </row>
    <row r="36" spans="1:32" x14ac:dyDescent="0.35">
      <c r="A36" s="1" t="s">
        <v>21</v>
      </c>
      <c r="B36" s="1">
        <v>17</v>
      </c>
      <c r="C36" s="1">
        <v>32</v>
      </c>
      <c r="D36" s="1">
        <v>58</v>
      </c>
      <c r="E36" s="1">
        <v>43</v>
      </c>
      <c r="F36" s="1">
        <v>57</v>
      </c>
      <c r="G36" s="1">
        <v>69</v>
      </c>
      <c r="H36" s="1">
        <v>48</v>
      </c>
      <c r="I36" s="1">
        <v>12</v>
      </c>
      <c r="J36" s="1">
        <v>30</v>
      </c>
      <c r="K36" s="1">
        <v>42</v>
      </c>
      <c r="L36" s="1">
        <v>24</v>
      </c>
      <c r="M36" s="1">
        <v>14</v>
      </c>
      <c r="N36" s="1">
        <v>71</v>
      </c>
      <c r="O36" s="1">
        <v>59</v>
      </c>
      <c r="P36" s="1">
        <v>15</v>
      </c>
      <c r="Q36" s="1">
        <v>18</v>
      </c>
      <c r="R36" s="1">
        <v>38</v>
      </c>
      <c r="S36" s="1">
        <v>54</v>
      </c>
      <c r="T36" s="1">
        <v>78</v>
      </c>
      <c r="U36" s="1">
        <v>124</v>
      </c>
      <c r="V36" s="1">
        <v>23</v>
      </c>
      <c r="W36" s="1">
        <v>52</v>
      </c>
      <c r="X36" s="1">
        <v>54</v>
      </c>
      <c r="Y36" s="1">
        <v>15</v>
      </c>
      <c r="Z36" s="1">
        <v>81</v>
      </c>
      <c r="AA36" s="1">
        <v>31</v>
      </c>
      <c r="AB36" s="1">
        <v>49</v>
      </c>
      <c r="AC36" s="1">
        <v>14</v>
      </c>
      <c r="AD36" s="1">
        <v>114</v>
      </c>
      <c r="AE36" s="1">
        <v>12</v>
      </c>
      <c r="AF36" s="18">
        <f t="shared" si="0"/>
        <v>44.93333333333333</v>
      </c>
    </row>
    <row r="37" spans="1:32" x14ac:dyDescent="0.35">
      <c r="A37" s="1" t="s">
        <v>22</v>
      </c>
      <c r="B37" s="1">
        <v>86</v>
      </c>
      <c r="C37" s="1">
        <v>21</v>
      </c>
      <c r="D37" s="1">
        <v>31</v>
      </c>
      <c r="E37" s="1">
        <v>32</v>
      </c>
      <c r="F37" s="1">
        <v>38</v>
      </c>
      <c r="G37" s="1">
        <v>13</v>
      </c>
      <c r="H37" s="1">
        <v>45</v>
      </c>
      <c r="I37" s="1">
        <v>16</v>
      </c>
      <c r="J37" s="1">
        <v>53</v>
      </c>
      <c r="K37" s="1">
        <v>42</v>
      </c>
      <c r="L37" s="1">
        <v>34</v>
      </c>
      <c r="M37" s="1">
        <v>36</v>
      </c>
      <c r="N37" s="1">
        <v>20</v>
      </c>
      <c r="O37" s="1">
        <v>20</v>
      </c>
      <c r="P37" s="1">
        <v>12</v>
      </c>
      <c r="Q37" s="1">
        <v>114</v>
      </c>
      <c r="R37" s="1">
        <v>61</v>
      </c>
      <c r="S37" s="1">
        <v>31</v>
      </c>
      <c r="T37" s="1">
        <v>37</v>
      </c>
      <c r="U37" s="1">
        <v>15</v>
      </c>
      <c r="V37" s="1">
        <v>45</v>
      </c>
      <c r="W37" s="1">
        <v>36</v>
      </c>
      <c r="X37" s="1">
        <v>62</v>
      </c>
      <c r="Y37" s="1">
        <v>47</v>
      </c>
      <c r="Z37" s="1">
        <v>120</v>
      </c>
      <c r="AA37" s="1">
        <v>13</v>
      </c>
      <c r="AB37" s="1">
        <v>65</v>
      </c>
      <c r="AC37" s="1">
        <v>57</v>
      </c>
      <c r="AD37" s="1">
        <v>203</v>
      </c>
      <c r="AE37" s="1">
        <v>66</v>
      </c>
      <c r="AF37" s="18">
        <f t="shared" si="0"/>
        <v>49.033333333333331</v>
      </c>
    </row>
    <row r="38" spans="1:32" x14ac:dyDescent="0.35">
      <c r="A38" s="1" t="s">
        <v>23</v>
      </c>
      <c r="B38" s="1">
        <v>98</v>
      </c>
      <c r="C38" s="1">
        <v>21</v>
      </c>
      <c r="D38" s="1">
        <v>44</v>
      </c>
      <c r="E38" s="1">
        <v>12</v>
      </c>
      <c r="F38" s="1">
        <v>69</v>
      </c>
      <c r="G38" s="1">
        <v>36</v>
      </c>
      <c r="H38" s="1">
        <v>48</v>
      </c>
      <c r="I38" s="1">
        <v>29</v>
      </c>
      <c r="J38" s="1">
        <v>28</v>
      </c>
      <c r="K38" s="1">
        <v>23</v>
      </c>
      <c r="L38" s="1">
        <v>16</v>
      </c>
      <c r="M38" s="1">
        <v>19</v>
      </c>
      <c r="N38" s="1">
        <v>104</v>
      </c>
      <c r="O38" s="1">
        <v>18</v>
      </c>
      <c r="P38" s="1">
        <v>19</v>
      </c>
      <c r="Q38" s="1">
        <v>19</v>
      </c>
      <c r="R38" s="1">
        <v>59</v>
      </c>
      <c r="S38" s="1">
        <v>21</v>
      </c>
      <c r="T38" s="1">
        <v>13</v>
      </c>
      <c r="U38" s="1">
        <v>42</v>
      </c>
      <c r="V38" s="1">
        <v>26</v>
      </c>
      <c r="W38" s="1">
        <v>92</v>
      </c>
      <c r="X38" s="1">
        <v>34</v>
      </c>
      <c r="Y38" s="1">
        <v>55</v>
      </c>
      <c r="Z38" s="1">
        <v>32</v>
      </c>
      <c r="AA38" s="1">
        <v>20</v>
      </c>
      <c r="AB38" s="1">
        <v>21</v>
      </c>
      <c r="AC38" s="1">
        <v>69</v>
      </c>
      <c r="AD38" s="1">
        <v>20</v>
      </c>
      <c r="AE38" s="1">
        <v>40</v>
      </c>
      <c r="AF38" s="18">
        <f t="shared" si="0"/>
        <v>38.233333333333334</v>
      </c>
    </row>
    <row r="39" spans="1:32" x14ac:dyDescent="0.35">
      <c r="A39" s="1" t="s">
        <v>24</v>
      </c>
      <c r="B39" s="1">
        <v>46</v>
      </c>
      <c r="C39" s="1">
        <v>30</v>
      </c>
      <c r="D39" s="1">
        <v>76</v>
      </c>
      <c r="E39" s="1">
        <v>77</v>
      </c>
      <c r="F39" s="1">
        <v>16</v>
      </c>
      <c r="G39" s="1">
        <v>21</v>
      </c>
      <c r="H39" s="1">
        <v>40</v>
      </c>
      <c r="I39" s="1">
        <v>27</v>
      </c>
      <c r="J39" s="1">
        <v>37</v>
      </c>
      <c r="K39" s="1">
        <v>41</v>
      </c>
      <c r="L39" s="1">
        <v>44</v>
      </c>
      <c r="M39" s="1">
        <v>54</v>
      </c>
      <c r="N39" s="1">
        <v>14</v>
      </c>
      <c r="O39" s="1">
        <v>30</v>
      </c>
      <c r="P39" s="1">
        <v>31</v>
      </c>
      <c r="Q39" s="1">
        <v>12</v>
      </c>
      <c r="R39" s="1">
        <v>56</v>
      </c>
      <c r="S39" s="1">
        <v>131</v>
      </c>
      <c r="T39" s="1">
        <v>77</v>
      </c>
      <c r="U39" s="1">
        <v>19</v>
      </c>
      <c r="V39" s="1">
        <v>40</v>
      </c>
      <c r="W39" s="1">
        <v>109</v>
      </c>
      <c r="X39" s="1">
        <v>26</v>
      </c>
      <c r="Y39" s="1">
        <v>80</v>
      </c>
      <c r="Z39" s="1">
        <v>24</v>
      </c>
      <c r="AA39" s="1">
        <v>21</v>
      </c>
      <c r="AB39" s="1">
        <v>22</v>
      </c>
      <c r="AC39" s="1">
        <v>78</v>
      </c>
      <c r="AD39" s="1">
        <v>49</v>
      </c>
      <c r="AE39" s="1">
        <v>14</v>
      </c>
      <c r="AF39" s="18">
        <f t="shared" si="0"/>
        <v>44.733333333333334</v>
      </c>
    </row>
    <row r="40" spans="1:32" x14ac:dyDescent="0.35">
      <c r="A40" s="1" t="s">
        <v>25</v>
      </c>
      <c r="B40" s="1">
        <v>90</v>
      </c>
      <c r="C40" s="1">
        <v>54</v>
      </c>
      <c r="D40" s="1">
        <v>17</v>
      </c>
      <c r="E40" s="1">
        <v>47</v>
      </c>
      <c r="F40" s="1">
        <v>148</v>
      </c>
      <c r="G40" s="1">
        <v>86</v>
      </c>
      <c r="H40" s="1">
        <v>71</v>
      </c>
      <c r="I40" s="1">
        <v>40</v>
      </c>
      <c r="J40" s="1">
        <v>20</v>
      </c>
      <c r="K40" s="1">
        <v>105</v>
      </c>
      <c r="L40" s="1">
        <v>52</v>
      </c>
      <c r="M40" s="1">
        <v>22</v>
      </c>
      <c r="N40" s="1">
        <v>80</v>
      </c>
      <c r="O40" s="1">
        <v>13</v>
      </c>
      <c r="P40" s="1">
        <v>55</v>
      </c>
      <c r="Q40" s="1">
        <v>38</v>
      </c>
      <c r="R40" s="1">
        <v>67</v>
      </c>
      <c r="S40" s="1">
        <v>20</v>
      </c>
      <c r="T40" s="1">
        <v>223</v>
      </c>
      <c r="U40" s="1">
        <v>38</v>
      </c>
      <c r="V40" s="1">
        <v>50</v>
      </c>
      <c r="W40" s="1">
        <v>81</v>
      </c>
      <c r="X40" s="1">
        <v>46</v>
      </c>
      <c r="Y40" s="1">
        <v>13</v>
      </c>
      <c r="Z40" s="1">
        <v>77</v>
      </c>
      <c r="AA40" s="1">
        <v>100</v>
      </c>
      <c r="AB40" s="1">
        <v>20</v>
      </c>
      <c r="AC40" s="1">
        <v>92</v>
      </c>
      <c r="AD40" s="1">
        <v>67</v>
      </c>
      <c r="AE40" s="1">
        <v>45</v>
      </c>
      <c r="AF40" s="18">
        <f t="shared" si="0"/>
        <v>62.56666666666667</v>
      </c>
    </row>
    <row r="41" spans="1:32" x14ac:dyDescent="0.35">
      <c r="A41" s="1" t="s">
        <v>26</v>
      </c>
      <c r="B41" s="1">
        <v>40</v>
      </c>
      <c r="C41" s="1">
        <v>55</v>
      </c>
      <c r="D41" s="1">
        <v>106</v>
      </c>
      <c r="E41" s="1">
        <v>59</v>
      </c>
      <c r="F41" s="1">
        <v>61</v>
      </c>
      <c r="G41" s="1">
        <v>41</v>
      </c>
      <c r="H41" s="1">
        <v>34</v>
      </c>
      <c r="I41" s="1">
        <v>30</v>
      </c>
      <c r="J41" s="1">
        <v>54</v>
      </c>
      <c r="K41" s="1">
        <v>37</v>
      </c>
      <c r="L41" s="1">
        <v>64</v>
      </c>
      <c r="M41" s="1">
        <v>24</v>
      </c>
      <c r="N41" s="1">
        <v>13</v>
      </c>
      <c r="O41" s="1">
        <v>13</v>
      </c>
      <c r="P41" s="1">
        <v>140</v>
      </c>
      <c r="Q41" s="1">
        <v>102</v>
      </c>
      <c r="R41" s="1">
        <v>131</v>
      </c>
      <c r="S41" s="1">
        <v>102</v>
      </c>
      <c r="T41" s="1">
        <v>38</v>
      </c>
      <c r="U41" s="1">
        <v>41</v>
      </c>
      <c r="V41" s="1">
        <v>50</v>
      </c>
      <c r="W41" s="1">
        <v>241</v>
      </c>
      <c r="X41" s="1">
        <v>48</v>
      </c>
      <c r="Y41" s="1">
        <v>36</v>
      </c>
      <c r="Z41" s="1">
        <v>78</v>
      </c>
      <c r="AA41" s="1">
        <v>42</v>
      </c>
      <c r="AB41" s="1">
        <v>43</v>
      </c>
      <c r="AC41" s="1">
        <v>29</v>
      </c>
      <c r="AD41" s="1">
        <v>167</v>
      </c>
      <c r="AE41" s="1">
        <v>30</v>
      </c>
      <c r="AF41" s="18">
        <f t="shared" si="0"/>
        <v>64.966666666666669</v>
      </c>
    </row>
    <row r="42" spans="1:32" x14ac:dyDescent="0.35">
      <c r="A42" s="1" t="s">
        <v>27</v>
      </c>
      <c r="B42" s="1">
        <v>15</v>
      </c>
      <c r="C42" s="1">
        <v>116</v>
      </c>
      <c r="D42" s="1">
        <v>138</v>
      </c>
      <c r="E42" s="1">
        <v>122</v>
      </c>
      <c r="F42" s="1">
        <v>160</v>
      </c>
      <c r="G42" s="1">
        <v>63</v>
      </c>
      <c r="H42" s="1">
        <v>42</v>
      </c>
      <c r="I42" s="1">
        <v>15</v>
      </c>
      <c r="J42" s="1">
        <v>22</v>
      </c>
      <c r="K42" s="1">
        <v>127</v>
      </c>
      <c r="L42" s="1">
        <v>21</v>
      </c>
      <c r="M42" s="1">
        <v>53</v>
      </c>
      <c r="N42" s="1">
        <v>65</v>
      </c>
      <c r="O42" s="1">
        <v>12</v>
      </c>
      <c r="P42" s="1">
        <v>74</v>
      </c>
      <c r="Q42" s="1">
        <v>29</v>
      </c>
      <c r="R42" s="1">
        <v>286</v>
      </c>
      <c r="S42" s="1">
        <v>15</v>
      </c>
      <c r="T42" s="1">
        <v>19</v>
      </c>
      <c r="U42" s="1">
        <v>27</v>
      </c>
      <c r="V42" s="1">
        <v>50</v>
      </c>
      <c r="W42" s="1">
        <v>32</v>
      </c>
      <c r="X42" s="1">
        <v>51</v>
      </c>
      <c r="Y42" s="1">
        <v>35</v>
      </c>
      <c r="Z42" s="1">
        <v>109</v>
      </c>
      <c r="AA42" s="1">
        <v>78</v>
      </c>
      <c r="AB42" s="1">
        <v>58</v>
      </c>
      <c r="AC42" s="1">
        <v>35</v>
      </c>
      <c r="AD42" s="1">
        <v>64</v>
      </c>
      <c r="AE42" s="1">
        <v>33</v>
      </c>
      <c r="AF42" s="18">
        <f t="shared" si="0"/>
        <v>65.533333333333331</v>
      </c>
    </row>
    <row r="43" spans="1:32" x14ac:dyDescent="0.35">
      <c r="A43" s="1" t="s">
        <v>164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8">
        <f t="shared" si="0"/>
        <v>0</v>
      </c>
    </row>
    <row r="44" spans="1:32" x14ac:dyDescent="0.35">
      <c r="A44" s="1" t="s">
        <v>28</v>
      </c>
      <c r="B44" s="1">
        <v>21</v>
      </c>
      <c r="C44" s="1">
        <v>43</v>
      </c>
      <c r="D44" s="1">
        <v>16</v>
      </c>
      <c r="E44" s="1">
        <v>47</v>
      </c>
      <c r="F44" s="1">
        <v>25</v>
      </c>
      <c r="G44" s="1">
        <v>74</v>
      </c>
      <c r="H44" s="1">
        <v>38</v>
      </c>
      <c r="I44" s="1">
        <v>15</v>
      </c>
      <c r="J44" s="1">
        <v>33</v>
      </c>
      <c r="K44" s="1">
        <v>27</v>
      </c>
      <c r="L44" s="1">
        <v>57</v>
      </c>
      <c r="M44" s="1">
        <v>14</v>
      </c>
      <c r="N44" s="1">
        <v>24</v>
      </c>
      <c r="O44" s="1">
        <v>23</v>
      </c>
      <c r="P44" s="1">
        <v>12</v>
      </c>
      <c r="Q44" s="1">
        <v>34</v>
      </c>
      <c r="R44" s="1">
        <v>17</v>
      </c>
      <c r="S44" s="1">
        <v>78</v>
      </c>
      <c r="T44" s="1">
        <v>25</v>
      </c>
      <c r="U44" s="1">
        <v>49</v>
      </c>
      <c r="V44" s="1">
        <v>77</v>
      </c>
      <c r="W44" s="1">
        <v>28</v>
      </c>
      <c r="X44" s="1">
        <v>54</v>
      </c>
      <c r="Y44" s="1">
        <v>147</v>
      </c>
      <c r="Z44" s="1">
        <v>13</v>
      </c>
      <c r="AA44" s="1">
        <v>23</v>
      </c>
      <c r="AB44" s="1">
        <v>15</v>
      </c>
      <c r="AC44" s="1">
        <v>24</v>
      </c>
      <c r="AD44" s="1">
        <v>53</v>
      </c>
      <c r="AE44" s="1">
        <v>24</v>
      </c>
      <c r="AF44" s="18">
        <f t="shared" si="0"/>
        <v>37.666666666666664</v>
      </c>
    </row>
    <row r="45" spans="1:32" x14ac:dyDescent="0.35">
      <c r="A45" s="1" t="s">
        <v>29</v>
      </c>
      <c r="B45" s="1">
        <v>44</v>
      </c>
      <c r="C45" s="1">
        <v>34</v>
      </c>
      <c r="D45" s="1">
        <v>15</v>
      </c>
      <c r="E45" s="1">
        <v>61</v>
      </c>
      <c r="F45" s="1">
        <v>56</v>
      </c>
      <c r="G45" s="1">
        <v>26</v>
      </c>
      <c r="H45" s="1">
        <v>95</v>
      </c>
      <c r="I45" s="1">
        <v>73</v>
      </c>
      <c r="J45" s="1">
        <v>23</v>
      </c>
      <c r="K45" s="1">
        <v>18</v>
      </c>
      <c r="L45" s="1">
        <v>51</v>
      </c>
      <c r="M45" s="1">
        <v>41</v>
      </c>
      <c r="N45" s="1">
        <v>43</v>
      </c>
      <c r="O45" s="1">
        <v>25</v>
      </c>
      <c r="P45" s="1">
        <v>20</v>
      </c>
      <c r="Q45" s="1">
        <v>17</v>
      </c>
      <c r="R45" s="1">
        <v>16</v>
      </c>
      <c r="S45" s="1">
        <v>24</v>
      </c>
      <c r="T45" s="1">
        <v>74</v>
      </c>
      <c r="U45" s="1">
        <v>127</v>
      </c>
      <c r="V45" s="1">
        <v>29</v>
      </c>
      <c r="W45" s="1">
        <v>35</v>
      </c>
      <c r="X45" s="1">
        <v>41</v>
      </c>
      <c r="Y45" s="1">
        <v>24</v>
      </c>
      <c r="Z45" s="1">
        <v>59</v>
      </c>
      <c r="AA45" s="1">
        <v>34</v>
      </c>
      <c r="AB45" s="1">
        <v>25</v>
      </c>
      <c r="AC45" s="1">
        <v>48</v>
      </c>
      <c r="AD45" s="1">
        <v>59</v>
      </c>
      <c r="AE45" s="1">
        <v>108</v>
      </c>
      <c r="AF45" s="18">
        <f t="shared" si="0"/>
        <v>44.833333333333336</v>
      </c>
    </row>
    <row r="46" spans="1:32" x14ac:dyDescent="0.35">
      <c r="A46" s="1" t="s">
        <v>30</v>
      </c>
      <c r="B46" s="1">
        <v>14</v>
      </c>
      <c r="C46" s="1">
        <v>43</v>
      </c>
      <c r="D46" s="1">
        <v>28</v>
      </c>
      <c r="E46" s="1">
        <v>76</v>
      </c>
      <c r="F46" s="1">
        <v>33</v>
      </c>
      <c r="G46" s="1">
        <v>65</v>
      </c>
      <c r="H46" s="1">
        <v>150</v>
      </c>
      <c r="I46" s="1">
        <v>37</v>
      </c>
      <c r="J46" s="1">
        <v>45</v>
      </c>
      <c r="K46" s="1">
        <v>72</v>
      </c>
      <c r="L46" s="1">
        <v>27</v>
      </c>
      <c r="M46" s="1">
        <v>24</v>
      </c>
      <c r="N46" s="1">
        <v>209</v>
      </c>
      <c r="O46" s="1">
        <v>44</v>
      </c>
      <c r="P46" s="1">
        <v>80</v>
      </c>
      <c r="Q46" s="1">
        <v>82</v>
      </c>
      <c r="R46" s="1">
        <v>30</v>
      </c>
      <c r="S46" s="1">
        <v>94</v>
      </c>
      <c r="T46" s="1">
        <v>22</v>
      </c>
      <c r="U46" s="1">
        <v>183</v>
      </c>
      <c r="V46" s="1">
        <v>92</v>
      </c>
      <c r="W46" s="1">
        <v>23</v>
      </c>
      <c r="X46" s="1">
        <v>296</v>
      </c>
      <c r="Y46" s="1">
        <v>76</v>
      </c>
      <c r="Z46" s="1">
        <v>14</v>
      </c>
      <c r="AA46" s="1">
        <v>83</v>
      </c>
      <c r="AB46" s="1">
        <v>57</v>
      </c>
      <c r="AC46" s="1">
        <v>67</v>
      </c>
      <c r="AD46" s="1">
        <v>46</v>
      </c>
      <c r="AE46" s="1">
        <v>108</v>
      </c>
      <c r="AF46" s="18">
        <f t="shared" si="0"/>
        <v>74</v>
      </c>
    </row>
    <row r="47" spans="1:32" x14ac:dyDescent="0.35">
      <c r="A47" s="1" t="s">
        <v>175</v>
      </c>
      <c r="B47" s="1">
        <v>43</v>
      </c>
      <c r="C47" s="1">
        <v>14</v>
      </c>
      <c r="D47" s="1">
        <v>75</v>
      </c>
      <c r="E47" s="1">
        <v>15</v>
      </c>
      <c r="F47" s="1">
        <v>50</v>
      </c>
      <c r="G47" s="1">
        <v>34</v>
      </c>
      <c r="H47" s="1">
        <v>42</v>
      </c>
      <c r="I47" s="1">
        <v>51</v>
      </c>
      <c r="J47" s="1">
        <v>12</v>
      </c>
      <c r="K47" s="1">
        <v>62</v>
      </c>
      <c r="L47" s="1">
        <v>51</v>
      </c>
      <c r="M47" s="1">
        <v>32</v>
      </c>
      <c r="N47" s="1">
        <v>52</v>
      </c>
      <c r="O47" s="1">
        <v>38</v>
      </c>
      <c r="P47" s="1">
        <v>104</v>
      </c>
      <c r="Q47" s="1">
        <v>15</v>
      </c>
      <c r="R47" s="1">
        <v>34</v>
      </c>
      <c r="S47" s="1">
        <v>55</v>
      </c>
      <c r="T47" s="1">
        <v>25</v>
      </c>
      <c r="U47" s="1">
        <v>51</v>
      </c>
      <c r="V47" s="1">
        <v>62</v>
      </c>
      <c r="W47" s="1">
        <v>92</v>
      </c>
      <c r="X47" s="1">
        <v>27</v>
      </c>
      <c r="Y47" s="1">
        <v>18</v>
      </c>
      <c r="Z47" s="1">
        <v>56</v>
      </c>
      <c r="AA47" s="1">
        <v>32</v>
      </c>
      <c r="AB47" s="1">
        <v>30</v>
      </c>
      <c r="AC47" s="1">
        <v>30</v>
      </c>
      <c r="AD47" s="1">
        <v>21</v>
      </c>
      <c r="AE47" s="1">
        <v>13</v>
      </c>
      <c r="AF47" s="18">
        <f t="shared" si="0"/>
        <v>41.2</v>
      </c>
    </row>
    <row r="48" spans="1:32" x14ac:dyDescent="0.35">
      <c r="A48" s="1" t="s">
        <v>31</v>
      </c>
      <c r="B48" s="1">
        <v>17</v>
      </c>
      <c r="C48" s="1">
        <v>40</v>
      </c>
      <c r="D48" s="1">
        <v>35</v>
      </c>
      <c r="E48" s="1">
        <v>24</v>
      </c>
      <c r="F48" s="1">
        <v>17</v>
      </c>
      <c r="G48" s="1">
        <v>23</v>
      </c>
      <c r="H48" s="1">
        <v>21</v>
      </c>
      <c r="I48" s="1">
        <v>99</v>
      </c>
      <c r="J48" s="1">
        <v>79</v>
      </c>
      <c r="K48" s="1">
        <v>37</v>
      </c>
      <c r="L48" s="1">
        <v>56</v>
      </c>
      <c r="M48" s="1">
        <v>21</v>
      </c>
      <c r="N48" s="1">
        <v>37</v>
      </c>
      <c r="O48" s="1">
        <v>55</v>
      </c>
      <c r="P48" s="1">
        <v>20</v>
      </c>
      <c r="Q48" s="1">
        <v>163</v>
      </c>
      <c r="R48" s="1">
        <v>19</v>
      </c>
      <c r="S48" s="1">
        <v>18</v>
      </c>
      <c r="T48" s="1">
        <v>14</v>
      </c>
      <c r="U48" s="1">
        <v>13</v>
      </c>
      <c r="V48" s="1">
        <v>52</v>
      </c>
      <c r="W48" s="1">
        <v>34</v>
      </c>
      <c r="X48" s="1">
        <v>52</v>
      </c>
      <c r="Y48" s="1">
        <v>16</v>
      </c>
      <c r="Z48" s="1">
        <v>60</v>
      </c>
      <c r="AA48" s="1">
        <v>71</v>
      </c>
      <c r="AB48" s="1">
        <v>12</v>
      </c>
      <c r="AC48" s="1">
        <v>53</v>
      </c>
      <c r="AD48" s="1">
        <v>93</v>
      </c>
      <c r="AE48" s="1">
        <v>39</v>
      </c>
      <c r="AF48" s="18">
        <f t="shared" si="0"/>
        <v>43</v>
      </c>
    </row>
    <row r="49" spans="1:32" x14ac:dyDescent="0.35">
      <c r="A49" s="1" t="s">
        <v>32</v>
      </c>
      <c r="B49" s="1">
        <v>14</v>
      </c>
      <c r="C49" s="1">
        <v>87</v>
      </c>
      <c r="D49" s="1">
        <v>14</v>
      </c>
      <c r="E49" s="1">
        <v>29</v>
      </c>
      <c r="F49" s="1">
        <v>14</v>
      </c>
      <c r="G49" s="1">
        <v>57</v>
      </c>
      <c r="H49" s="1">
        <v>20</v>
      </c>
      <c r="I49" s="1">
        <v>95</v>
      </c>
      <c r="J49" s="1">
        <v>14</v>
      </c>
      <c r="K49" s="1">
        <v>23</v>
      </c>
      <c r="L49" s="1">
        <v>115</v>
      </c>
      <c r="M49" s="1">
        <v>34</v>
      </c>
      <c r="N49" s="1">
        <v>16</v>
      </c>
      <c r="O49" s="1">
        <v>40</v>
      </c>
      <c r="P49" s="1">
        <v>46</v>
      </c>
      <c r="Q49" s="1">
        <v>27</v>
      </c>
      <c r="R49" s="1">
        <v>91</v>
      </c>
      <c r="S49" s="1">
        <v>69</v>
      </c>
      <c r="T49" s="1">
        <v>57</v>
      </c>
      <c r="U49" s="1">
        <v>47</v>
      </c>
      <c r="V49" s="1">
        <v>36</v>
      </c>
      <c r="W49" s="1">
        <v>65</v>
      </c>
      <c r="X49" s="1">
        <v>20</v>
      </c>
      <c r="Y49" s="1">
        <v>30</v>
      </c>
      <c r="Z49" s="1">
        <v>19</v>
      </c>
      <c r="AA49" s="1">
        <v>29</v>
      </c>
      <c r="AB49" s="1">
        <v>27</v>
      </c>
      <c r="AC49" s="1">
        <v>37</v>
      </c>
      <c r="AD49" s="1">
        <v>73</v>
      </c>
      <c r="AE49" s="1">
        <v>27</v>
      </c>
      <c r="AF49" s="18">
        <f t="shared" si="0"/>
        <v>42.4</v>
      </c>
    </row>
    <row r="50" spans="1:32" x14ac:dyDescent="0.35">
      <c r="A50" s="1" t="s">
        <v>33</v>
      </c>
      <c r="B50" s="1">
        <v>27</v>
      </c>
      <c r="C50" s="1">
        <v>100</v>
      </c>
      <c r="D50" s="1">
        <v>25</v>
      </c>
      <c r="E50" s="1">
        <v>74</v>
      </c>
      <c r="F50" s="1">
        <v>43</v>
      </c>
      <c r="G50" s="1">
        <v>21</v>
      </c>
      <c r="H50" s="1">
        <v>293</v>
      </c>
      <c r="I50" s="1">
        <v>196</v>
      </c>
      <c r="J50" s="1">
        <v>143</v>
      </c>
      <c r="K50" s="1">
        <v>75</v>
      </c>
      <c r="L50" s="1">
        <v>74</v>
      </c>
      <c r="M50" s="1">
        <v>148</v>
      </c>
      <c r="N50" s="1">
        <v>53</v>
      </c>
      <c r="O50" s="1">
        <v>89</v>
      </c>
      <c r="P50" s="1">
        <v>163</v>
      </c>
      <c r="Q50" s="1">
        <v>111</v>
      </c>
      <c r="R50" s="1">
        <v>59</v>
      </c>
      <c r="S50" s="1">
        <v>27</v>
      </c>
      <c r="T50" s="1">
        <v>56</v>
      </c>
      <c r="U50" s="1">
        <v>110</v>
      </c>
      <c r="V50" s="1">
        <v>25</v>
      </c>
      <c r="W50" s="1">
        <v>124</v>
      </c>
      <c r="X50" s="1">
        <v>31</v>
      </c>
      <c r="Y50" s="1">
        <v>32</v>
      </c>
      <c r="Z50" s="1">
        <v>14</v>
      </c>
      <c r="AA50" s="1">
        <v>27</v>
      </c>
      <c r="AB50" s="1">
        <v>14</v>
      </c>
      <c r="AC50" s="1">
        <v>209</v>
      </c>
      <c r="AD50" s="1">
        <v>122</v>
      </c>
      <c r="AE50" s="1">
        <v>20</v>
      </c>
      <c r="AF50" s="18">
        <f t="shared" si="0"/>
        <v>83.5</v>
      </c>
    </row>
    <row r="51" spans="1:32" x14ac:dyDescent="0.35">
      <c r="A51" s="1" t="s">
        <v>34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8">
        <f t="shared" si="0"/>
        <v>0</v>
      </c>
    </row>
    <row r="52" spans="1:32" x14ac:dyDescent="0.35">
      <c r="A52" s="1" t="s">
        <v>35</v>
      </c>
      <c r="B52" s="1">
        <v>56</v>
      </c>
      <c r="C52" s="1">
        <v>56</v>
      </c>
      <c r="D52" s="1">
        <v>29</v>
      </c>
      <c r="E52" s="1">
        <v>22</v>
      </c>
      <c r="F52" s="1">
        <v>23</v>
      </c>
      <c r="G52" s="1">
        <v>82</v>
      </c>
      <c r="H52" s="1">
        <v>54</v>
      </c>
      <c r="I52" s="1">
        <v>22</v>
      </c>
      <c r="J52" s="1">
        <v>56</v>
      </c>
      <c r="K52" s="1">
        <v>105</v>
      </c>
      <c r="L52" s="1">
        <v>32</v>
      </c>
      <c r="M52" s="1">
        <v>57</v>
      </c>
      <c r="N52" s="1">
        <v>22</v>
      </c>
      <c r="O52" s="1">
        <v>21</v>
      </c>
      <c r="P52" s="1">
        <v>85</v>
      </c>
      <c r="Q52" s="1">
        <v>87</v>
      </c>
      <c r="R52" s="1">
        <v>277</v>
      </c>
      <c r="S52" s="1">
        <v>213</v>
      </c>
      <c r="T52" s="1">
        <v>294</v>
      </c>
      <c r="U52" s="1">
        <v>21</v>
      </c>
      <c r="V52" s="1">
        <v>23</v>
      </c>
      <c r="W52" s="1">
        <v>29</v>
      </c>
      <c r="X52" s="1">
        <v>57</v>
      </c>
      <c r="Y52" s="1">
        <v>59</v>
      </c>
      <c r="Z52" s="1">
        <v>75</v>
      </c>
      <c r="AA52" s="1">
        <v>38</v>
      </c>
      <c r="AB52" s="1">
        <v>47</v>
      </c>
      <c r="AC52" s="1">
        <v>42</v>
      </c>
      <c r="AD52" s="1">
        <v>20</v>
      </c>
      <c r="AE52" s="1">
        <v>49</v>
      </c>
      <c r="AF52" s="18">
        <f t="shared" si="0"/>
        <v>68.433333333333337</v>
      </c>
    </row>
    <row r="53" spans="1:32" x14ac:dyDescent="0.35">
      <c r="A53" s="1" t="s">
        <v>36</v>
      </c>
      <c r="B53" s="1">
        <v>18</v>
      </c>
      <c r="C53" s="1">
        <v>60</v>
      </c>
      <c r="D53" s="1">
        <v>94</v>
      </c>
      <c r="E53" s="1">
        <v>26</v>
      </c>
      <c r="F53" s="1">
        <v>53</v>
      </c>
      <c r="G53" s="1">
        <v>13</v>
      </c>
      <c r="H53" s="1">
        <v>332</v>
      </c>
      <c r="I53" s="1">
        <v>60</v>
      </c>
      <c r="J53" s="1">
        <v>161</v>
      </c>
      <c r="K53" s="1">
        <v>131</v>
      </c>
      <c r="L53" s="1">
        <v>63</v>
      </c>
      <c r="M53" s="1">
        <v>122</v>
      </c>
      <c r="N53" s="1">
        <v>25</v>
      </c>
      <c r="O53" s="1">
        <v>12</v>
      </c>
      <c r="P53" s="1">
        <v>14</v>
      </c>
      <c r="Q53" s="1">
        <v>69</v>
      </c>
      <c r="R53" s="1">
        <v>16</v>
      </c>
      <c r="S53" s="1">
        <v>36</v>
      </c>
      <c r="T53" s="1">
        <v>55</v>
      </c>
      <c r="U53" s="1">
        <v>46</v>
      </c>
      <c r="V53" s="1">
        <v>106</v>
      </c>
      <c r="W53" s="1">
        <v>83</v>
      </c>
      <c r="X53" s="1">
        <v>52</v>
      </c>
      <c r="Y53" s="1">
        <v>120</v>
      </c>
      <c r="Z53" s="1">
        <v>41</v>
      </c>
      <c r="AA53" s="1">
        <v>84</v>
      </c>
      <c r="AB53" s="1">
        <v>45</v>
      </c>
      <c r="AC53" s="1">
        <v>33</v>
      </c>
      <c r="AD53" s="1">
        <v>233</v>
      </c>
      <c r="AE53" s="1">
        <v>60</v>
      </c>
      <c r="AF53" s="18">
        <f t="shared" si="0"/>
        <v>75.433333333333337</v>
      </c>
    </row>
    <row r="54" spans="1:32" x14ac:dyDescent="0.35">
      <c r="A54" s="1" t="s">
        <v>37</v>
      </c>
      <c r="B54" s="1">
        <v>80</v>
      </c>
      <c r="C54" s="1">
        <v>12</v>
      </c>
      <c r="D54" s="1">
        <v>19</v>
      </c>
      <c r="E54" s="1">
        <v>24</v>
      </c>
      <c r="F54" s="1">
        <v>34</v>
      </c>
      <c r="G54" s="1">
        <v>16</v>
      </c>
      <c r="H54" s="1">
        <v>17</v>
      </c>
      <c r="I54" s="1">
        <v>40</v>
      </c>
      <c r="J54" s="1">
        <v>16</v>
      </c>
      <c r="K54" s="1">
        <v>24</v>
      </c>
      <c r="L54" s="1">
        <v>17</v>
      </c>
      <c r="M54" s="1">
        <v>52</v>
      </c>
      <c r="N54" s="1">
        <v>41</v>
      </c>
      <c r="O54" s="1">
        <v>24</v>
      </c>
      <c r="P54" s="1">
        <v>19</v>
      </c>
      <c r="Q54" s="1">
        <v>75</v>
      </c>
      <c r="R54" s="1">
        <v>14</v>
      </c>
      <c r="S54" s="1">
        <v>37</v>
      </c>
      <c r="T54" s="1">
        <v>19</v>
      </c>
      <c r="U54" s="1">
        <v>22</v>
      </c>
      <c r="V54" s="1">
        <v>40</v>
      </c>
      <c r="W54" s="1">
        <v>28</v>
      </c>
      <c r="X54" s="1">
        <v>31</v>
      </c>
      <c r="Y54" s="1">
        <v>44</v>
      </c>
      <c r="Z54" s="1">
        <v>29</v>
      </c>
      <c r="AA54" s="1">
        <v>16</v>
      </c>
      <c r="AB54" s="1">
        <v>64</v>
      </c>
      <c r="AC54" s="1">
        <v>22</v>
      </c>
      <c r="AD54" s="1">
        <v>21</v>
      </c>
      <c r="AE54" s="1">
        <v>14</v>
      </c>
      <c r="AF54" s="18">
        <f t="shared" si="0"/>
        <v>30.366666666666667</v>
      </c>
    </row>
    <row r="55" spans="1:32" x14ac:dyDescent="0.35">
      <c r="A55" s="1" t="s">
        <v>38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8">
        <f t="shared" si="0"/>
        <v>0</v>
      </c>
    </row>
    <row r="56" spans="1:32" x14ac:dyDescent="0.35">
      <c r="A56" s="1" t="s">
        <v>39</v>
      </c>
      <c r="B56" s="1">
        <v>213</v>
      </c>
      <c r="C56" s="1">
        <v>24</v>
      </c>
      <c r="D56" s="1">
        <v>171</v>
      </c>
      <c r="E56" s="1">
        <v>29</v>
      </c>
      <c r="F56" s="1">
        <v>267</v>
      </c>
      <c r="G56" s="1">
        <v>63</v>
      </c>
      <c r="H56" s="1">
        <v>29</v>
      </c>
      <c r="I56" s="1">
        <v>167</v>
      </c>
      <c r="J56" s="1">
        <v>17</v>
      </c>
      <c r="K56" s="1">
        <v>63</v>
      </c>
      <c r="L56" s="1">
        <v>54</v>
      </c>
      <c r="M56" s="1">
        <v>47</v>
      </c>
      <c r="N56" s="1">
        <v>54</v>
      </c>
      <c r="O56" s="1">
        <v>25</v>
      </c>
      <c r="P56" s="1">
        <v>25</v>
      </c>
      <c r="Q56" s="1">
        <v>38</v>
      </c>
      <c r="R56" s="1">
        <v>33</v>
      </c>
      <c r="S56" s="1">
        <v>25</v>
      </c>
      <c r="T56" s="1">
        <v>24</v>
      </c>
      <c r="U56" s="1">
        <v>47</v>
      </c>
      <c r="V56" s="1">
        <v>36</v>
      </c>
      <c r="W56" s="1">
        <v>31</v>
      </c>
      <c r="X56" s="1">
        <v>110</v>
      </c>
      <c r="Y56" s="1">
        <v>23</v>
      </c>
      <c r="Z56" s="1">
        <v>43</v>
      </c>
      <c r="AA56" s="1">
        <v>76</v>
      </c>
      <c r="AB56" s="1">
        <v>23</v>
      </c>
      <c r="AC56" s="1">
        <v>193</v>
      </c>
      <c r="AD56" s="1">
        <v>208</v>
      </c>
      <c r="AE56" s="1">
        <v>79</v>
      </c>
      <c r="AF56" s="18">
        <f t="shared" si="0"/>
        <v>74.566666666666663</v>
      </c>
    </row>
    <row r="57" spans="1:32" x14ac:dyDescent="0.35">
      <c r="A57" s="1" t="s">
        <v>176</v>
      </c>
      <c r="B57" s="1">
        <v>26</v>
      </c>
      <c r="C57" s="1">
        <v>15</v>
      </c>
      <c r="D57" s="1">
        <v>80</v>
      </c>
      <c r="E57" s="1">
        <v>174</v>
      </c>
      <c r="F57" s="1">
        <v>153</v>
      </c>
      <c r="G57" s="1">
        <v>44</v>
      </c>
      <c r="H57" s="1">
        <v>28</v>
      </c>
      <c r="I57" s="1">
        <v>69</v>
      </c>
      <c r="J57" s="1">
        <v>89</v>
      </c>
      <c r="K57" s="1">
        <v>60</v>
      </c>
      <c r="L57" s="1">
        <v>19</v>
      </c>
      <c r="M57" s="1">
        <v>133</v>
      </c>
      <c r="N57" s="1">
        <v>15</v>
      </c>
      <c r="O57" s="1">
        <v>18</v>
      </c>
      <c r="P57" s="1">
        <v>235</v>
      </c>
      <c r="Q57" s="1">
        <v>103</v>
      </c>
      <c r="R57" s="1">
        <v>177</v>
      </c>
      <c r="S57" s="1">
        <v>154</v>
      </c>
      <c r="T57" s="1">
        <v>19</v>
      </c>
      <c r="U57" s="1">
        <v>12</v>
      </c>
      <c r="V57" s="1">
        <v>44</v>
      </c>
      <c r="W57" s="1">
        <v>19</v>
      </c>
      <c r="X57" s="1">
        <v>13</v>
      </c>
      <c r="Y57" s="1">
        <v>62</v>
      </c>
      <c r="Z57" s="1">
        <v>46</v>
      </c>
      <c r="AA57" s="1">
        <v>14</v>
      </c>
      <c r="AB57" s="1">
        <v>18</v>
      </c>
      <c r="AC57" s="1">
        <v>42</v>
      </c>
      <c r="AD57" s="1">
        <v>46</v>
      </c>
      <c r="AE57" s="1">
        <v>101</v>
      </c>
      <c r="AF57" s="18">
        <f t="shared" si="0"/>
        <v>67.599999999999994</v>
      </c>
    </row>
    <row r="58" spans="1:32" x14ac:dyDescent="0.35">
      <c r="A58" s="1" t="s">
        <v>40</v>
      </c>
      <c r="B58" s="1">
        <v>13</v>
      </c>
      <c r="C58" s="1">
        <v>14</v>
      </c>
      <c r="D58" s="1">
        <v>99</v>
      </c>
      <c r="E58" s="1">
        <v>26</v>
      </c>
      <c r="F58" s="1">
        <v>29</v>
      </c>
      <c r="G58" s="1">
        <v>39</v>
      </c>
      <c r="H58" s="1">
        <v>31</v>
      </c>
      <c r="I58" s="1">
        <v>31</v>
      </c>
      <c r="J58" s="1">
        <v>92</v>
      </c>
      <c r="K58" s="1">
        <v>20</v>
      </c>
      <c r="L58" s="1">
        <v>42</v>
      </c>
      <c r="M58" s="1">
        <v>41</v>
      </c>
      <c r="N58" s="1">
        <v>23</v>
      </c>
      <c r="O58" s="1">
        <v>23</v>
      </c>
      <c r="P58" s="1">
        <v>36</v>
      </c>
      <c r="Q58" s="1">
        <v>13</v>
      </c>
      <c r="R58" s="1">
        <v>14</v>
      </c>
      <c r="S58" s="1">
        <v>35</v>
      </c>
      <c r="T58" s="1">
        <v>19</v>
      </c>
      <c r="U58" s="1">
        <v>15</v>
      </c>
      <c r="V58" s="1">
        <v>66</v>
      </c>
      <c r="W58" s="1">
        <v>31</v>
      </c>
      <c r="X58" s="1">
        <v>13</v>
      </c>
      <c r="Y58" s="1">
        <v>12</v>
      </c>
      <c r="Z58" s="1">
        <v>13</v>
      </c>
      <c r="AA58" s="1">
        <v>40</v>
      </c>
      <c r="AB58" s="1">
        <v>13</v>
      </c>
      <c r="AC58" s="1">
        <v>37</v>
      </c>
      <c r="AD58" s="1">
        <v>16</v>
      </c>
      <c r="AE58" s="1">
        <v>93</v>
      </c>
      <c r="AF58" s="18">
        <f t="shared" si="0"/>
        <v>32.966666666666669</v>
      </c>
    </row>
    <row r="59" spans="1:32" x14ac:dyDescent="0.35">
      <c r="A59" s="1" t="s">
        <v>41</v>
      </c>
      <c r="B59" s="1">
        <v>14</v>
      </c>
      <c r="C59" s="1">
        <v>20</v>
      </c>
      <c r="D59" s="1">
        <v>30</v>
      </c>
      <c r="E59" s="1">
        <v>13</v>
      </c>
      <c r="F59" s="1">
        <v>64</v>
      </c>
      <c r="G59" s="1">
        <v>17</v>
      </c>
      <c r="H59" s="1">
        <v>20</v>
      </c>
      <c r="I59" s="1">
        <v>37</v>
      </c>
      <c r="J59" s="1">
        <v>32</v>
      </c>
      <c r="K59" s="1">
        <v>38</v>
      </c>
      <c r="L59" s="1">
        <v>83</v>
      </c>
      <c r="M59" s="1">
        <v>30</v>
      </c>
      <c r="N59" s="1">
        <v>90</v>
      </c>
      <c r="O59" s="1">
        <v>26</v>
      </c>
      <c r="P59" s="1">
        <v>29</v>
      </c>
      <c r="Q59" s="1">
        <v>17</v>
      </c>
      <c r="R59" s="1">
        <v>68</v>
      </c>
      <c r="S59" s="1">
        <v>18</v>
      </c>
      <c r="T59" s="1">
        <v>26</v>
      </c>
      <c r="U59" s="1">
        <v>14</v>
      </c>
      <c r="V59" s="1">
        <v>83</v>
      </c>
      <c r="W59" s="1">
        <v>19</v>
      </c>
      <c r="X59" s="1">
        <v>14</v>
      </c>
      <c r="Y59" s="1">
        <v>77</v>
      </c>
      <c r="Z59" s="1">
        <v>29</v>
      </c>
      <c r="AA59" s="1">
        <v>60</v>
      </c>
      <c r="AB59" s="1">
        <v>12</v>
      </c>
      <c r="AC59" s="1">
        <v>17</v>
      </c>
      <c r="AD59" s="1">
        <v>57</v>
      </c>
      <c r="AE59" s="1">
        <v>185</v>
      </c>
      <c r="AF59" s="18">
        <f t="shared" si="0"/>
        <v>41.3</v>
      </c>
    </row>
    <row r="60" spans="1:32" x14ac:dyDescent="0.35">
      <c r="A60" s="1" t="s">
        <v>42</v>
      </c>
      <c r="B60" s="1">
        <v>35</v>
      </c>
      <c r="C60" s="1">
        <v>42</v>
      </c>
      <c r="D60" s="1">
        <v>103</v>
      </c>
      <c r="E60" s="1">
        <v>36</v>
      </c>
      <c r="F60" s="1">
        <v>88</v>
      </c>
      <c r="G60" s="1">
        <v>37</v>
      </c>
      <c r="H60" s="1">
        <v>24</v>
      </c>
      <c r="I60" s="1">
        <v>87</v>
      </c>
      <c r="J60" s="1">
        <v>46</v>
      </c>
      <c r="K60" s="1">
        <v>92</v>
      </c>
      <c r="L60" s="1">
        <v>168</v>
      </c>
      <c r="M60" s="1">
        <v>18</v>
      </c>
      <c r="N60" s="1">
        <v>130</v>
      </c>
      <c r="O60" s="1">
        <v>50</v>
      </c>
      <c r="P60" s="1">
        <v>34</v>
      </c>
      <c r="Q60" s="1">
        <v>36</v>
      </c>
      <c r="R60" s="1">
        <v>41</v>
      </c>
      <c r="S60" s="1">
        <v>186</v>
      </c>
      <c r="T60" s="1">
        <v>19</v>
      </c>
      <c r="U60" s="1">
        <v>183</v>
      </c>
      <c r="V60" s="1">
        <v>12</v>
      </c>
      <c r="W60" s="1">
        <v>25</v>
      </c>
      <c r="X60" s="1">
        <v>41</v>
      </c>
      <c r="Y60" s="1">
        <v>21</v>
      </c>
      <c r="Z60" s="1">
        <v>106</v>
      </c>
      <c r="AA60" s="1">
        <v>15</v>
      </c>
      <c r="AB60" s="1">
        <v>21</v>
      </c>
      <c r="AC60" s="1">
        <v>19</v>
      </c>
      <c r="AD60" s="1">
        <v>31</v>
      </c>
      <c r="AE60" s="1">
        <v>147</v>
      </c>
      <c r="AF60" s="18">
        <f t="shared" si="0"/>
        <v>63.1</v>
      </c>
    </row>
    <row r="61" spans="1:32" x14ac:dyDescent="0.35">
      <c r="A61" s="1" t="s">
        <v>43</v>
      </c>
      <c r="B61" s="1">
        <v>48</v>
      </c>
      <c r="C61" s="1">
        <v>92</v>
      </c>
      <c r="D61" s="1">
        <v>55</v>
      </c>
      <c r="E61" s="1">
        <v>138</v>
      </c>
      <c r="F61" s="1">
        <v>176</v>
      </c>
      <c r="G61" s="1">
        <v>129</v>
      </c>
      <c r="H61" s="1">
        <v>28</v>
      </c>
      <c r="I61" s="1">
        <v>62</v>
      </c>
      <c r="J61" s="1">
        <v>68</v>
      </c>
      <c r="K61" s="1">
        <v>34</v>
      </c>
      <c r="L61" s="1">
        <v>15</v>
      </c>
      <c r="M61" s="1">
        <v>16</v>
      </c>
      <c r="N61" s="1">
        <v>56</v>
      </c>
      <c r="O61" s="1">
        <v>20</v>
      </c>
      <c r="P61" s="1">
        <v>74</v>
      </c>
      <c r="Q61" s="1">
        <v>99</v>
      </c>
      <c r="R61" s="1">
        <v>263</v>
      </c>
      <c r="S61" s="1">
        <v>73</v>
      </c>
      <c r="T61" s="1">
        <v>35</v>
      </c>
      <c r="U61" s="1">
        <v>82</v>
      </c>
      <c r="V61" s="1">
        <v>22</v>
      </c>
      <c r="W61" s="1">
        <v>106</v>
      </c>
      <c r="X61" s="1">
        <v>49</v>
      </c>
      <c r="Y61" s="1">
        <v>56</v>
      </c>
      <c r="Z61" s="1">
        <v>19</v>
      </c>
      <c r="AA61" s="1">
        <v>196</v>
      </c>
      <c r="AB61" s="1">
        <v>88</v>
      </c>
      <c r="AC61" s="1">
        <v>55</v>
      </c>
      <c r="AD61" s="1">
        <v>87</v>
      </c>
      <c r="AE61" s="1">
        <v>98</v>
      </c>
      <c r="AF61" s="18">
        <f t="shared" si="0"/>
        <v>77.966666666666669</v>
      </c>
    </row>
    <row r="62" spans="1:32" x14ac:dyDescent="0.35">
      <c r="A62" s="1" t="s">
        <v>44</v>
      </c>
      <c r="B62" s="1">
        <v>117</v>
      </c>
      <c r="C62" s="1">
        <v>15</v>
      </c>
      <c r="D62" s="1">
        <v>29</v>
      </c>
      <c r="E62" s="1">
        <v>23</v>
      </c>
      <c r="F62" s="1">
        <v>47</v>
      </c>
      <c r="G62" s="1">
        <v>32</v>
      </c>
      <c r="H62" s="1">
        <v>16</v>
      </c>
      <c r="I62" s="1">
        <v>20</v>
      </c>
      <c r="J62" s="1">
        <v>96</v>
      </c>
      <c r="K62" s="1">
        <v>13</v>
      </c>
      <c r="L62" s="1">
        <v>95</v>
      </c>
      <c r="M62" s="1">
        <v>48</v>
      </c>
      <c r="N62" s="1">
        <v>20</v>
      </c>
      <c r="O62" s="1">
        <v>22</v>
      </c>
      <c r="P62" s="1">
        <v>17</v>
      </c>
      <c r="Q62" s="1">
        <v>23</v>
      </c>
      <c r="R62" s="1">
        <v>34</v>
      </c>
      <c r="S62" s="1">
        <v>61</v>
      </c>
      <c r="T62" s="1">
        <v>35</v>
      </c>
      <c r="U62" s="1">
        <v>12</v>
      </c>
      <c r="V62" s="1">
        <v>70</v>
      </c>
      <c r="W62" s="1">
        <v>138</v>
      </c>
      <c r="X62" s="1">
        <v>29</v>
      </c>
      <c r="Y62" s="1">
        <v>38</v>
      </c>
      <c r="Z62" s="1">
        <v>45</v>
      </c>
      <c r="AA62" s="1">
        <v>46</v>
      </c>
      <c r="AB62" s="1">
        <v>52</v>
      </c>
      <c r="AC62" s="1">
        <v>20</v>
      </c>
      <c r="AD62" s="1">
        <v>26</v>
      </c>
      <c r="AE62" s="1">
        <v>39</v>
      </c>
      <c r="AF62" s="18">
        <f t="shared" si="0"/>
        <v>42.6</v>
      </c>
    </row>
    <row r="63" spans="1:32" x14ac:dyDescent="0.35">
      <c r="A63" s="1" t="s">
        <v>177</v>
      </c>
      <c r="B63" s="1">
        <v>66</v>
      </c>
      <c r="C63" s="1">
        <v>179</v>
      </c>
      <c r="D63" s="1">
        <v>14</v>
      </c>
      <c r="E63" s="1">
        <v>37</v>
      </c>
      <c r="F63" s="1">
        <v>35</v>
      </c>
      <c r="G63" s="1">
        <v>35</v>
      </c>
      <c r="H63" s="1">
        <v>20</v>
      </c>
      <c r="I63" s="1">
        <v>33</v>
      </c>
      <c r="J63" s="1">
        <v>21</v>
      </c>
      <c r="K63" s="1">
        <v>12</v>
      </c>
      <c r="L63" s="1">
        <v>37</v>
      </c>
      <c r="M63" s="1">
        <v>80</v>
      </c>
      <c r="N63" s="1">
        <v>50</v>
      </c>
      <c r="O63" s="1">
        <v>62</v>
      </c>
      <c r="P63" s="1">
        <v>43</v>
      </c>
      <c r="Q63" s="1">
        <v>24</v>
      </c>
      <c r="R63" s="1">
        <v>37</v>
      </c>
      <c r="S63" s="1">
        <v>20</v>
      </c>
      <c r="T63" s="1">
        <v>40</v>
      </c>
      <c r="U63" s="1">
        <v>12</v>
      </c>
      <c r="V63" s="1">
        <v>54</v>
      </c>
      <c r="W63" s="1">
        <v>18</v>
      </c>
      <c r="X63" s="1">
        <v>52</v>
      </c>
      <c r="Y63" s="1">
        <v>46</v>
      </c>
      <c r="Z63" s="1">
        <v>73</v>
      </c>
      <c r="AA63" s="1">
        <v>19</v>
      </c>
      <c r="AB63" s="1">
        <v>67</v>
      </c>
      <c r="AC63" s="1">
        <v>30</v>
      </c>
      <c r="AD63" s="1">
        <v>48</v>
      </c>
      <c r="AE63" s="1">
        <v>33</v>
      </c>
      <c r="AF63" s="18">
        <f t="shared" si="0"/>
        <v>43.233333333333334</v>
      </c>
    </row>
    <row r="64" spans="1:32" x14ac:dyDescent="0.35">
      <c r="A64" s="1" t="s">
        <v>178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8">
        <f t="shared" si="0"/>
        <v>0</v>
      </c>
    </row>
    <row r="65" spans="1:32" x14ac:dyDescent="0.35">
      <c r="A65" s="1" t="s">
        <v>45</v>
      </c>
      <c r="B65" s="1">
        <v>21</v>
      </c>
      <c r="C65" s="1">
        <v>25</v>
      </c>
      <c r="D65" s="1">
        <v>30</v>
      </c>
      <c r="E65" s="1">
        <v>23</v>
      </c>
      <c r="F65" s="1">
        <v>68</v>
      </c>
      <c r="G65" s="1">
        <v>19</v>
      </c>
      <c r="H65" s="1">
        <v>28</v>
      </c>
      <c r="I65" s="1">
        <v>46</v>
      </c>
      <c r="J65" s="1">
        <v>36</v>
      </c>
      <c r="K65" s="1">
        <v>73</v>
      </c>
      <c r="L65" s="1">
        <v>24</v>
      </c>
      <c r="M65" s="1">
        <v>19</v>
      </c>
      <c r="N65" s="1">
        <v>25</v>
      </c>
      <c r="O65" s="1">
        <v>33</v>
      </c>
      <c r="P65" s="1">
        <v>33</v>
      </c>
      <c r="Q65" s="1">
        <v>22</v>
      </c>
      <c r="R65" s="1">
        <v>16</v>
      </c>
      <c r="S65" s="1">
        <v>59</v>
      </c>
      <c r="T65" s="1">
        <v>26</v>
      </c>
      <c r="U65" s="1">
        <v>102</v>
      </c>
      <c r="V65" s="1">
        <v>39</v>
      </c>
      <c r="W65" s="1">
        <v>13</v>
      </c>
      <c r="X65" s="1">
        <v>16</v>
      </c>
      <c r="Y65" s="1">
        <v>40</v>
      </c>
      <c r="Z65" s="1">
        <v>34</v>
      </c>
      <c r="AA65" s="1">
        <v>17</v>
      </c>
      <c r="AB65" s="1">
        <v>28</v>
      </c>
      <c r="AC65" s="1">
        <v>36</v>
      </c>
      <c r="AD65" s="1">
        <v>93</v>
      </c>
      <c r="AE65" s="1">
        <v>49</v>
      </c>
      <c r="AF65" s="18">
        <f t="shared" si="0"/>
        <v>36.43333333333333</v>
      </c>
    </row>
    <row r="66" spans="1:32" x14ac:dyDescent="0.35">
      <c r="A66" s="1" t="s">
        <v>46</v>
      </c>
      <c r="B66" s="1">
        <v>167</v>
      </c>
      <c r="C66" s="1">
        <v>15</v>
      </c>
      <c r="D66" s="1">
        <v>30</v>
      </c>
      <c r="E66" s="1">
        <v>53</v>
      </c>
      <c r="F66" s="1">
        <v>24</v>
      </c>
      <c r="G66" s="1">
        <v>99</v>
      </c>
      <c r="H66" s="1">
        <v>76</v>
      </c>
      <c r="I66" s="1">
        <v>106</v>
      </c>
      <c r="J66" s="1">
        <v>42</v>
      </c>
      <c r="K66" s="1">
        <v>91</v>
      </c>
      <c r="L66" s="1">
        <v>24</v>
      </c>
      <c r="M66" s="1">
        <v>34</v>
      </c>
      <c r="N66" s="1">
        <v>23</v>
      </c>
      <c r="O66" s="1">
        <v>18</v>
      </c>
      <c r="P66" s="1">
        <v>19</v>
      </c>
      <c r="Q66" s="1">
        <v>35</v>
      </c>
      <c r="R66" s="1">
        <v>83</v>
      </c>
      <c r="S66" s="1">
        <v>26</v>
      </c>
      <c r="T66" s="1">
        <v>20</v>
      </c>
      <c r="U66" s="1">
        <v>145</v>
      </c>
      <c r="V66" s="1">
        <v>57</v>
      </c>
      <c r="W66" s="1">
        <v>78</v>
      </c>
      <c r="X66" s="1">
        <v>14</v>
      </c>
      <c r="Y66" s="1">
        <v>29</v>
      </c>
      <c r="Z66" s="1">
        <v>23</v>
      </c>
      <c r="AA66" s="1">
        <v>17</v>
      </c>
      <c r="AB66" s="1">
        <v>39</v>
      </c>
      <c r="AC66" s="1">
        <v>135</v>
      </c>
      <c r="AD66" s="1">
        <v>58</v>
      </c>
      <c r="AE66" s="1">
        <v>49</v>
      </c>
      <c r="AF66" s="18">
        <f t="shared" si="0"/>
        <v>54.3</v>
      </c>
    </row>
    <row r="67" spans="1:32" x14ac:dyDescent="0.35">
      <c r="A67" s="1" t="s">
        <v>47</v>
      </c>
      <c r="B67" s="1">
        <v>21</v>
      </c>
      <c r="C67" s="1">
        <v>15</v>
      </c>
      <c r="D67" s="1">
        <v>26</v>
      </c>
      <c r="E67" s="1">
        <v>44</v>
      </c>
      <c r="F67" s="1">
        <v>15</v>
      </c>
      <c r="G67" s="1">
        <v>36</v>
      </c>
      <c r="H67" s="1">
        <v>33</v>
      </c>
      <c r="I67" s="1">
        <v>37</v>
      </c>
      <c r="J67" s="1">
        <v>18</v>
      </c>
      <c r="K67" s="1">
        <v>14</v>
      </c>
      <c r="L67" s="1">
        <v>70</v>
      </c>
      <c r="M67" s="1">
        <v>33</v>
      </c>
      <c r="N67" s="1">
        <v>32</v>
      </c>
      <c r="O67" s="1">
        <v>23</v>
      </c>
      <c r="P67" s="1">
        <v>29</v>
      </c>
      <c r="Q67" s="1">
        <v>40</v>
      </c>
      <c r="R67" s="1">
        <v>16</v>
      </c>
      <c r="S67" s="1">
        <v>19</v>
      </c>
      <c r="T67" s="1">
        <v>23</v>
      </c>
      <c r="U67" s="1">
        <v>21</v>
      </c>
      <c r="V67" s="1">
        <v>41</v>
      </c>
      <c r="W67" s="1">
        <v>17</v>
      </c>
      <c r="X67" s="1">
        <v>67</v>
      </c>
      <c r="Y67" s="1">
        <v>21</v>
      </c>
      <c r="Z67" s="1">
        <v>14</v>
      </c>
      <c r="AA67" s="1">
        <v>56</v>
      </c>
      <c r="AB67" s="1">
        <v>15</v>
      </c>
      <c r="AC67" s="1">
        <v>22</v>
      </c>
      <c r="AD67" s="1">
        <v>119</v>
      </c>
      <c r="AE67" s="1">
        <v>100</v>
      </c>
      <c r="AF67" s="18">
        <f t="shared" si="0"/>
        <v>34.56666666666667</v>
      </c>
    </row>
    <row r="68" spans="1:32" x14ac:dyDescent="0.35">
      <c r="A68" s="1" t="s">
        <v>48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8">
        <f t="shared" ref="AF68:AF131" si="1">AVERAGE(B68:AE68)</f>
        <v>0</v>
      </c>
    </row>
    <row r="69" spans="1:32" x14ac:dyDescent="0.35">
      <c r="A69" s="1" t="s">
        <v>179</v>
      </c>
      <c r="B69" s="1">
        <v>39</v>
      </c>
      <c r="C69" s="1">
        <v>15</v>
      </c>
      <c r="D69" s="1">
        <v>177</v>
      </c>
      <c r="E69" s="1">
        <v>68</v>
      </c>
      <c r="F69" s="1">
        <v>16</v>
      </c>
      <c r="G69" s="1">
        <v>31</v>
      </c>
      <c r="H69" s="1">
        <v>13</v>
      </c>
      <c r="I69" s="1">
        <v>40</v>
      </c>
      <c r="J69" s="1">
        <v>24</v>
      </c>
      <c r="K69" s="1">
        <v>51</v>
      </c>
      <c r="L69" s="1">
        <v>53</v>
      </c>
      <c r="M69" s="1">
        <v>42</v>
      </c>
      <c r="N69" s="1">
        <v>81</v>
      </c>
      <c r="O69" s="1">
        <v>13</v>
      </c>
      <c r="P69" s="1">
        <v>64</v>
      </c>
      <c r="Q69" s="1">
        <v>55</v>
      </c>
      <c r="R69" s="1">
        <v>20</v>
      </c>
      <c r="S69" s="1">
        <v>82</v>
      </c>
      <c r="T69" s="1">
        <v>69</v>
      </c>
      <c r="U69" s="1">
        <v>75</v>
      </c>
      <c r="V69" s="1">
        <v>24</v>
      </c>
      <c r="W69" s="1">
        <v>61</v>
      </c>
      <c r="X69" s="1">
        <v>27</v>
      </c>
      <c r="Y69" s="1">
        <v>14</v>
      </c>
      <c r="Z69" s="1">
        <v>36</v>
      </c>
      <c r="AA69" s="1">
        <v>14</v>
      </c>
      <c r="AB69" s="1">
        <v>16</v>
      </c>
      <c r="AC69" s="1">
        <v>19</v>
      </c>
      <c r="AD69" s="1">
        <v>58</v>
      </c>
      <c r="AE69" s="1">
        <v>25</v>
      </c>
      <c r="AF69" s="18">
        <f t="shared" si="1"/>
        <v>44.06666666666667</v>
      </c>
    </row>
    <row r="70" spans="1:32" x14ac:dyDescent="0.35">
      <c r="A70" s="1" t="s">
        <v>49</v>
      </c>
      <c r="B70" s="1">
        <v>28</v>
      </c>
      <c r="C70" s="1">
        <v>13</v>
      </c>
      <c r="D70" s="1">
        <v>32</v>
      </c>
      <c r="E70" s="1">
        <v>60</v>
      </c>
      <c r="F70" s="1">
        <v>198</v>
      </c>
      <c r="G70" s="1">
        <v>20</v>
      </c>
      <c r="H70" s="1">
        <v>12</v>
      </c>
      <c r="I70" s="1">
        <v>46</v>
      </c>
      <c r="J70" s="1">
        <v>12</v>
      </c>
      <c r="K70" s="1">
        <v>35</v>
      </c>
      <c r="L70" s="1">
        <v>19</v>
      </c>
      <c r="M70" s="1">
        <v>93</v>
      </c>
      <c r="N70" s="1">
        <v>33</v>
      </c>
      <c r="O70" s="1">
        <v>131</v>
      </c>
      <c r="P70" s="1">
        <v>83</v>
      </c>
      <c r="Q70" s="1">
        <v>34</v>
      </c>
      <c r="R70" s="1">
        <v>20</v>
      </c>
      <c r="S70" s="1">
        <v>83</v>
      </c>
      <c r="T70" s="1">
        <v>124</v>
      </c>
      <c r="U70" s="1">
        <v>64</v>
      </c>
      <c r="V70" s="1">
        <v>39</v>
      </c>
      <c r="W70" s="1">
        <v>58</v>
      </c>
      <c r="X70" s="1">
        <v>121</v>
      </c>
      <c r="Y70" s="1">
        <v>159</v>
      </c>
      <c r="Z70" s="1">
        <v>107</v>
      </c>
      <c r="AA70" s="1">
        <v>58</v>
      </c>
      <c r="AB70" s="1">
        <v>175</v>
      </c>
      <c r="AC70" s="1">
        <v>96</v>
      </c>
      <c r="AD70" s="1">
        <v>23</v>
      </c>
      <c r="AE70" s="1">
        <v>20</v>
      </c>
      <c r="AF70" s="18">
        <f t="shared" si="1"/>
        <v>66.533333333333331</v>
      </c>
    </row>
    <row r="71" spans="1:32" x14ac:dyDescent="0.35">
      <c r="A71" s="1" t="s">
        <v>50</v>
      </c>
      <c r="B71" s="1">
        <v>58</v>
      </c>
      <c r="C71" s="1">
        <v>20</v>
      </c>
      <c r="D71" s="1">
        <v>49</v>
      </c>
      <c r="E71" s="1">
        <v>100</v>
      </c>
      <c r="F71" s="1">
        <v>13</v>
      </c>
      <c r="G71" s="1">
        <v>39</v>
      </c>
      <c r="H71" s="1">
        <v>60</v>
      </c>
      <c r="I71" s="1">
        <v>12</v>
      </c>
      <c r="J71" s="1">
        <v>83</v>
      </c>
      <c r="K71" s="1">
        <v>29</v>
      </c>
      <c r="L71" s="1">
        <v>242</v>
      </c>
      <c r="M71" s="1">
        <v>25</v>
      </c>
      <c r="N71" s="1">
        <v>54</v>
      </c>
      <c r="O71" s="1">
        <v>82</v>
      </c>
      <c r="P71" s="1">
        <v>32</v>
      </c>
      <c r="Q71" s="1">
        <v>42</v>
      </c>
      <c r="R71" s="1">
        <v>69</v>
      </c>
      <c r="S71" s="1">
        <v>12</v>
      </c>
      <c r="T71" s="1">
        <v>21</v>
      </c>
      <c r="U71" s="1">
        <v>113</v>
      </c>
      <c r="V71" s="1">
        <v>13</v>
      </c>
      <c r="W71" s="1">
        <v>65</v>
      </c>
      <c r="X71" s="1">
        <v>43</v>
      </c>
      <c r="Y71" s="1">
        <v>44</v>
      </c>
      <c r="Z71" s="1">
        <v>33</v>
      </c>
      <c r="AA71" s="1">
        <v>28</v>
      </c>
      <c r="AB71" s="1">
        <v>124</v>
      </c>
      <c r="AC71" s="1">
        <v>216</v>
      </c>
      <c r="AD71" s="1">
        <v>40</v>
      </c>
      <c r="AE71" s="1">
        <v>122</v>
      </c>
      <c r="AF71" s="18">
        <f t="shared" si="1"/>
        <v>62.766666666666666</v>
      </c>
    </row>
    <row r="72" spans="1:32" x14ac:dyDescent="0.35">
      <c r="A72" s="1" t="s">
        <v>51</v>
      </c>
      <c r="B72" s="1">
        <v>71</v>
      </c>
      <c r="C72" s="1">
        <v>95</v>
      </c>
      <c r="D72" s="1">
        <v>47</v>
      </c>
      <c r="E72" s="1">
        <v>29</v>
      </c>
      <c r="F72" s="1">
        <v>43</v>
      </c>
      <c r="G72" s="1">
        <v>28</v>
      </c>
      <c r="H72" s="1">
        <v>31</v>
      </c>
      <c r="I72" s="1">
        <v>102</v>
      </c>
      <c r="J72" s="1">
        <v>38</v>
      </c>
      <c r="K72" s="1">
        <v>55</v>
      </c>
      <c r="L72" s="1">
        <v>38</v>
      </c>
      <c r="M72" s="1">
        <v>53</v>
      </c>
      <c r="N72" s="1">
        <v>16</v>
      </c>
      <c r="O72" s="1">
        <v>24</v>
      </c>
      <c r="P72" s="1">
        <v>59</v>
      </c>
      <c r="Q72" s="1">
        <v>33</v>
      </c>
      <c r="R72" s="1">
        <v>31</v>
      </c>
      <c r="S72" s="1">
        <v>53</v>
      </c>
      <c r="T72" s="1">
        <v>70</v>
      </c>
      <c r="U72" s="1">
        <v>43</v>
      </c>
      <c r="V72" s="1">
        <v>28</v>
      </c>
      <c r="W72" s="1">
        <v>53</v>
      </c>
      <c r="X72" s="1">
        <v>39</v>
      </c>
      <c r="Y72" s="1">
        <v>27</v>
      </c>
      <c r="Z72" s="1">
        <v>75</v>
      </c>
      <c r="AA72" s="1">
        <v>22</v>
      </c>
      <c r="AB72" s="1">
        <v>13</v>
      </c>
      <c r="AC72" s="1">
        <v>34</v>
      </c>
      <c r="AD72" s="1">
        <v>84</v>
      </c>
      <c r="AE72" s="1">
        <v>61</v>
      </c>
      <c r="AF72" s="18">
        <f t="shared" si="1"/>
        <v>46.5</v>
      </c>
    </row>
    <row r="73" spans="1:32" x14ac:dyDescent="0.35">
      <c r="A73" s="1" t="s">
        <v>52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8">
        <f t="shared" si="1"/>
        <v>0</v>
      </c>
    </row>
    <row r="74" spans="1:32" x14ac:dyDescent="0.35">
      <c r="A74" s="1" t="s">
        <v>53</v>
      </c>
      <c r="B74" s="1">
        <v>23</v>
      </c>
      <c r="C74" s="1">
        <v>478</v>
      </c>
      <c r="D74" s="1">
        <v>19</v>
      </c>
      <c r="E74" s="1">
        <v>13</v>
      </c>
      <c r="F74" s="1">
        <v>47</v>
      </c>
      <c r="G74" s="1">
        <v>53</v>
      </c>
      <c r="H74" s="1">
        <v>47</v>
      </c>
      <c r="I74" s="1">
        <v>22</v>
      </c>
      <c r="J74" s="1">
        <v>13</v>
      </c>
      <c r="K74" s="1">
        <v>17</v>
      </c>
      <c r="L74" s="1">
        <v>87</v>
      </c>
      <c r="M74" s="1">
        <v>102</v>
      </c>
      <c r="N74" s="1">
        <v>86</v>
      </c>
      <c r="O74" s="1">
        <v>50</v>
      </c>
      <c r="P74" s="1">
        <v>22</v>
      </c>
      <c r="Q74" s="1">
        <v>25</v>
      </c>
      <c r="R74" s="1">
        <v>129</v>
      </c>
      <c r="S74" s="1">
        <v>24</v>
      </c>
      <c r="T74" s="1">
        <v>124</v>
      </c>
      <c r="U74" s="1">
        <v>56</v>
      </c>
      <c r="V74" s="1">
        <v>31</v>
      </c>
      <c r="W74" s="1">
        <v>27</v>
      </c>
      <c r="X74" s="1">
        <v>364</v>
      </c>
      <c r="Y74" s="1">
        <v>136</v>
      </c>
      <c r="Z74" s="1">
        <v>50</v>
      </c>
      <c r="AA74" s="1">
        <v>37</v>
      </c>
      <c r="AB74" s="1">
        <v>33</v>
      </c>
      <c r="AC74" s="1">
        <v>33</v>
      </c>
      <c r="AD74" s="1">
        <v>13</v>
      </c>
      <c r="AE74" s="1">
        <v>15</v>
      </c>
      <c r="AF74" s="18">
        <f t="shared" si="1"/>
        <v>72.533333333333331</v>
      </c>
    </row>
    <row r="75" spans="1:32" x14ac:dyDescent="0.35">
      <c r="A75" s="1" t="s">
        <v>54</v>
      </c>
      <c r="B75" s="1">
        <v>18</v>
      </c>
      <c r="C75" s="1">
        <v>12</v>
      </c>
      <c r="D75" s="1">
        <v>65</v>
      </c>
      <c r="E75" s="1">
        <v>30</v>
      </c>
      <c r="F75" s="1">
        <v>94</v>
      </c>
      <c r="G75" s="1">
        <v>114</v>
      </c>
      <c r="H75" s="1">
        <v>44</v>
      </c>
      <c r="I75" s="1">
        <v>12</v>
      </c>
      <c r="J75" s="1">
        <v>32</v>
      </c>
      <c r="K75" s="1">
        <v>95</v>
      </c>
      <c r="L75" s="1">
        <v>34</v>
      </c>
      <c r="M75" s="1">
        <v>18</v>
      </c>
      <c r="N75" s="1">
        <v>30</v>
      </c>
      <c r="O75" s="1">
        <v>17</v>
      </c>
      <c r="P75" s="1">
        <v>118</v>
      </c>
      <c r="Q75" s="1">
        <v>24</v>
      </c>
      <c r="R75" s="1">
        <v>20</v>
      </c>
      <c r="S75" s="1">
        <v>49</v>
      </c>
      <c r="T75" s="1">
        <v>60</v>
      </c>
      <c r="U75" s="1">
        <v>49</v>
      </c>
      <c r="V75" s="1">
        <v>122</v>
      </c>
      <c r="W75" s="1">
        <v>20</v>
      </c>
      <c r="X75" s="1">
        <v>136</v>
      </c>
      <c r="Y75" s="1">
        <v>29</v>
      </c>
      <c r="Z75" s="1">
        <v>25</v>
      </c>
      <c r="AA75" s="1">
        <v>20</v>
      </c>
      <c r="AB75" s="1">
        <v>62</v>
      </c>
      <c r="AC75" s="1">
        <v>33</v>
      </c>
      <c r="AD75" s="1">
        <v>45</v>
      </c>
      <c r="AE75" s="1">
        <v>24</v>
      </c>
      <c r="AF75" s="18">
        <f t="shared" si="1"/>
        <v>48.366666666666667</v>
      </c>
    </row>
    <row r="76" spans="1:32" x14ac:dyDescent="0.35">
      <c r="A76" s="1" t="s">
        <v>180</v>
      </c>
      <c r="B76" s="1">
        <v>102</v>
      </c>
      <c r="C76" s="1">
        <v>101</v>
      </c>
      <c r="D76" s="1">
        <v>37</v>
      </c>
      <c r="E76" s="1">
        <v>18</v>
      </c>
      <c r="F76" s="1">
        <v>16</v>
      </c>
      <c r="G76" s="1">
        <v>31</v>
      </c>
      <c r="H76" s="1">
        <v>80</v>
      </c>
      <c r="I76" s="1">
        <v>12</v>
      </c>
      <c r="J76" s="1">
        <v>96</v>
      </c>
      <c r="K76" s="1">
        <v>106</v>
      </c>
      <c r="L76" s="1">
        <v>56</v>
      </c>
      <c r="M76" s="1">
        <v>32</v>
      </c>
      <c r="N76" s="1">
        <v>12</v>
      </c>
      <c r="O76" s="1">
        <v>33</v>
      </c>
      <c r="P76" s="1">
        <v>53</v>
      </c>
      <c r="Q76" s="1">
        <v>19</v>
      </c>
      <c r="R76" s="1">
        <v>31</v>
      </c>
      <c r="S76" s="1">
        <v>112</v>
      </c>
      <c r="T76" s="1">
        <v>21</v>
      </c>
      <c r="U76" s="1">
        <v>25</v>
      </c>
      <c r="V76" s="1">
        <v>60</v>
      </c>
      <c r="W76" s="1">
        <v>30</v>
      </c>
      <c r="X76" s="1">
        <v>31</v>
      </c>
      <c r="Y76" s="1">
        <v>42</v>
      </c>
      <c r="Z76" s="1">
        <v>17</v>
      </c>
      <c r="AA76" s="1">
        <v>68</v>
      </c>
      <c r="AB76" s="1">
        <v>78</v>
      </c>
      <c r="AC76" s="1">
        <v>16</v>
      </c>
      <c r="AD76" s="1">
        <v>27</v>
      </c>
      <c r="AE76" s="1">
        <v>29</v>
      </c>
      <c r="AF76" s="18">
        <f t="shared" si="1"/>
        <v>46.366666666666667</v>
      </c>
    </row>
    <row r="77" spans="1:32" x14ac:dyDescent="0.35">
      <c r="A77" s="1" t="s">
        <v>55</v>
      </c>
      <c r="B77" s="1">
        <v>71</v>
      </c>
      <c r="C77" s="1">
        <v>16</v>
      </c>
      <c r="D77" s="1">
        <v>39</v>
      </c>
      <c r="E77" s="1">
        <v>23</v>
      </c>
      <c r="F77" s="1">
        <v>18</v>
      </c>
      <c r="G77" s="1">
        <v>135</v>
      </c>
      <c r="H77" s="1">
        <v>107</v>
      </c>
      <c r="I77" s="1">
        <v>93</v>
      </c>
      <c r="J77" s="1">
        <v>67</v>
      </c>
      <c r="K77" s="1">
        <v>166</v>
      </c>
      <c r="L77" s="1">
        <v>40</v>
      </c>
      <c r="M77" s="1">
        <v>73</v>
      </c>
      <c r="N77" s="1">
        <v>30</v>
      </c>
      <c r="O77" s="1">
        <v>25</v>
      </c>
      <c r="P77" s="1">
        <v>26</v>
      </c>
      <c r="Q77" s="1">
        <v>53</v>
      </c>
      <c r="R77" s="1">
        <v>79</v>
      </c>
      <c r="S77" s="1">
        <v>26</v>
      </c>
      <c r="T77" s="1">
        <v>62</v>
      </c>
      <c r="U77" s="1">
        <v>47</v>
      </c>
      <c r="V77" s="1">
        <v>228</v>
      </c>
      <c r="W77" s="1">
        <v>99</v>
      </c>
      <c r="X77" s="1">
        <v>28</v>
      </c>
      <c r="Y77" s="1">
        <v>16</v>
      </c>
      <c r="Z77" s="1">
        <v>66</v>
      </c>
      <c r="AA77" s="1">
        <v>30</v>
      </c>
      <c r="AB77" s="1">
        <v>52</v>
      </c>
      <c r="AC77" s="1">
        <v>13</v>
      </c>
      <c r="AD77" s="1">
        <v>109</v>
      </c>
      <c r="AE77" s="1">
        <v>134</v>
      </c>
      <c r="AF77" s="18">
        <f t="shared" si="1"/>
        <v>65.7</v>
      </c>
    </row>
    <row r="78" spans="1:32" x14ac:dyDescent="0.35">
      <c r="A78" s="1" t="s">
        <v>56</v>
      </c>
      <c r="B78" s="1">
        <v>26</v>
      </c>
      <c r="C78" s="1">
        <v>36</v>
      </c>
      <c r="D78" s="1">
        <v>72</v>
      </c>
      <c r="E78" s="1">
        <v>66</v>
      </c>
      <c r="F78" s="1">
        <v>65</v>
      </c>
      <c r="G78" s="1">
        <v>37</v>
      </c>
      <c r="H78" s="1">
        <v>51</v>
      </c>
      <c r="I78" s="1">
        <v>68</v>
      </c>
      <c r="J78" s="1">
        <v>46</v>
      </c>
      <c r="K78" s="1">
        <v>18</v>
      </c>
      <c r="L78" s="1">
        <v>14</v>
      </c>
      <c r="M78" s="1">
        <v>14</v>
      </c>
      <c r="N78" s="1">
        <v>23</v>
      </c>
      <c r="O78" s="1">
        <v>18</v>
      </c>
      <c r="P78" s="1">
        <v>14</v>
      </c>
      <c r="Q78" s="1">
        <v>18</v>
      </c>
      <c r="R78" s="1">
        <v>53</v>
      </c>
      <c r="S78" s="1">
        <v>35</v>
      </c>
      <c r="T78" s="1">
        <v>35</v>
      </c>
      <c r="U78" s="1">
        <v>77</v>
      </c>
      <c r="V78" s="1">
        <v>24</v>
      </c>
      <c r="W78" s="1">
        <v>17</v>
      </c>
      <c r="X78" s="1">
        <v>27</v>
      </c>
      <c r="Y78" s="1">
        <v>22</v>
      </c>
      <c r="Z78" s="1">
        <v>77</v>
      </c>
      <c r="AA78" s="1">
        <v>30</v>
      </c>
      <c r="AB78" s="1">
        <v>17</v>
      </c>
      <c r="AC78" s="1">
        <v>37</v>
      </c>
      <c r="AD78" s="1">
        <v>12</v>
      </c>
      <c r="AE78" s="1">
        <v>65</v>
      </c>
      <c r="AF78" s="18">
        <f t="shared" si="1"/>
        <v>37.133333333333333</v>
      </c>
    </row>
    <row r="79" spans="1:32" x14ac:dyDescent="0.35">
      <c r="A79" s="1" t="s">
        <v>57</v>
      </c>
      <c r="B79" s="1">
        <v>45</v>
      </c>
      <c r="C79" s="1">
        <v>19</v>
      </c>
      <c r="D79" s="1">
        <v>62</v>
      </c>
      <c r="E79" s="1">
        <v>19</v>
      </c>
      <c r="F79" s="1">
        <v>123</v>
      </c>
      <c r="G79" s="1">
        <v>113</v>
      </c>
      <c r="H79" s="1">
        <v>39</v>
      </c>
      <c r="I79" s="1">
        <v>115</v>
      </c>
      <c r="J79" s="1">
        <v>59</v>
      </c>
      <c r="K79" s="1">
        <v>43</v>
      </c>
      <c r="L79" s="1">
        <v>170</v>
      </c>
      <c r="M79" s="1">
        <v>64</v>
      </c>
      <c r="N79" s="1">
        <v>29</v>
      </c>
      <c r="O79" s="1">
        <v>57</v>
      </c>
      <c r="P79" s="1">
        <v>42</v>
      </c>
      <c r="Q79" s="1">
        <v>12</v>
      </c>
      <c r="R79" s="1">
        <v>32</v>
      </c>
      <c r="S79" s="1">
        <v>29</v>
      </c>
      <c r="T79" s="1">
        <v>101</v>
      </c>
      <c r="U79" s="1">
        <v>54</v>
      </c>
      <c r="V79" s="1">
        <v>13</v>
      </c>
      <c r="W79" s="1">
        <v>28</v>
      </c>
      <c r="X79" s="1">
        <v>310</v>
      </c>
      <c r="Y79" s="1">
        <v>136</v>
      </c>
      <c r="Z79" s="1">
        <v>89</v>
      </c>
      <c r="AA79" s="1">
        <v>47</v>
      </c>
      <c r="AB79" s="1">
        <v>16</v>
      </c>
      <c r="AC79" s="1">
        <v>91</v>
      </c>
      <c r="AD79" s="1">
        <v>25</v>
      </c>
      <c r="AE79" s="1">
        <v>93</v>
      </c>
      <c r="AF79" s="18">
        <f t="shared" si="1"/>
        <v>69.166666666666671</v>
      </c>
    </row>
    <row r="80" spans="1:32" x14ac:dyDescent="0.35">
      <c r="A80" s="1" t="s">
        <v>58</v>
      </c>
      <c r="B80" s="1">
        <v>17</v>
      </c>
      <c r="C80" s="1">
        <v>64</v>
      </c>
      <c r="D80" s="1">
        <v>70</v>
      </c>
      <c r="E80" s="1">
        <v>25</v>
      </c>
      <c r="F80" s="1">
        <v>109</v>
      </c>
      <c r="G80" s="1">
        <v>33</v>
      </c>
      <c r="H80" s="1">
        <v>101</v>
      </c>
      <c r="I80" s="1">
        <v>48</v>
      </c>
      <c r="J80" s="1">
        <v>80</v>
      </c>
      <c r="K80" s="1">
        <v>48</v>
      </c>
      <c r="L80" s="1">
        <v>55</v>
      </c>
      <c r="M80" s="1">
        <v>43</v>
      </c>
      <c r="N80" s="1">
        <v>35</v>
      </c>
      <c r="O80" s="1">
        <v>15</v>
      </c>
      <c r="P80" s="1">
        <v>24</v>
      </c>
      <c r="Q80" s="1">
        <v>49</v>
      </c>
      <c r="R80" s="1">
        <v>67</v>
      </c>
      <c r="S80" s="1">
        <v>18</v>
      </c>
      <c r="T80" s="1">
        <v>22</v>
      </c>
      <c r="U80" s="1">
        <v>60</v>
      </c>
      <c r="V80" s="1">
        <v>27</v>
      </c>
      <c r="W80" s="1">
        <v>32</v>
      </c>
      <c r="X80" s="1">
        <v>53</v>
      </c>
      <c r="Y80" s="1">
        <v>31</v>
      </c>
      <c r="Z80" s="1">
        <v>28</v>
      </c>
      <c r="AA80" s="1">
        <v>39</v>
      </c>
      <c r="AB80" s="1">
        <v>12</v>
      </c>
      <c r="AC80" s="1">
        <v>78</v>
      </c>
      <c r="AD80" s="1">
        <v>29</v>
      </c>
      <c r="AE80" s="1">
        <v>60</v>
      </c>
      <c r="AF80" s="18">
        <f t="shared" si="1"/>
        <v>45.733333333333334</v>
      </c>
    </row>
    <row r="81" spans="1:32" x14ac:dyDescent="0.35">
      <c r="A81" s="1" t="s">
        <v>59</v>
      </c>
      <c r="B81" s="1">
        <v>56</v>
      </c>
      <c r="C81" s="1">
        <v>94</v>
      </c>
      <c r="D81" s="1">
        <v>136</v>
      </c>
      <c r="E81" s="1">
        <v>96</v>
      </c>
      <c r="F81" s="1">
        <v>138</v>
      </c>
      <c r="G81" s="1">
        <v>17</v>
      </c>
      <c r="H81" s="1">
        <v>33</v>
      </c>
      <c r="I81" s="1">
        <v>126</v>
      </c>
      <c r="J81" s="1">
        <v>41</v>
      </c>
      <c r="K81" s="1">
        <v>113</v>
      </c>
      <c r="L81" s="1">
        <v>32</v>
      </c>
      <c r="M81" s="1">
        <v>41</v>
      </c>
      <c r="N81" s="1">
        <v>18</v>
      </c>
      <c r="O81" s="1">
        <v>95</v>
      </c>
      <c r="P81" s="1">
        <v>98</v>
      </c>
      <c r="Q81" s="1">
        <v>67</v>
      </c>
      <c r="R81" s="1">
        <v>20</v>
      </c>
      <c r="S81" s="1">
        <v>47</v>
      </c>
      <c r="T81" s="1">
        <v>99</v>
      </c>
      <c r="U81" s="1">
        <v>67</v>
      </c>
      <c r="V81" s="1">
        <v>86</v>
      </c>
      <c r="W81" s="1">
        <v>33</v>
      </c>
      <c r="X81" s="1">
        <v>16</v>
      </c>
      <c r="Y81" s="1">
        <v>23</v>
      </c>
      <c r="Z81" s="1">
        <v>95</v>
      </c>
      <c r="AA81" s="1">
        <v>18</v>
      </c>
      <c r="AB81" s="1">
        <v>27</v>
      </c>
      <c r="AC81" s="1">
        <v>40</v>
      </c>
      <c r="AD81" s="1">
        <v>20</v>
      </c>
      <c r="AE81" s="1">
        <v>72</v>
      </c>
      <c r="AF81" s="18">
        <f t="shared" si="1"/>
        <v>62.133333333333333</v>
      </c>
    </row>
    <row r="82" spans="1:32" x14ac:dyDescent="0.35">
      <c r="A82" s="1" t="s">
        <v>181</v>
      </c>
      <c r="B82" s="1">
        <v>19</v>
      </c>
      <c r="C82" s="1">
        <v>14</v>
      </c>
      <c r="D82" s="1">
        <v>12</v>
      </c>
      <c r="E82" s="1">
        <v>27</v>
      </c>
      <c r="F82" s="1">
        <v>19</v>
      </c>
      <c r="G82" s="1">
        <v>42</v>
      </c>
      <c r="H82" s="1">
        <v>30</v>
      </c>
      <c r="I82" s="1">
        <v>122</v>
      </c>
      <c r="J82" s="1">
        <v>45</v>
      </c>
      <c r="K82" s="1">
        <v>12</v>
      </c>
      <c r="L82" s="1">
        <v>23</v>
      </c>
      <c r="M82" s="1">
        <v>27</v>
      </c>
      <c r="N82" s="1">
        <v>56</v>
      </c>
      <c r="O82" s="1">
        <v>28</v>
      </c>
      <c r="P82" s="1">
        <v>29</v>
      </c>
      <c r="Q82" s="1">
        <v>17</v>
      </c>
      <c r="R82" s="1">
        <v>25</v>
      </c>
      <c r="S82" s="1">
        <v>33</v>
      </c>
      <c r="T82" s="1">
        <v>24</v>
      </c>
      <c r="U82" s="1">
        <v>19</v>
      </c>
      <c r="V82" s="1">
        <v>36</v>
      </c>
      <c r="W82" s="1">
        <v>105</v>
      </c>
      <c r="X82" s="1">
        <v>20</v>
      </c>
      <c r="Y82" s="1">
        <v>12</v>
      </c>
      <c r="Z82" s="1">
        <v>64</v>
      </c>
      <c r="AA82" s="1">
        <v>68</v>
      </c>
      <c r="AB82" s="1">
        <v>25</v>
      </c>
      <c r="AC82" s="1">
        <v>38</v>
      </c>
      <c r="AD82" s="1">
        <v>52</v>
      </c>
      <c r="AE82" s="1">
        <v>13</v>
      </c>
      <c r="AF82" s="18">
        <f t="shared" si="1"/>
        <v>35.200000000000003</v>
      </c>
    </row>
    <row r="83" spans="1:32" x14ac:dyDescent="0.35">
      <c r="A83" s="1" t="s">
        <v>60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8">
        <f t="shared" si="1"/>
        <v>0</v>
      </c>
    </row>
    <row r="84" spans="1:32" x14ac:dyDescent="0.35">
      <c r="A84" s="1" t="s">
        <v>61</v>
      </c>
      <c r="B84" s="1">
        <v>53</v>
      </c>
      <c r="C84" s="1">
        <v>58</v>
      </c>
      <c r="D84" s="1">
        <v>130</v>
      </c>
      <c r="E84" s="1">
        <v>19</v>
      </c>
      <c r="F84" s="1">
        <v>98</v>
      </c>
      <c r="G84" s="1">
        <v>53</v>
      </c>
      <c r="H84" s="1">
        <v>15</v>
      </c>
      <c r="I84" s="1">
        <v>81</v>
      </c>
      <c r="J84" s="1">
        <v>123</v>
      </c>
      <c r="K84" s="1">
        <v>88</v>
      </c>
      <c r="L84" s="1">
        <v>125</v>
      </c>
      <c r="M84" s="1">
        <v>19</v>
      </c>
      <c r="N84" s="1">
        <v>13</v>
      </c>
      <c r="O84" s="1">
        <v>73</v>
      </c>
      <c r="P84" s="1">
        <v>12</v>
      </c>
      <c r="Q84" s="1">
        <v>68</v>
      </c>
      <c r="R84" s="1">
        <v>129</v>
      </c>
      <c r="S84" s="1">
        <v>101</v>
      </c>
      <c r="T84" s="1">
        <v>49</v>
      </c>
      <c r="U84" s="1">
        <v>41</v>
      </c>
      <c r="V84" s="1">
        <v>88</v>
      </c>
      <c r="W84" s="1">
        <v>31</v>
      </c>
      <c r="X84" s="1">
        <v>147</v>
      </c>
      <c r="Y84" s="1">
        <v>112</v>
      </c>
      <c r="Z84" s="1">
        <v>21</v>
      </c>
      <c r="AA84" s="1">
        <v>26</v>
      </c>
      <c r="AB84" s="1">
        <v>70</v>
      </c>
      <c r="AC84" s="1">
        <v>49</v>
      </c>
      <c r="AD84" s="1">
        <v>68</v>
      </c>
      <c r="AE84" s="1">
        <v>134</v>
      </c>
      <c r="AF84" s="18">
        <f t="shared" si="1"/>
        <v>69.8</v>
      </c>
    </row>
    <row r="85" spans="1:32" x14ac:dyDescent="0.35">
      <c r="A85" s="1" t="s">
        <v>62</v>
      </c>
      <c r="B85" s="1">
        <v>64</v>
      </c>
      <c r="C85" s="1">
        <v>97</v>
      </c>
      <c r="D85" s="1">
        <v>29</v>
      </c>
      <c r="E85" s="1">
        <v>19</v>
      </c>
      <c r="F85" s="1">
        <v>59</v>
      </c>
      <c r="G85" s="1">
        <v>13</v>
      </c>
      <c r="H85" s="1">
        <v>34</v>
      </c>
      <c r="I85" s="1">
        <v>311</v>
      </c>
      <c r="J85" s="1">
        <v>121</v>
      </c>
      <c r="K85" s="1">
        <v>81</v>
      </c>
      <c r="L85" s="1">
        <v>209</v>
      </c>
      <c r="M85" s="1">
        <v>14</v>
      </c>
      <c r="N85" s="1">
        <v>109</v>
      </c>
      <c r="O85" s="1">
        <v>15</v>
      </c>
      <c r="P85" s="1">
        <v>30</v>
      </c>
      <c r="Q85" s="1">
        <v>47</v>
      </c>
      <c r="R85" s="1">
        <v>222</v>
      </c>
      <c r="S85" s="1">
        <v>57</v>
      </c>
      <c r="T85" s="1">
        <v>145</v>
      </c>
      <c r="U85" s="1">
        <v>13</v>
      </c>
      <c r="V85" s="1">
        <v>56</v>
      </c>
      <c r="W85" s="1">
        <v>26</v>
      </c>
      <c r="X85" s="1">
        <v>39</v>
      </c>
      <c r="Y85" s="1">
        <v>51</v>
      </c>
      <c r="Z85" s="1">
        <v>15</v>
      </c>
      <c r="AA85" s="1">
        <v>52</v>
      </c>
      <c r="AB85" s="1">
        <v>109</v>
      </c>
      <c r="AC85" s="1">
        <v>15</v>
      </c>
      <c r="AD85" s="1">
        <v>76</v>
      </c>
      <c r="AE85" s="1">
        <v>61</v>
      </c>
      <c r="AF85" s="18">
        <f t="shared" si="1"/>
        <v>72.966666666666669</v>
      </c>
    </row>
    <row r="86" spans="1:32" x14ac:dyDescent="0.35">
      <c r="A86" s="1" t="s">
        <v>63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8">
        <f t="shared" si="1"/>
        <v>0</v>
      </c>
    </row>
    <row r="87" spans="1:32" x14ac:dyDescent="0.35">
      <c r="A87" s="1" t="s">
        <v>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8">
        <f t="shared" si="1"/>
        <v>0</v>
      </c>
    </row>
    <row r="88" spans="1:32" x14ac:dyDescent="0.35">
      <c r="A88" s="1" t="s">
        <v>182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8">
        <f t="shared" si="1"/>
        <v>0</v>
      </c>
    </row>
    <row r="89" spans="1:32" x14ac:dyDescent="0.35">
      <c r="A89" s="1" t="s">
        <v>65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8">
        <f t="shared" si="1"/>
        <v>0</v>
      </c>
    </row>
    <row r="90" spans="1:32" x14ac:dyDescent="0.35">
      <c r="A90" s="1" t="s">
        <v>66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8">
        <f t="shared" si="1"/>
        <v>0</v>
      </c>
    </row>
    <row r="91" spans="1:32" x14ac:dyDescent="0.35">
      <c r="A91" s="1" t="s">
        <v>67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8">
        <f t="shared" si="1"/>
        <v>0</v>
      </c>
    </row>
    <row r="92" spans="1:32" x14ac:dyDescent="0.35">
      <c r="A92" s="1" t="s">
        <v>68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8">
        <f t="shared" si="1"/>
        <v>0</v>
      </c>
    </row>
    <row r="93" spans="1:32" x14ac:dyDescent="0.35">
      <c r="A93" s="1" t="s">
        <v>69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8">
        <f t="shared" si="1"/>
        <v>0</v>
      </c>
    </row>
    <row r="94" spans="1:32" x14ac:dyDescent="0.35">
      <c r="A94" s="1" t="s">
        <v>70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8">
        <f t="shared" si="1"/>
        <v>0</v>
      </c>
    </row>
    <row r="95" spans="1:32" x14ac:dyDescent="0.35">
      <c r="A95" s="1" t="s">
        <v>71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8">
        <f t="shared" si="1"/>
        <v>0</v>
      </c>
    </row>
    <row r="96" spans="1:32" x14ac:dyDescent="0.35">
      <c r="A96" s="1" t="s">
        <v>72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8">
        <f t="shared" si="1"/>
        <v>0</v>
      </c>
    </row>
    <row r="97" spans="1:32" x14ac:dyDescent="0.35">
      <c r="A97" s="1" t="s">
        <v>73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8">
        <f t="shared" si="1"/>
        <v>0</v>
      </c>
    </row>
    <row r="98" spans="1:32" x14ac:dyDescent="0.35">
      <c r="A98" s="1" t="s">
        <v>74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8">
        <f t="shared" si="1"/>
        <v>0</v>
      </c>
    </row>
    <row r="99" spans="1:32" x14ac:dyDescent="0.35">
      <c r="A99" s="1" t="s">
        <v>75</v>
      </c>
      <c r="B99" s="1">
        <v>70</v>
      </c>
      <c r="C99" s="1">
        <v>136</v>
      </c>
      <c r="D99" s="1">
        <v>147</v>
      </c>
      <c r="E99" s="1">
        <v>41</v>
      </c>
      <c r="F99" s="1">
        <v>52</v>
      </c>
      <c r="G99" s="1">
        <v>15</v>
      </c>
      <c r="H99" s="1">
        <v>57</v>
      </c>
      <c r="I99" s="1">
        <v>26</v>
      </c>
      <c r="J99" s="1">
        <v>23</v>
      </c>
      <c r="K99" s="1">
        <v>51</v>
      </c>
      <c r="L99" s="1">
        <v>95</v>
      </c>
      <c r="M99" s="1">
        <v>24</v>
      </c>
      <c r="N99" s="1">
        <v>72</v>
      </c>
      <c r="O99" s="1">
        <v>42</v>
      </c>
      <c r="P99" s="1">
        <v>49</v>
      </c>
      <c r="Q99" s="1">
        <v>56</v>
      </c>
      <c r="R99" s="1">
        <v>99</v>
      </c>
      <c r="S99" s="1">
        <v>34</v>
      </c>
      <c r="T99" s="1">
        <v>128</v>
      </c>
      <c r="U99" s="1">
        <v>18</v>
      </c>
      <c r="V99" s="1">
        <v>29</v>
      </c>
      <c r="W99" s="1">
        <v>37</v>
      </c>
      <c r="X99" s="1">
        <v>85</v>
      </c>
      <c r="Y99" s="1">
        <v>21</v>
      </c>
      <c r="Z99" s="1">
        <v>55</v>
      </c>
      <c r="AA99" s="1">
        <v>32</v>
      </c>
      <c r="AB99" s="1">
        <v>38</v>
      </c>
      <c r="AC99" s="1">
        <v>27</v>
      </c>
      <c r="AD99" s="1">
        <v>21</v>
      </c>
      <c r="AE99" s="1">
        <v>27</v>
      </c>
      <c r="AF99" s="18">
        <f t="shared" si="1"/>
        <v>53.56666666666667</v>
      </c>
    </row>
    <row r="100" spans="1:32" x14ac:dyDescent="0.35">
      <c r="A100" s="1" t="s">
        <v>76</v>
      </c>
      <c r="B100" s="1">
        <v>19</v>
      </c>
      <c r="C100" s="1">
        <v>98</v>
      </c>
      <c r="D100" s="1">
        <v>72</v>
      </c>
      <c r="E100" s="1">
        <v>52</v>
      </c>
      <c r="F100" s="1">
        <v>33</v>
      </c>
      <c r="G100" s="1">
        <v>411</v>
      </c>
      <c r="H100" s="1">
        <v>16</v>
      </c>
      <c r="I100" s="1">
        <v>30</v>
      </c>
      <c r="J100" s="1">
        <v>20</v>
      </c>
      <c r="K100" s="1">
        <v>43</v>
      </c>
      <c r="L100" s="1">
        <v>56</v>
      </c>
      <c r="M100" s="1">
        <v>276</v>
      </c>
      <c r="N100" s="1">
        <v>214</v>
      </c>
      <c r="O100" s="1">
        <v>175</v>
      </c>
      <c r="P100" s="1">
        <v>32</v>
      </c>
      <c r="Q100" s="1">
        <v>50</v>
      </c>
      <c r="R100" s="1">
        <v>122</v>
      </c>
      <c r="S100" s="1">
        <v>41</v>
      </c>
      <c r="T100" s="1">
        <v>108</v>
      </c>
      <c r="U100" s="1">
        <v>37</v>
      </c>
      <c r="V100" s="1">
        <v>40</v>
      </c>
      <c r="W100" s="1">
        <v>23</v>
      </c>
      <c r="X100" s="1">
        <v>72</v>
      </c>
      <c r="Y100" s="1">
        <v>69</v>
      </c>
      <c r="Z100" s="1">
        <v>177</v>
      </c>
      <c r="AA100" s="1">
        <v>99</v>
      </c>
      <c r="AB100" s="1">
        <v>124</v>
      </c>
      <c r="AC100" s="1">
        <v>56</v>
      </c>
      <c r="AD100" s="1">
        <v>144</v>
      </c>
      <c r="AE100" s="1">
        <v>76</v>
      </c>
      <c r="AF100" s="18">
        <f t="shared" si="1"/>
        <v>92.833333333333329</v>
      </c>
    </row>
    <row r="101" spans="1:32" x14ac:dyDescent="0.35">
      <c r="A101" s="1" t="s">
        <v>77</v>
      </c>
      <c r="B101" s="1">
        <v>52</v>
      </c>
      <c r="C101" s="1">
        <v>18</v>
      </c>
      <c r="D101" s="1">
        <v>58</v>
      </c>
      <c r="E101" s="1">
        <v>69</v>
      </c>
      <c r="F101" s="1">
        <v>26</v>
      </c>
      <c r="G101" s="1">
        <v>40</v>
      </c>
      <c r="H101" s="1">
        <v>34</v>
      </c>
      <c r="I101" s="1">
        <v>29</v>
      </c>
      <c r="J101" s="1">
        <v>50</v>
      </c>
      <c r="K101" s="1">
        <v>91</v>
      </c>
      <c r="L101" s="1">
        <v>64</v>
      </c>
      <c r="M101" s="1">
        <v>160</v>
      </c>
      <c r="N101" s="1">
        <v>19</v>
      </c>
      <c r="O101" s="1">
        <v>50</v>
      </c>
      <c r="P101" s="1">
        <v>81</v>
      </c>
      <c r="Q101" s="1">
        <v>124</v>
      </c>
      <c r="R101" s="1">
        <v>51</v>
      </c>
      <c r="S101" s="1">
        <v>12</v>
      </c>
      <c r="T101" s="1">
        <v>237</v>
      </c>
      <c r="U101" s="1">
        <v>97</v>
      </c>
      <c r="V101" s="1">
        <v>136</v>
      </c>
      <c r="W101" s="1">
        <v>120</v>
      </c>
      <c r="X101" s="1">
        <v>43</v>
      </c>
      <c r="Y101" s="1">
        <v>53</v>
      </c>
      <c r="Z101" s="1">
        <v>41</v>
      </c>
      <c r="AA101" s="1">
        <v>246</v>
      </c>
      <c r="AB101" s="1">
        <v>57</v>
      </c>
      <c r="AC101" s="1">
        <v>24</v>
      </c>
      <c r="AD101" s="1">
        <v>28</v>
      </c>
      <c r="AE101" s="1">
        <v>156</v>
      </c>
      <c r="AF101" s="18">
        <f t="shared" si="1"/>
        <v>75.533333333333331</v>
      </c>
    </row>
    <row r="102" spans="1:32" x14ac:dyDescent="0.35">
      <c r="A102" s="1" t="s">
        <v>78</v>
      </c>
      <c r="B102" s="1">
        <v>14</v>
      </c>
      <c r="C102" s="1">
        <v>21</v>
      </c>
      <c r="D102" s="1">
        <v>19</v>
      </c>
      <c r="E102" s="1">
        <v>112</v>
      </c>
      <c r="F102" s="1">
        <v>18</v>
      </c>
      <c r="G102" s="1">
        <v>102</v>
      </c>
      <c r="H102" s="1">
        <v>86</v>
      </c>
      <c r="I102" s="1">
        <v>227</v>
      </c>
      <c r="J102" s="1">
        <v>15</v>
      </c>
      <c r="K102" s="1">
        <v>158</v>
      </c>
      <c r="L102" s="1">
        <v>58</v>
      </c>
      <c r="M102" s="1">
        <v>130</v>
      </c>
      <c r="N102" s="1">
        <v>136</v>
      </c>
      <c r="O102" s="1">
        <v>27</v>
      </c>
      <c r="P102" s="1">
        <v>18</v>
      </c>
      <c r="Q102" s="1">
        <v>63</v>
      </c>
      <c r="R102" s="1">
        <v>14</v>
      </c>
      <c r="S102" s="1">
        <v>33</v>
      </c>
      <c r="T102" s="1">
        <v>111</v>
      </c>
      <c r="U102" s="1">
        <v>25</v>
      </c>
      <c r="V102" s="1">
        <v>48</v>
      </c>
      <c r="W102" s="1">
        <v>40</v>
      </c>
      <c r="X102" s="1">
        <v>59</v>
      </c>
      <c r="Y102" s="1">
        <v>41</v>
      </c>
      <c r="Z102" s="1">
        <v>92</v>
      </c>
      <c r="AA102" s="1">
        <v>65</v>
      </c>
      <c r="AB102" s="1">
        <v>118</v>
      </c>
      <c r="AC102" s="1">
        <v>40</v>
      </c>
      <c r="AD102" s="1">
        <v>25</v>
      </c>
      <c r="AE102" s="1">
        <v>154</v>
      </c>
      <c r="AF102" s="18">
        <f t="shared" si="1"/>
        <v>68.966666666666669</v>
      </c>
    </row>
    <row r="103" spans="1:32" x14ac:dyDescent="0.35">
      <c r="A103" s="1" t="s">
        <v>79</v>
      </c>
      <c r="B103" s="1">
        <v>23</v>
      </c>
      <c r="C103" s="1">
        <v>182</v>
      </c>
      <c r="D103" s="1">
        <v>108</v>
      </c>
      <c r="E103" s="1">
        <v>141</v>
      </c>
      <c r="F103" s="1">
        <v>30</v>
      </c>
      <c r="G103" s="1">
        <v>14</v>
      </c>
      <c r="H103" s="1">
        <v>12</v>
      </c>
      <c r="I103" s="1">
        <v>14</v>
      </c>
      <c r="J103" s="1">
        <v>49</v>
      </c>
      <c r="K103" s="1">
        <v>103</v>
      </c>
      <c r="L103" s="1">
        <v>30</v>
      </c>
      <c r="M103" s="1">
        <v>13</v>
      </c>
      <c r="N103" s="1">
        <v>73</v>
      </c>
      <c r="O103" s="1">
        <v>103</v>
      </c>
      <c r="P103" s="1">
        <v>25</v>
      </c>
      <c r="Q103" s="1">
        <v>46</v>
      </c>
      <c r="R103" s="1">
        <v>25</v>
      </c>
      <c r="S103" s="1">
        <v>19</v>
      </c>
      <c r="T103" s="1">
        <v>28</v>
      </c>
      <c r="U103" s="1">
        <v>26</v>
      </c>
      <c r="V103" s="1">
        <v>15</v>
      </c>
      <c r="W103" s="1">
        <v>159</v>
      </c>
      <c r="X103" s="1">
        <v>30</v>
      </c>
      <c r="Y103" s="1">
        <v>111</v>
      </c>
      <c r="Z103" s="1">
        <v>54</v>
      </c>
      <c r="AA103" s="1">
        <v>43</v>
      </c>
      <c r="AB103" s="1">
        <v>19</v>
      </c>
      <c r="AC103" s="1">
        <v>126</v>
      </c>
      <c r="AD103" s="1">
        <v>90</v>
      </c>
      <c r="AE103" s="1">
        <v>80</v>
      </c>
      <c r="AF103" s="18">
        <f t="shared" si="1"/>
        <v>59.7</v>
      </c>
    </row>
    <row r="104" spans="1:32" x14ac:dyDescent="0.35">
      <c r="A104" s="1" t="s">
        <v>183</v>
      </c>
      <c r="B104" s="1">
        <v>69</v>
      </c>
      <c r="C104" s="1">
        <v>38</v>
      </c>
      <c r="D104" s="1">
        <v>227</v>
      </c>
      <c r="E104" s="1">
        <v>128</v>
      </c>
      <c r="F104" s="1">
        <v>34</v>
      </c>
      <c r="G104" s="1">
        <v>57</v>
      </c>
      <c r="H104" s="1">
        <v>20</v>
      </c>
      <c r="I104" s="1">
        <v>21</v>
      </c>
      <c r="J104" s="1">
        <v>40</v>
      </c>
      <c r="K104" s="1">
        <v>115</v>
      </c>
      <c r="L104" s="1">
        <v>17</v>
      </c>
      <c r="M104" s="1">
        <v>127</v>
      </c>
      <c r="N104" s="1">
        <v>191</v>
      </c>
      <c r="O104" s="1">
        <v>55</v>
      </c>
      <c r="P104" s="1">
        <v>21</v>
      </c>
      <c r="Q104" s="1">
        <v>29</v>
      </c>
      <c r="R104" s="1">
        <v>56</v>
      </c>
      <c r="S104" s="1">
        <v>57</v>
      </c>
      <c r="T104" s="1">
        <v>15</v>
      </c>
      <c r="U104" s="1">
        <v>116</v>
      </c>
      <c r="V104" s="1">
        <v>18</v>
      </c>
      <c r="W104" s="1">
        <v>20</v>
      </c>
      <c r="X104" s="1">
        <v>85</v>
      </c>
      <c r="Y104" s="1">
        <v>96</v>
      </c>
      <c r="Z104" s="1">
        <v>70</v>
      </c>
      <c r="AA104" s="1">
        <v>18</v>
      </c>
      <c r="AB104" s="1">
        <v>42</v>
      </c>
      <c r="AC104" s="1">
        <v>32</v>
      </c>
      <c r="AD104" s="1">
        <v>36</v>
      </c>
      <c r="AE104" s="1">
        <v>56</v>
      </c>
      <c r="AF104" s="18">
        <f t="shared" si="1"/>
        <v>63.533333333333331</v>
      </c>
    </row>
    <row r="105" spans="1:32" x14ac:dyDescent="0.35">
      <c r="A105" s="1" t="s">
        <v>80</v>
      </c>
      <c r="B105" s="1">
        <v>58</v>
      </c>
      <c r="C105" s="1">
        <v>24</v>
      </c>
      <c r="D105" s="1">
        <v>73</v>
      </c>
      <c r="E105" s="1">
        <v>57</v>
      </c>
      <c r="F105" s="1">
        <v>19</v>
      </c>
      <c r="G105" s="1">
        <v>24</v>
      </c>
      <c r="H105" s="1">
        <v>101</v>
      </c>
      <c r="I105" s="1">
        <v>20</v>
      </c>
      <c r="J105" s="1">
        <v>23</v>
      </c>
      <c r="K105" s="1">
        <v>34</v>
      </c>
      <c r="L105" s="1">
        <v>27</v>
      </c>
      <c r="M105" s="1">
        <v>38</v>
      </c>
      <c r="N105" s="1">
        <v>23</v>
      </c>
      <c r="O105" s="1">
        <v>134</v>
      </c>
      <c r="P105" s="1">
        <v>46</v>
      </c>
      <c r="Q105" s="1">
        <v>59</v>
      </c>
      <c r="R105" s="1">
        <v>13</v>
      </c>
      <c r="S105" s="1">
        <v>19</v>
      </c>
      <c r="T105" s="1">
        <v>23</v>
      </c>
      <c r="U105" s="1">
        <v>19</v>
      </c>
      <c r="V105" s="1">
        <v>77</v>
      </c>
      <c r="W105" s="1">
        <v>12</v>
      </c>
      <c r="X105" s="1">
        <v>58</v>
      </c>
      <c r="Y105" s="1">
        <v>96</v>
      </c>
      <c r="Z105" s="1">
        <v>75</v>
      </c>
      <c r="AA105" s="1">
        <v>20</v>
      </c>
      <c r="AB105" s="1">
        <v>19</v>
      </c>
      <c r="AC105" s="1">
        <v>105</v>
      </c>
      <c r="AD105" s="1">
        <v>83</v>
      </c>
      <c r="AE105" s="1">
        <v>18</v>
      </c>
      <c r="AF105" s="18">
        <f t="shared" si="1"/>
        <v>46.56666666666667</v>
      </c>
    </row>
    <row r="106" spans="1:32" x14ac:dyDescent="0.35">
      <c r="A106" s="1" t="s">
        <v>81</v>
      </c>
      <c r="B106" s="1">
        <v>12</v>
      </c>
      <c r="C106" s="1">
        <v>22</v>
      </c>
      <c r="D106" s="1">
        <v>61</v>
      </c>
      <c r="E106" s="1">
        <v>52</v>
      </c>
      <c r="F106" s="1">
        <v>87</v>
      </c>
      <c r="G106" s="1">
        <v>162</v>
      </c>
      <c r="H106" s="1">
        <v>38</v>
      </c>
      <c r="I106" s="1">
        <v>39</v>
      </c>
      <c r="J106" s="1">
        <v>64</v>
      </c>
      <c r="K106" s="1">
        <v>54</v>
      </c>
      <c r="L106" s="1">
        <v>44</v>
      </c>
      <c r="M106" s="1">
        <v>22</v>
      </c>
      <c r="N106" s="1">
        <v>73</v>
      </c>
      <c r="O106" s="1">
        <v>23</v>
      </c>
      <c r="P106" s="1">
        <v>80</v>
      </c>
      <c r="Q106" s="1">
        <v>67</v>
      </c>
      <c r="R106" s="1">
        <v>40</v>
      </c>
      <c r="S106" s="1">
        <v>76</v>
      </c>
      <c r="T106" s="1">
        <v>62</v>
      </c>
      <c r="U106" s="1">
        <v>34</v>
      </c>
      <c r="V106" s="1">
        <v>87</v>
      </c>
      <c r="W106" s="1">
        <v>53</v>
      </c>
      <c r="X106" s="1">
        <v>14</v>
      </c>
      <c r="Y106" s="1">
        <v>46</v>
      </c>
      <c r="Z106" s="1">
        <v>25</v>
      </c>
      <c r="AA106" s="1">
        <v>29</v>
      </c>
      <c r="AB106" s="1">
        <v>56</v>
      </c>
      <c r="AC106" s="1">
        <v>310</v>
      </c>
      <c r="AD106" s="1">
        <v>111</v>
      </c>
      <c r="AE106" s="1">
        <v>27</v>
      </c>
      <c r="AF106" s="18">
        <f t="shared" si="1"/>
        <v>62.333333333333336</v>
      </c>
    </row>
    <row r="107" spans="1:32" x14ac:dyDescent="0.35">
      <c r="A107" s="1" t="s">
        <v>82</v>
      </c>
      <c r="B107" s="1">
        <v>52</v>
      </c>
      <c r="C107" s="1">
        <v>46</v>
      </c>
      <c r="D107" s="1">
        <v>42</v>
      </c>
      <c r="E107" s="1">
        <v>13</v>
      </c>
      <c r="F107" s="1">
        <v>63</v>
      </c>
      <c r="G107" s="1">
        <v>128</v>
      </c>
      <c r="H107" s="1">
        <v>47</v>
      </c>
      <c r="I107" s="1">
        <v>79</v>
      </c>
      <c r="J107" s="1">
        <v>56</v>
      </c>
      <c r="K107" s="1">
        <v>17</v>
      </c>
      <c r="L107" s="1">
        <v>32</v>
      </c>
      <c r="M107" s="1">
        <v>73</v>
      </c>
      <c r="N107" s="1">
        <v>63</v>
      </c>
      <c r="O107" s="1">
        <v>42</v>
      </c>
      <c r="P107" s="1">
        <v>23</v>
      </c>
      <c r="Q107" s="1">
        <v>55</v>
      </c>
      <c r="R107" s="1">
        <v>33</v>
      </c>
      <c r="S107" s="1">
        <v>99</v>
      </c>
      <c r="T107" s="1">
        <v>20</v>
      </c>
      <c r="U107" s="1">
        <v>26</v>
      </c>
      <c r="V107" s="1">
        <v>18</v>
      </c>
      <c r="W107" s="1">
        <v>56</v>
      </c>
      <c r="X107" s="1">
        <v>91</v>
      </c>
      <c r="Y107" s="1">
        <v>95</v>
      </c>
      <c r="Z107" s="1">
        <v>44</v>
      </c>
      <c r="AA107" s="1">
        <v>30</v>
      </c>
      <c r="AB107" s="1">
        <v>44</v>
      </c>
      <c r="AC107" s="1">
        <v>42</v>
      </c>
      <c r="AD107" s="1">
        <v>20</v>
      </c>
      <c r="AE107" s="1">
        <v>47</v>
      </c>
      <c r="AF107" s="18">
        <f t="shared" si="1"/>
        <v>49.866666666666667</v>
      </c>
    </row>
    <row r="108" spans="1:32" x14ac:dyDescent="0.35">
      <c r="A108" s="1" t="s">
        <v>83</v>
      </c>
      <c r="B108" s="1">
        <v>51</v>
      </c>
      <c r="C108" s="1">
        <v>12</v>
      </c>
      <c r="D108" s="1">
        <v>32</v>
      </c>
      <c r="E108" s="1">
        <v>16</v>
      </c>
      <c r="F108" s="1">
        <v>65</v>
      </c>
      <c r="G108" s="1">
        <v>46</v>
      </c>
      <c r="H108" s="1">
        <v>31</v>
      </c>
      <c r="I108" s="1">
        <v>29</v>
      </c>
      <c r="J108" s="1">
        <v>56</v>
      </c>
      <c r="K108" s="1">
        <v>23</v>
      </c>
      <c r="L108" s="1">
        <v>113</v>
      </c>
      <c r="M108" s="1">
        <v>28</v>
      </c>
      <c r="N108" s="1">
        <v>17</v>
      </c>
      <c r="O108" s="1">
        <v>19</v>
      </c>
      <c r="P108" s="1">
        <v>42</v>
      </c>
      <c r="Q108" s="1">
        <v>93</v>
      </c>
      <c r="R108" s="1">
        <v>37</v>
      </c>
      <c r="S108" s="1">
        <v>26</v>
      </c>
      <c r="T108" s="1">
        <v>18</v>
      </c>
      <c r="U108" s="1">
        <v>62</v>
      </c>
      <c r="V108" s="1">
        <v>36</v>
      </c>
      <c r="W108" s="1">
        <v>14</v>
      </c>
      <c r="X108" s="1">
        <v>19</v>
      </c>
      <c r="Y108" s="1">
        <v>36</v>
      </c>
      <c r="Z108" s="1">
        <v>57</v>
      </c>
      <c r="AA108" s="1">
        <v>13</v>
      </c>
      <c r="AB108" s="1">
        <v>32</v>
      </c>
      <c r="AC108" s="1">
        <v>22</v>
      </c>
      <c r="AD108" s="1">
        <v>76</v>
      </c>
      <c r="AE108" s="1">
        <v>15</v>
      </c>
      <c r="AF108" s="18">
        <f t="shared" si="1"/>
        <v>37.866666666666667</v>
      </c>
    </row>
    <row r="109" spans="1:32" x14ac:dyDescent="0.35">
      <c r="A109" s="1" t="s">
        <v>84</v>
      </c>
      <c r="B109" s="1">
        <v>79</v>
      </c>
      <c r="C109" s="1">
        <v>37</v>
      </c>
      <c r="D109" s="1">
        <v>24</v>
      </c>
      <c r="E109" s="1">
        <v>62</v>
      </c>
      <c r="F109" s="1">
        <v>40</v>
      </c>
      <c r="G109" s="1">
        <v>16</v>
      </c>
      <c r="H109" s="1">
        <v>31</v>
      </c>
      <c r="I109" s="1">
        <v>38</v>
      </c>
      <c r="J109" s="1">
        <v>76</v>
      </c>
      <c r="K109" s="1">
        <v>52</v>
      </c>
      <c r="L109" s="1">
        <v>49</v>
      </c>
      <c r="M109" s="1">
        <v>48</v>
      </c>
      <c r="N109" s="1">
        <v>25</v>
      </c>
      <c r="O109" s="1">
        <v>28</v>
      </c>
      <c r="P109" s="1">
        <v>15</v>
      </c>
      <c r="Q109" s="1">
        <v>19</v>
      </c>
      <c r="R109" s="1">
        <v>52</v>
      </c>
      <c r="S109" s="1">
        <v>38</v>
      </c>
      <c r="T109" s="1">
        <v>24</v>
      </c>
      <c r="U109" s="1">
        <v>12</v>
      </c>
      <c r="V109" s="1">
        <v>25</v>
      </c>
      <c r="W109" s="1">
        <v>35</v>
      </c>
      <c r="X109" s="1">
        <v>74</v>
      </c>
      <c r="Y109" s="1">
        <v>29</v>
      </c>
      <c r="Z109" s="1">
        <v>81</v>
      </c>
      <c r="AA109" s="1">
        <v>24</v>
      </c>
      <c r="AB109" s="1">
        <v>67</v>
      </c>
      <c r="AC109" s="1">
        <v>21</v>
      </c>
      <c r="AD109" s="1">
        <v>17</v>
      </c>
      <c r="AE109" s="1">
        <v>104</v>
      </c>
      <c r="AF109" s="18">
        <f t="shared" si="1"/>
        <v>41.4</v>
      </c>
    </row>
    <row r="110" spans="1:32" x14ac:dyDescent="0.35">
      <c r="A110" s="1" t="s">
        <v>85</v>
      </c>
      <c r="B110" s="1">
        <v>134</v>
      </c>
      <c r="C110" s="1">
        <v>64</v>
      </c>
      <c r="D110" s="1">
        <v>82</v>
      </c>
      <c r="E110" s="1">
        <v>27</v>
      </c>
      <c r="F110" s="1">
        <v>55</v>
      </c>
      <c r="G110" s="1">
        <v>45</v>
      </c>
      <c r="H110" s="1">
        <v>50</v>
      </c>
      <c r="I110" s="1">
        <v>73</v>
      </c>
      <c r="J110" s="1">
        <v>40</v>
      </c>
      <c r="K110" s="1">
        <v>16</v>
      </c>
      <c r="L110" s="1">
        <v>62</v>
      </c>
      <c r="M110" s="1">
        <v>22</v>
      </c>
      <c r="N110" s="1">
        <v>119</v>
      </c>
      <c r="O110" s="1">
        <v>69</v>
      </c>
      <c r="P110" s="1">
        <v>45</v>
      </c>
      <c r="Q110" s="1">
        <v>64</v>
      </c>
      <c r="R110" s="1">
        <v>61</v>
      </c>
      <c r="S110" s="1">
        <v>52</v>
      </c>
      <c r="T110" s="1">
        <v>120</v>
      </c>
      <c r="U110" s="1">
        <v>99</v>
      </c>
      <c r="V110" s="1">
        <v>13</v>
      </c>
      <c r="W110" s="1">
        <v>36</v>
      </c>
      <c r="X110" s="1">
        <v>15</v>
      </c>
      <c r="Y110" s="1">
        <v>126</v>
      </c>
      <c r="Z110" s="1">
        <v>62</v>
      </c>
      <c r="AA110" s="1">
        <v>67</v>
      </c>
      <c r="AB110" s="1">
        <v>57</v>
      </c>
      <c r="AC110" s="1">
        <v>112</v>
      </c>
      <c r="AD110" s="1">
        <v>102</v>
      </c>
      <c r="AE110" s="1">
        <v>25</v>
      </c>
      <c r="AF110" s="18">
        <f t="shared" si="1"/>
        <v>63.8</v>
      </c>
    </row>
    <row r="111" spans="1:32" x14ac:dyDescent="0.35">
      <c r="A111" s="1" t="s">
        <v>86</v>
      </c>
      <c r="B111" s="1">
        <v>45</v>
      </c>
      <c r="C111" s="1">
        <v>41</v>
      </c>
      <c r="D111" s="1">
        <v>110</v>
      </c>
      <c r="E111" s="1">
        <v>40</v>
      </c>
      <c r="F111" s="1">
        <v>66</v>
      </c>
      <c r="G111" s="1">
        <v>50</v>
      </c>
      <c r="H111" s="1">
        <v>75</v>
      </c>
      <c r="I111" s="1">
        <v>18</v>
      </c>
      <c r="J111" s="1">
        <v>121</v>
      </c>
      <c r="K111" s="1">
        <v>22</v>
      </c>
      <c r="L111" s="1">
        <v>66</v>
      </c>
      <c r="M111" s="1">
        <v>29</v>
      </c>
      <c r="N111" s="1">
        <v>13</v>
      </c>
      <c r="O111" s="1">
        <v>180</v>
      </c>
      <c r="P111" s="1">
        <v>49</v>
      </c>
      <c r="Q111" s="1">
        <v>35</v>
      </c>
      <c r="R111" s="1">
        <v>95</v>
      </c>
      <c r="S111" s="1">
        <v>44</v>
      </c>
      <c r="T111" s="1">
        <v>56</v>
      </c>
      <c r="U111" s="1">
        <v>15</v>
      </c>
      <c r="V111" s="1">
        <v>20</v>
      </c>
      <c r="W111" s="1">
        <v>18</v>
      </c>
      <c r="X111" s="1">
        <v>44</v>
      </c>
      <c r="Y111" s="1">
        <v>156</v>
      </c>
      <c r="Z111" s="1">
        <v>103</v>
      </c>
      <c r="AA111" s="1">
        <v>12</v>
      </c>
      <c r="AB111" s="1">
        <v>46</v>
      </c>
      <c r="AC111" s="1">
        <v>156</v>
      </c>
      <c r="AD111" s="1">
        <v>33</v>
      </c>
      <c r="AE111" s="1">
        <v>51</v>
      </c>
      <c r="AF111" s="18">
        <f t="shared" si="1"/>
        <v>60.3</v>
      </c>
    </row>
    <row r="112" spans="1:32" x14ac:dyDescent="0.35">
      <c r="A112" s="1" t="s">
        <v>87</v>
      </c>
      <c r="B112" s="1">
        <v>24</v>
      </c>
      <c r="C112" s="1">
        <v>36</v>
      </c>
      <c r="D112" s="1">
        <v>16</v>
      </c>
      <c r="E112" s="1">
        <v>14</v>
      </c>
      <c r="F112" s="1">
        <v>17</v>
      </c>
      <c r="G112" s="1">
        <v>62</v>
      </c>
      <c r="H112" s="1">
        <v>38</v>
      </c>
      <c r="I112" s="1">
        <v>35</v>
      </c>
      <c r="J112" s="1">
        <v>51</v>
      </c>
      <c r="K112" s="1">
        <v>16</v>
      </c>
      <c r="L112" s="1">
        <v>13</v>
      </c>
      <c r="M112" s="1">
        <v>20</v>
      </c>
      <c r="N112" s="1">
        <v>75</v>
      </c>
      <c r="O112" s="1">
        <v>17</v>
      </c>
      <c r="P112" s="1">
        <v>24</v>
      </c>
      <c r="Q112" s="1">
        <v>15</v>
      </c>
      <c r="R112" s="1">
        <v>42</v>
      </c>
      <c r="S112" s="1">
        <v>98</v>
      </c>
      <c r="T112" s="1">
        <v>126</v>
      </c>
      <c r="U112" s="1">
        <v>124</v>
      </c>
      <c r="V112" s="1">
        <v>27</v>
      </c>
      <c r="W112" s="1">
        <v>18</v>
      </c>
      <c r="X112" s="1">
        <v>12</v>
      </c>
      <c r="Y112" s="1">
        <v>34</v>
      </c>
      <c r="Z112" s="1">
        <v>24</v>
      </c>
      <c r="AA112" s="1">
        <v>68</v>
      </c>
      <c r="AB112" s="1">
        <v>53</v>
      </c>
      <c r="AC112" s="1">
        <v>19</v>
      </c>
      <c r="AD112" s="1">
        <v>20</v>
      </c>
      <c r="AE112" s="1">
        <v>36</v>
      </c>
      <c r="AF112" s="18">
        <f t="shared" si="1"/>
        <v>39.133333333333333</v>
      </c>
    </row>
    <row r="113" spans="1:32" x14ac:dyDescent="0.35">
      <c r="A113" s="1" t="s">
        <v>88</v>
      </c>
      <c r="B113" s="1">
        <v>58</v>
      </c>
      <c r="C113" s="1">
        <v>18</v>
      </c>
      <c r="D113" s="1">
        <v>88</v>
      </c>
      <c r="E113" s="1">
        <v>139</v>
      </c>
      <c r="F113" s="1">
        <v>140</v>
      </c>
      <c r="G113" s="1">
        <v>210</v>
      </c>
      <c r="H113" s="1">
        <v>57</v>
      </c>
      <c r="I113" s="1">
        <v>45</v>
      </c>
      <c r="J113" s="1">
        <v>17</v>
      </c>
      <c r="K113" s="1">
        <v>16</v>
      </c>
      <c r="L113" s="1">
        <v>144</v>
      </c>
      <c r="M113" s="1">
        <v>18</v>
      </c>
      <c r="N113" s="1">
        <v>98</v>
      </c>
      <c r="O113" s="1">
        <v>101</v>
      </c>
      <c r="P113" s="1">
        <v>42</v>
      </c>
      <c r="Q113" s="1">
        <v>18</v>
      </c>
      <c r="R113" s="1">
        <v>26</v>
      </c>
      <c r="S113" s="1">
        <v>147</v>
      </c>
      <c r="T113" s="1">
        <v>57</v>
      </c>
      <c r="U113" s="1">
        <v>16</v>
      </c>
      <c r="V113" s="1">
        <v>25</v>
      </c>
      <c r="W113" s="1">
        <v>16</v>
      </c>
      <c r="X113" s="1">
        <v>162</v>
      </c>
      <c r="Y113" s="1">
        <v>13</v>
      </c>
      <c r="Z113" s="1">
        <v>75</v>
      </c>
      <c r="AA113" s="1">
        <v>18</v>
      </c>
      <c r="AB113" s="1">
        <v>18</v>
      </c>
      <c r="AC113" s="1">
        <v>78</v>
      </c>
      <c r="AD113" s="1">
        <v>111</v>
      </c>
      <c r="AE113" s="1">
        <v>52</v>
      </c>
      <c r="AF113" s="18">
        <f t="shared" si="1"/>
        <v>67.433333333333337</v>
      </c>
    </row>
    <row r="114" spans="1:32" x14ac:dyDescent="0.35">
      <c r="A114" s="1" t="s">
        <v>89</v>
      </c>
      <c r="B114" s="1">
        <v>80</v>
      </c>
      <c r="C114" s="1">
        <v>27</v>
      </c>
      <c r="D114" s="1">
        <v>58</v>
      </c>
      <c r="E114" s="1">
        <v>39</v>
      </c>
      <c r="F114" s="1">
        <v>135</v>
      </c>
      <c r="G114" s="1">
        <v>104</v>
      </c>
      <c r="H114" s="1">
        <v>34</v>
      </c>
      <c r="I114" s="1">
        <v>47</v>
      </c>
      <c r="J114" s="1">
        <v>82</v>
      </c>
      <c r="K114" s="1">
        <v>20</v>
      </c>
      <c r="L114" s="1">
        <v>80</v>
      </c>
      <c r="M114" s="1">
        <v>16</v>
      </c>
      <c r="N114" s="1">
        <v>31</v>
      </c>
      <c r="O114" s="1">
        <v>23</v>
      </c>
      <c r="P114" s="1">
        <v>12</v>
      </c>
      <c r="Q114" s="1">
        <v>87</v>
      </c>
      <c r="R114" s="1">
        <v>25</v>
      </c>
      <c r="S114" s="1">
        <v>115</v>
      </c>
      <c r="T114" s="1">
        <v>19</v>
      </c>
      <c r="U114" s="1">
        <v>18</v>
      </c>
      <c r="V114" s="1">
        <v>36</v>
      </c>
      <c r="W114" s="1">
        <v>88</v>
      </c>
      <c r="X114" s="1">
        <v>39</v>
      </c>
      <c r="Y114" s="1">
        <v>94</v>
      </c>
      <c r="Z114" s="1">
        <v>63</v>
      </c>
      <c r="AA114" s="1">
        <v>12</v>
      </c>
      <c r="AB114" s="1">
        <v>48</v>
      </c>
      <c r="AC114" s="1">
        <v>15</v>
      </c>
      <c r="AD114" s="1">
        <v>41</v>
      </c>
      <c r="AE114" s="1">
        <v>58</v>
      </c>
      <c r="AF114" s="18">
        <f t="shared" si="1"/>
        <v>51.533333333333331</v>
      </c>
    </row>
    <row r="115" spans="1:32" x14ac:dyDescent="0.35">
      <c r="A115" s="1" t="s">
        <v>196</v>
      </c>
      <c r="B115" s="1">
        <v>38</v>
      </c>
      <c r="C115" s="1">
        <v>17</v>
      </c>
      <c r="D115" s="1">
        <v>20</v>
      </c>
      <c r="E115" s="1">
        <v>16</v>
      </c>
      <c r="F115" s="1">
        <v>58</v>
      </c>
      <c r="G115" s="1">
        <v>32</v>
      </c>
      <c r="H115" s="1">
        <v>13</v>
      </c>
      <c r="I115" s="1">
        <v>16</v>
      </c>
      <c r="J115" s="1">
        <v>14</v>
      </c>
      <c r="K115" s="1">
        <v>61</v>
      </c>
      <c r="L115" s="1">
        <v>17</v>
      </c>
      <c r="M115" s="1">
        <v>27</v>
      </c>
      <c r="N115" s="1">
        <v>24</v>
      </c>
      <c r="O115" s="1">
        <v>36</v>
      </c>
      <c r="P115" s="1">
        <v>34</v>
      </c>
      <c r="Q115" s="1">
        <v>46</v>
      </c>
      <c r="R115" s="1">
        <v>16</v>
      </c>
      <c r="S115" s="1">
        <v>32</v>
      </c>
      <c r="T115" s="1">
        <v>15</v>
      </c>
      <c r="U115" s="1">
        <v>31</v>
      </c>
      <c r="V115" s="1">
        <v>86</v>
      </c>
      <c r="W115" s="1">
        <v>20</v>
      </c>
      <c r="X115" s="1">
        <v>19</v>
      </c>
      <c r="Y115" s="1">
        <v>18</v>
      </c>
      <c r="Z115" s="1">
        <v>191</v>
      </c>
      <c r="AA115" s="1">
        <v>141</v>
      </c>
      <c r="AB115" s="1">
        <v>38</v>
      </c>
      <c r="AC115" s="1">
        <v>16</v>
      </c>
      <c r="AD115" s="1">
        <v>22</v>
      </c>
      <c r="AE115" s="1">
        <v>124</v>
      </c>
      <c r="AF115" s="18">
        <f t="shared" si="1"/>
        <v>41.266666666666666</v>
      </c>
    </row>
    <row r="116" spans="1:32" x14ac:dyDescent="0.35">
      <c r="A116" s="1" t="s">
        <v>90</v>
      </c>
      <c r="B116" s="1">
        <v>22</v>
      </c>
      <c r="C116" s="1">
        <v>12</v>
      </c>
      <c r="D116" s="1">
        <v>25</v>
      </c>
      <c r="E116" s="1">
        <v>15</v>
      </c>
      <c r="F116" s="1">
        <v>54</v>
      </c>
      <c r="G116" s="1">
        <v>24</v>
      </c>
      <c r="H116" s="1">
        <v>73</v>
      </c>
      <c r="I116" s="1">
        <v>79</v>
      </c>
      <c r="J116" s="1">
        <v>47</v>
      </c>
      <c r="K116" s="1">
        <v>113</v>
      </c>
      <c r="L116" s="1">
        <v>102</v>
      </c>
      <c r="M116" s="1">
        <v>23</v>
      </c>
      <c r="N116" s="1">
        <v>16</v>
      </c>
      <c r="O116" s="1">
        <v>120</v>
      </c>
      <c r="P116" s="1">
        <v>19</v>
      </c>
      <c r="Q116" s="1">
        <v>163</v>
      </c>
      <c r="R116" s="1">
        <v>16</v>
      </c>
      <c r="S116" s="1">
        <v>66</v>
      </c>
      <c r="T116" s="1">
        <v>23</v>
      </c>
      <c r="U116" s="1">
        <v>13</v>
      </c>
      <c r="V116" s="1">
        <v>27</v>
      </c>
      <c r="W116" s="1">
        <v>56</v>
      </c>
      <c r="X116" s="1">
        <v>20</v>
      </c>
      <c r="Y116" s="1">
        <v>25</v>
      </c>
      <c r="Z116" s="1">
        <v>180</v>
      </c>
      <c r="AA116" s="1">
        <v>75</v>
      </c>
      <c r="AB116" s="1">
        <v>30</v>
      </c>
      <c r="AC116" s="1">
        <v>34</v>
      </c>
      <c r="AD116" s="1">
        <v>33</v>
      </c>
      <c r="AE116" s="1">
        <v>31</v>
      </c>
      <c r="AF116" s="18">
        <f t="shared" si="1"/>
        <v>51.2</v>
      </c>
    </row>
    <row r="117" spans="1:32" x14ac:dyDescent="0.35">
      <c r="A117" s="1" t="s">
        <v>91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8">
        <f t="shared" si="1"/>
        <v>0</v>
      </c>
    </row>
    <row r="118" spans="1:32" x14ac:dyDescent="0.35">
      <c r="A118" s="1" t="s">
        <v>92</v>
      </c>
      <c r="B118" s="1">
        <v>100</v>
      </c>
      <c r="C118" s="1">
        <v>45</v>
      </c>
      <c r="D118" s="1">
        <v>88</v>
      </c>
      <c r="E118" s="1">
        <v>130</v>
      </c>
      <c r="F118" s="1">
        <v>31</v>
      </c>
      <c r="G118" s="1">
        <v>25</v>
      </c>
      <c r="H118" s="1">
        <v>35</v>
      </c>
      <c r="I118" s="1">
        <v>51</v>
      </c>
      <c r="J118" s="1">
        <v>59</v>
      </c>
      <c r="K118" s="1">
        <v>169</v>
      </c>
      <c r="L118" s="1">
        <v>84</v>
      </c>
      <c r="M118" s="1">
        <v>43</v>
      </c>
      <c r="N118" s="1">
        <v>56</v>
      </c>
      <c r="O118" s="1">
        <v>34</v>
      </c>
      <c r="P118" s="1">
        <v>35</v>
      </c>
      <c r="Q118" s="1">
        <v>15</v>
      </c>
      <c r="R118" s="1">
        <v>206</v>
      </c>
      <c r="S118" s="1">
        <v>127</v>
      </c>
      <c r="T118" s="1">
        <v>72</v>
      </c>
      <c r="U118" s="1">
        <v>182</v>
      </c>
      <c r="V118" s="1">
        <v>17</v>
      </c>
      <c r="W118" s="1">
        <v>81</v>
      </c>
      <c r="X118" s="1">
        <v>43</v>
      </c>
      <c r="Y118" s="1">
        <v>26</v>
      </c>
      <c r="Z118" s="1">
        <v>53</v>
      </c>
      <c r="AA118" s="1">
        <v>57</v>
      </c>
      <c r="AB118" s="1">
        <v>31</v>
      </c>
      <c r="AC118" s="1">
        <v>112</v>
      </c>
      <c r="AD118" s="1">
        <v>35</v>
      </c>
      <c r="AE118" s="1">
        <v>49</v>
      </c>
      <c r="AF118" s="18">
        <f t="shared" si="1"/>
        <v>69.7</v>
      </c>
    </row>
    <row r="119" spans="1:32" x14ac:dyDescent="0.35">
      <c r="A119" s="1" t="s">
        <v>93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8">
        <f t="shared" si="1"/>
        <v>0</v>
      </c>
    </row>
    <row r="120" spans="1:32" x14ac:dyDescent="0.35">
      <c r="A120" s="1" t="s">
        <v>94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8">
        <f t="shared" si="1"/>
        <v>0</v>
      </c>
    </row>
    <row r="121" spans="1:32" x14ac:dyDescent="0.35">
      <c r="A121" s="1" t="s">
        <v>95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8">
        <f t="shared" si="1"/>
        <v>0</v>
      </c>
    </row>
    <row r="122" spans="1:32" x14ac:dyDescent="0.35">
      <c r="A122" s="1" t="s">
        <v>96</v>
      </c>
      <c r="B122" s="1">
        <v>47</v>
      </c>
      <c r="C122" s="1">
        <v>46</v>
      </c>
      <c r="D122" s="1">
        <v>15</v>
      </c>
      <c r="E122" s="1">
        <v>18</v>
      </c>
      <c r="F122" s="1">
        <v>83</v>
      </c>
      <c r="G122" s="1">
        <v>13</v>
      </c>
      <c r="H122" s="1">
        <v>19</v>
      </c>
      <c r="I122" s="1">
        <v>28</v>
      </c>
      <c r="J122" s="1">
        <v>35</v>
      </c>
      <c r="K122" s="1">
        <v>81</v>
      </c>
      <c r="L122" s="1">
        <v>68</v>
      </c>
      <c r="M122" s="1">
        <v>13</v>
      </c>
      <c r="N122" s="1">
        <v>25</v>
      </c>
      <c r="O122" s="1">
        <v>48</v>
      </c>
      <c r="P122" s="1">
        <v>23</v>
      </c>
      <c r="Q122" s="1">
        <v>63</v>
      </c>
      <c r="R122" s="1">
        <v>16</v>
      </c>
      <c r="S122" s="1">
        <v>72</v>
      </c>
      <c r="T122" s="1">
        <v>12</v>
      </c>
      <c r="U122" s="1">
        <v>32</v>
      </c>
      <c r="V122" s="1">
        <v>44</v>
      </c>
      <c r="W122" s="1">
        <v>126</v>
      </c>
      <c r="X122" s="1">
        <v>59</v>
      </c>
      <c r="Y122" s="1">
        <v>63</v>
      </c>
      <c r="Z122" s="1">
        <v>44</v>
      </c>
      <c r="AA122" s="1">
        <v>19</v>
      </c>
      <c r="AB122" s="1">
        <v>35</v>
      </c>
      <c r="AC122" s="1">
        <v>45</v>
      </c>
      <c r="AD122" s="1">
        <v>113</v>
      </c>
      <c r="AE122" s="1">
        <v>15</v>
      </c>
      <c r="AF122" s="18">
        <f t="shared" si="1"/>
        <v>44</v>
      </c>
    </row>
    <row r="123" spans="1:32" x14ac:dyDescent="0.35">
      <c r="A123" s="1" t="s">
        <v>97</v>
      </c>
      <c r="B123" s="1">
        <v>23</v>
      </c>
      <c r="C123" s="1">
        <v>138</v>
      </c>
      <c r="D123" s="1">
        <v>85</v>
      </c>
      <c r="E123" s="1">
        <v>36</v>
      </c>
      <c r="F123" s="1">
        <v>58</v>
      </c>
      <c r="G123" s="1">
        <v>96</v>
      </c>
      <c r="H123" s="1">
        <v>49</v>
      </c>
      <c r="I123" s="1">
        <v>212</v>
      </c>
      <c r="J123" s="1">
        <v>20</v>
      </c>
      <c r="K123" s="1">
        <v>14</v>
      </c>
      <c r="L123" s="1">
        <v>93</v>
      </c>
      <c r="M123" s="1">
        <v>18</v>
      </c>
      <c r="N123" s="1">
        <v>38</v>
      </c>
      <c r="O123" s="1">
        <v>31</v>
      </c>
      <c r="P123" s="1">
        <v>18</v>
      </c>
      <c r="Q123" s="1">
        <v>61</v>
      </c>
      <c r="R123" s="1">
        <v>126</v>
      </c>
      <c r="S123" s="1">
        <v>83</v>
      </c>
      <c r="T123" s="1">
        <v>62</v>
      </c>
      <c r="U123" s="1">
        <v>58</v>
      </c>
      <c r="V123" s="1">
        <v>45</v>
      </c>
      <c r="W123" s="1">
        <v>32</v>
      </c>
      <c r="X123" s="1">
        <v>42</v>
      </c>
      <c r="Y123" s="1">
        <v>93</v>
      </c>
      <c r="Z123" s="1">
        <v>31</v>
      </c>
      <c r="AA123" s="1">
        <v>21</v>
      </c>
      <c r="AB123" s="1">
        <v>55</v>
      </c>
      <c r="AC123" s="1">
        <v>30</v>
      </c>
      <c r="AD123" s="1">
        <v>63</v>
      </c>
      <c r="AE123" s="1">
        <v>34</v>
      </c>
      <c r="AF123" s="18">
        <f t="shared" si="1"/>
        <v>58.833333333333336</v>
      </c>
    </row>
    <row r="124" spans="1:32" x14ac:dyDescent="0.35">
      <c r="A124" s="1" t="s">
        <v>98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8">
        <f t="shared" si="1"/>
        <v>0</v>
      </c>
    </row>
    <row r="125" spans="1:32" x14ac:dyDescent="0.35">
      <c r="A125" s="1" t="s">
        <v>184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8">
        <f t="shared" si="1"/>
        <v>0</v>
      </c>
    </row>
    <row r="126" spans="1:32" x14ac:dyDescent="0.35">
      <c r="A126" s="1" t="s">
        <v>99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8">
        <f t="shared" si="1"/>
        <v>0</v>
      </c>
    </row>
    <row r="127" spans="1:32" x14ac:dyDescent="0.35">
      <c r="A127" s="1" t="s">
        <v>100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8">
        <f t="shared" si="1"/>
        <v>0</v>
      </c>
    </row>
    <row r="128" spans="1:32" x14ac:dyDescent="0.35">
      <c r="A128" s="1" t="s">
        <v>101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8">
        <f t="shared" si="1"/>
        <v>0</v>
      </c>
    </row>
    <row r="129" spans="1:32" x14ac:dyDescent="0.35">
      <c r="A129" s="1" t="s">
        <v>185</v>
      </c>
      <c r="B129" s="1">
        <v>12</v>
      </c>
      <c r="C129" s="1">
        <v>15</v>
      </c>
      <c r="D129" s="1">
        <v>115</v>
      </c>
      <c r="E129" s="1">
        <v>21</v>
      </c>
      <c r="F129" s="1">
        <v>12</v>
      </c>
      <c r="G129" s="1">
        <v>39</v>
      </c>
      <c r="H129" s="1">
        <v>49</v>
      </c>
      <c r="I129" s="1">
        <v>19</v>
      </c>
      <c r="J129" s="1">
        <v>19</v>
      </c>
      <c r="K129" s="1">
        <v>236</v>
      </c>
      <c r="L129" s="1">
        <v>39</v>
      </c>
      <c r="M129" s="1">
        <v>63</v>
      </c>
      <c r="N129" s="1">
        <v>37</v>
      </c>
      <c r="O129" s="1">
        <v>89</v>
      </c>
      <c r="P129" s="1">
        <v>99</v>
      </c>
      <c r="Q129" s="1">
        <v>61</v>
      </c>
      <c r="R129" s="1">
        <v>48</v>
      </c>
      <c r="S129" s="1">
        <v>49</v>
      </c>
      <c r="T129" s="1">
        <v>101</v>
      </c>
      <c r="U129" s="1">
        <v>62</v>
      </c>
      <c r="V129" s="1">
        <v>29</v>
      </c>
      <c r="W129" s="1">
        <v>46</v>
      </c>
      <c r="X129" s="1">
        <v>106</v>
      </c>
      <c r="Y129" s="1">
        <v>42</v>
      </c>
      <c r="Z129" s="1">
        <v>70</v>
      </c>
      <c r="AA129" s="1">
        <v>68</v>
      </c>
      <c r="AB129" s="1">
        <v>28</v>
      </c>
      <c r="AC129" s="1">
        <v>13</v>
      </c>
      <c r="AD129" s="1">
        <v>18</v>
      </c>
      <c r="AE129" s="1">
        <v>172</v>
      </c>
      <c r="AF129" s="18">
        <f t="shared" si="1"/>
        <v>59.233333333333334</v>
      </c>
    </row>
    <row r="130" spans="1:32" x14ac:dyDescent="0.35">
      <c r="A130" s="1" t="s">
        <v>102</v>
      </c>
      <c r="B130" s="1">
        <v>129</v>
      </c>
      <c r="C130" s="1">
        <v>111</v>
      </c>
      <c r="D130" s="1">
        <v>18</v>
      </c>
      <c r="E130" s="1">
        <v>35</v>
      </c>
      <c r="F130" s="1">
        <v>50</v>
      </c>
      <c r="G130" s="1">
        <v>13</v>
      </c>
      <c r="H130" s="1">
        <v>73</v>
      </c>
      <c r="I130" s="1">
        <v>71</v>
      </c>
      <c r="J130" s="1">
        <v>84</v>
      </c>
      <c r="K130" s="1">
        <v>17</v>
      </c>
      <c r="L130" s="1">
        <v>13</v>
      </c>
      <c r="M130" s="1">
        <v>46</v>
      </c>
      <c r="N130" s="1">
        <v>77</v>
      </c>
      <c r="O130" s="1">
        <v>41</v>
      </c>
      <c r="P130" s="1">
        <v>13</v>
      </c>
      <c r="Q130" s="1">
        <v>91</v>
      </c>
      <c r="R130" s="1">
        <v>60</v>
      </c>
      <c r="S130" s="1">
        <v>31</v>
      </c>
      <c r="T130" s="1">
        <v>108</v>
      </c>
      <c r="U130" s="1">
        <v>22</v>
      </c>
      <c r="V130" s="1">
        <v>113</v>
      </c>
      <c r="W130" s="1">
        <v>15</v>
      </c>
      <c r="X130" s="1">
        <v>199</v>
      </c>
      <c r="Y130" s="1">
        <v>256</v>
      </c>
      <c r="Z130" s="1">
        <v>59</v>
      </c>
      <c r="AA130" s="1">
        <v>25</v>
      </c>
      <c r="AB130" s="1">
        <v>311</v>
      </c>
      <c r="AC130" s="1">
        <v>246</v>
      </c>
      <c r="AD130" s="1">
        <v>24</v>
      </c>
      <c r="AE130" s="1">
        <v>23</v>
      </c>
      <c r="AF130" s="18">
        <f t="shared" si="1"/>
        <v>79.13333333333334</v>
      </c>
    </row>
    <row r="131" spans="1:32" x14ac:dyDescent="0.35">
      <c r="A131" s="1" t="s">
        <v>103</v>
      </c>
      <c r="B131" s="1">
        <v>45</v>
      </c>
      <c r="C131" s="1">
        <v>31</v>
      </c>
      <c r="D131" s="1">
        <v>36</v>
      </c>
      <c r="E131" s="1">
        <v>14</v>
      </c>
      <c r="F131" s="1">
        <v>22</v>
      </c>
      <c r="G131" s="1">
        <v>86</v>
      </c>
      <c r="H131" s="1">
        <v>20</v>
      </c>
      <c r="I131" s="1">
        <v>38</v>
      </c>
      <c r="J131" s="1">
        <v>84</v>
      </c>
      <c r="K131" s="1">
        <v>50</v>
      </c>
      <c r="L131" s="1">
        <v>17</v>
      </c>
      <c r="M131" s="1">
        <v>29</v>
      </c>
      <c r="N131" s="1">
        <v>24</v>
      </c>
      <c r="O131" s="1">
        <v>48</v>
      </c>
      <c r="P131" s="1">
        <v>14</v>
      </c>
      <c r="Q131" s="1">
        <v>129</v>
      </c>
      <c r="R131" s="1">
        <v>39</v>
      </c>
      <c r="S131" s="1">
        <v>28</v>
      </c>
      <c r="T131" s="1">
        <v>39</v>
      </c>
      <c r="U131" s="1">
        <v>24</v>
      </c>
      <c r="V131" s="1">
        <v>70</v>
      </c>
      <c r="W131" s="1">
        <v>22</v>
      </c>
      <c r="X131" s="1">
        <v>63</v>
      </c>
      <c r="Y131" s="1">
        <v>32</v>
      </c>
      <c r="Z131" s="1">
        <v>13</v>
      </c>
      <c r="AA131" s="1">
        <v>32</v>
      </c>
      <c r="AB131" s="1">
        <v>32</v>
      </c>
      <c r="AC131" s="1">
        <v>32</v>
      </c>
      <c r="AD131" s="1">
        <v>27</v>
      </c>
      <c r="AE131" s="1">
        <v>12</v>
      </c>
      <c r="AF131" s="18">
        <f t="shared" si="1"/>
        <v>38.4</v>
      </c>
    </row>
    <row r="132" spans="1:32" x14ac:dyDescent="0.35">
      <c r="A132" s="1" t="s">
        <v>186</v>
      </c>
      <c r="B132" s="1">
        <v>60</v>
      </c>
      <c r="C132" s="1">
        <v>34</v>
      </c>
      <c r="D132" s="1">
        <v>105</v>
      </c>
      <c r="E132" s="1">
        <v>111</v>
      </c>
      <c r="F132" s="1">
        <v>71</v>
      </c>
      <c r="G132" s="1">
        <v>20</v>
      </c>
      <c r="H132" s="1">
        <v>18</v>
      </c>
      <c r="I132" s="1">
        <v>93</v>
      </c>
      <c r="J132" s="1">
        <v>42</v>
      </c>
      <c r="K132" s="1">
        <v>219</v>
      </c>
      <c r="L132" s="1">
        <v>58</v>
      </c>
      <c r="M132" s="1">
        <v>99</v>
      </c>
      <c r="N132" s="1">
        <v>359</v>
      </c>
      <c r="O132" s="1">
        <v>45</v>
      </c>
      <c r="P132" s="1">
        <v>72</v>
      </c>
      <c r="Q132" s="1">
        <v>104</v>
      </c>
      <c r="R132" s="1">
        <v>12</v>
      </c>
      <c r="S132" s="1">
        <v>77</v>
      </c>
      <c r="T132" s="1">
        <v>91</v>
      </c>
      <c r="U132" s="1">
        <v>50</v>
      </c>
      <c r="V132" s="1">
        <v>72</v>
      </c>
      <c r="W132" s="1">
        <v>49</v>
      </c>
      <c r="X132" s="1">
        <v>75</v>
      </c>
      <c r="Y132" s="1">
        <v>92</v>
      </c>
      <c r="Z132" s="1">
        <v>80</v>
      </c>
      <c r="AA132" s="1">
        <v>15</v>
      </c>
      <c r="AB132" s="1">
        <v>49</v>
      </c>
      <c r="AC132" s="1">
        <v>67</v>
      </c>
      <c r="AD132" s="1">
        <v>17</v>
      </c>
      <c r="AE132" s="1">
        <v>13</v>
      </c>
      <c r="AF132" s="18">
        <f t="shared" ref="AF132:AF195" si="2">AVERAGE(B132:AE132)</f>
        <v>75.63333333333334</v>
      </c>
    </row>
    <row r="133" spans="1:32" x14ac:dyDescent="0.35">
      <c r="A133" s="1" t="s">
        <v>104</v>
      </c>
      <c r="B133" s="1">
        <v>60</v>
      </c>
      <c r="C133" s="1">
        <v>17</v>
      </c>
      <c r="D133" s="1">
        <v>69</v>
      </c>
      <c r="E133" s="1">
        <v>185</v>
      </c>
      <c r="F133" s="1">
        <v>42</v>
      </c>
      <c r="G133" s="1">
        <v>261</v>
      </c>
      <c r="H133" s="1">
        <v>25</v>
      </c>
      <c r="I133" s="1">
        <v>13</v>
      </c>
      <c r="J133" s="1">
        <v>66</v>
      </c>
      <c r="K133" s="1">
        <v>47</v>
      </c>
      <c r="L133" s="1">
        <v>30</v>
      </c>
      <c r="M133" s="1">
        <v>16</v>
      </c>
      <c r="N133" s="1">
        <v>41</v>
      </c>
      <c r="O133" s="1">
        <v>17</v>
      </c>
      <c r="P133" s="1">
        <v>95</v>
      </c>
      <c r="Q133" s="1">
        <v>46</v>
      </c>
      <c r="R133" s="1">
        <v>32</v>
      </c>
      <c r="S133" s="1">
        <v>37</v>
      </c>
      <c r="T133" s="1">
        <v>19</v>
      </c>
      <c r="U133" s="1">
        <v>17</v>
      </c>
      <c r="V133" s="1">
        <v>49</v>
      </c>
      <c r="W133" s="1">
        <v>16</v>
      </c>
      <c r="X133" s="1">
        <v>87</v>
      </c>
      <c r="Y133" s="1">
        <v>39</v>
      </c>
      <c r="Z133" s="1">
        <v>48</v>
      </c>
      <c r="AA133" s="1">
        <v>150</v>
      </c>
      <c r="AB133" s="1">
        <v>41</v>
      </c>
      <c r="AC133" s="1">
        <v>44</v>
      </c>
      <c r="AD133" s="1">
        <v>125</v>
      </c>
      <c r="AE133" s="1">
        <v>127</v>
      </c>
      <c r="AF133" s="18">
        <f t="shared" si="2"/>
        <v>62.033333333333331</v>
      </c>
    </row>
    <row r="134" spans="1:32" x14ac:dyDescent="0.35">
      <c r="A134" s="1" t="s">
        <v>187</v>
      </c>
      <c r="B134" s="1">
        <v>45</v>
      </c>
      <c r="C134" s="1">
        <v>23</v>
      </c>
      <c r="D134" s="1">
        <v>240</v>
      </c>
      <c r="E134" s="1">
        <v>43</v>
      </c>
      <c r="F134" s="1">
        <v>21</v>
      </c>
      <c r="G134" s="1">
        <v>62</v>
      </c>
      <c r="H134" s="1">
        <v>33</v>
      </c>
      <c r="I134" s="1">
        <v>34</v>
      </c>
      <c r="J134" s="1">
        <v>163</v>
      </c>
      <c r="K134" s="1">
        <v>47</v>
      </c>
      <c r="L134" s="1">
        <v>25</v>
      </c>
      <c r="M134" s="1">
        <v>69</v>
      </c>
      <c r="N134" s="1">
        <v>84</v>
      </c>
      <c r="O134" s="1">
        <v>52</v>
      </c>
      <c r="P134" s="1">
        <v>101</v>
      </c>
      <c r="Q134" s="1">
        <v>234</v>
      </c>
      <c r="R134" s="1">
        <v>47</v>
      </c>
      <c r="S134" s="1">
        <v>92</v>
      </c>
      <c r="T134" s="1">
        <v>13</v>
      </c>
      <c r="U134" s="1">
        <v>22</v>
      </c>
      <c r="V134" s="1">
        <v>60</v>
      </c>
      <c r="W134" s="1">
        <v>83</v>
      </c>
      <c r="X134" s="1">
        <v>150</v>
      </c>
      <c r="Y134" s="1">
        <v>117</v>
      </c>
      <c r="Z134" s="1">
        <v>79</v>
      </c>
      <c r="AA134" s="1">
        <v>75</v>
      </c>
      <c r="AB134" s="1">
        <v>15</v>
      </c>
      <c r="AC134" s="1">
        <v>112</v>
      </c>
      <c r="AD134" s="1">
        <v>36</v>
      </c>
      <c r="AE134" s="1">
        <v>64</v>
      </c>
      <c r="AF134" s="18">
        <f t="shared" si="2"/>
        <v>74.7</v>
      </c>
    </row>
    <row r="135" spans="1:32" x14ac:dyDescent="0.35">
      <c r="A135" s="1" t="s">
        <v>160</v>
      </c>
      <c r="B135" s="1">
        <v>21</v>
      </c>
      <c r="C135" s="1">
        <v>50</v>
      </c>
      <c r="D135" s="1">
        <v>42</v>
      </c>
      <c r="E135" s="1">
        <v>16</v>
      </c>
      <c r="F135" s="1">
        <v>21</v>
      </c>
      <c r="G135" s="1">
        <v>20</v>
      </c>
      <c r="H135" s="1">
        <v>45</v>
      </c>
      <c r="I135" s="1">
        <v>40</v>
      </c>
      <c r="J135" s="1">
        <v>20</v>
      </c>
      <c r="K135" s="1">
        <v>46</v>
      </c>
      <c r="L135" s="1">
        <v>30</v>
      </c>
      <c r="M135" s="1">
        <v>108</v>
      </c>
      <c r="N135" s="1">
        <v>22</v>
      </c>
      <c r="O135" s="1">
        <v>30</v>
      </c>
      <c r="P135" s="1">
        <v>28</v>
      </c>
      <c r="Q135" s="1">
        <v>42</v>
      </c>
      <c r="R135" s="1">
        <v>12</v>
      </c>
      <c r="S135" s="1">
        <v>62</v>
      </c>
      <c r="T135" s="1">
        <v>14</v>
      </c>
      <c r="U135" s="1">
        <v>57</v>
      </c>
      <c r="V135" s="1">
        <v>30</v>
      </c>
      <c r="W135" s="1">
        <v>85</v>
      </c>
      <c r="X135" s="1">
        <v>28</v>
      </c>
      <c r="Y135" s="1">
        <v>197</v>
      </c>
      <c r="Z135" s="1">
        <v>22</v>
      </c>
      <c r="AA135" s="1">
        <v>47</v>
      </c>
      <c r="AB135" s="1">
        <v>133</v>
      </c>
      <c r="AC135" s="1">
        <v>15</v>
      </c>
      <c r="AD135" s="1">
        <v>12</v>
      </c>
      <c r="AE135" s="1">
        <v>15</v>
      </c>
      <c r="AF135" s="18">
        <f t="shared" si="2"/>
        <v>43.666666666666664</v>
      </c>
    </row>
    <row r="136" spans="1:32" x14ac:dyDescent="0.35">
      <c r="A136" s="1" t="s">
        <v>105</v>
      </c>
      <c r="B136" s="1">
        <v>95</v>
      </c>
      <c r="C136" s="1">
        <v>29</v>
      </c>
      <c r="D136" s="1">
        <v>176</v>
      </c>
      <c r="E136" s="1">
        <v>84</v>
      </c>
      <c r="F136" s="1">
        <v>16</v>
      </c>
      <c r="G136" s="1">
        <v>28</v>
      </c>
      <c r="H136" s="1">
        <v>65</v>
      </c>
      <c r="I136" s="1">
        <v>53</v>
      </c>
      <c r="J136" s="1">
        <v>16</v>
      </c>
      <c r="K136" s="1">
        <v>49</v>
      </c>
      <c r="L136" s="1">
        <v>32</v>
      </c>
      <c r="M136" s="1">
        <v>39</v>
      </c>
      <c r="N136" s="1">
        <v>22</v>
      </c>
      <c r="O136" s="1">
        <v>97</v>
      </c>
      <c r="P136" s="1">
        <v>37</v>
      </c>
      <c r="Q136" s="1">
        <v>63</v>
      </c>
      <c r="R136" s="1">
        <v>15</v>
      </c>
      <c r="S136" s="1">
        <v>14</v>
      </c>
      <c r="T136" s="1">
        <v>14</v>
      </c>
      <c r="U136" s="1">
        <v>123</v>
      </c>
      <c r="V136" s="1">
        <v>120</v>
      </c>
      <c r="W136" s="1">
        <v>114</v>
      </c>
      <c r="X136" s="1">
        <v>19</v>
      </c>
      <c r="Y136" s="1">
        <v>38</v>
      </c>
      <c r="Z136" s="1">
        <v>56</v>
      </c>
      <c r="AA136" s="1">
        <v>12</v>
      </c>
      <c r="AB136" s="1">
        <v>59</v>
      </c>
      <c r="AC136" s="1">
        <v>41</v>
      </c>
      <c r="AD136" s="1">
        <v>64</v>
      </c>
      <c r="AE136" s="1">
        <v>37</v>
      </c>
      <c r="AF136" s="18">
        <f t="shared" si="2"/>
        <v>54.233333333333334</v>
      </c>
    </row>
    <row r="137" spans="1:32" x14ac:dyDescent="0.35">
      <c r="A137" s="1" t="s">
        <v>106</v>
      </c>
      <c r="B137" s="1">
        <v>46</v>
      </c>
      <c r="C137" s="1">
        <v>38</v>
      </c>
      <c r="D137" s="1">
        <v>131</v>
      </c>
      <c r="E137" s="1">
        <v>77</v>
      </c>
      <c r="F137" s="1">
        <v>59</v>
      </c>
      <c r="G137" s="1">
        <v>49</v>
      </c>
      <c r="H137" s="1">
        <v>12</v>
      </c>
      <c r="I137" s="1">
        <v>64</v>
      </c>
      <c r="J137" s="1">
        <v>27</v>
      </c>
      <c r="K137" s="1">
        <v>45</v>
      </c>
      <c r="L137" s="1">
        <v>40</v>
      </c>
      <c r="M137" s="1">
        <v>53</v>
      </c>
      <c r="N137" s="1">
        <v>33</v>
      </c>
      <c r="O137" s="1">
        <v>146</v>
      </c>
      <c r="P137" s="1">
        <v>156</v>
      </c>
      <c r="Q137" s="1">
        <v>181</v>
      </c>
      <c r="R137" s="1">
        <v>121</v>
      </c>
      <c r="S137" s="1">
        <v>17</v>
      </c>
      <c r="T137" s="1">
        <v>32</v>
      </c>
      <c r="U137" s="1">
        <v>145</v>
      </c>
      <c r="V137" s="1">
        <v>125</v>
      </c>
      <c r="W137" s="1">
        <v>12</v>
      </c>
      <c r="X137" s="1">
        <v>48</v>
      </c>
      <c r="Y137" s="1">
        <v>58</v>
      </c>
      <c r="Z137" s="1">
        <v>29</v>
      </c>
      <c r="AA137" s="1">
        <v>31</v>
      </c>
      <c r="AB137" s="1">
        <v>46</v>
      </c>
      <c r="AC137" s="1">
        <v>24</v>
      </c>
      <c r="AD137" s="1">
        <v>167</v>
      </c>
      <c r="AE137" s="1">
        <v>116</v>
      </c>
      <c r="AF137" s="18">
        <f t="shared" si="2"/>
        <v>70.933333333333337</v>
      </c>
    </row>
    <row r="138" spans="1:32" x14ac:dyDescent="0.35">
      <c r="A138" s="1" t="s">
        <v>188</v>
      </c>
      <c r="B138" s="1">
        <v>33</v>
      </c>
      <c r="C138" s="1">
        <v>42</v>
      </c>
      <c r="D138" s="1">
        <v>64</v>
      </c>
      <c r="E138" s="1">
        <v>34</v>
      </c>
      <c r="F138" s="1">
        <v>28</v>
      </c>
      <c r="G138" s="1">
        <v>30</v>
      </c>
      <c r="H138" s="1">
        <v>16</v>
      </c>
      <c r="I138" s="1">
        <v>57</v>
      </c>
      <c r="J138" s="1">
        <v>16</v>
      </c>
      <c r="K138" s="1">
        <v>23</v>
      </c>
      <c r="L138" s="1">
        <v>25</v>
      </c>
      <c r="M138" s="1">
        <v>33</v>
      </c>
      <c r="N138" s="1">
        <v>14</v>
      </c>
      <c r="O138" s="1">
        <v>40</v>
      </c>
      <c r="P138" s="1">
        <v>19</v>
      </c>
      <c r="Q138" s="1">
        <v>28</v>
      </c>
      <c r="R138" s="1">
        <v>83</v>
      </c>
      <c r="S138" s="1">
        <v>128</v>
      </c>
      <c r="T138" s="1">
        <v>54</v>
      </c>
      <c r="U138" s="1">
        <v>26</v>
      </c>
      <c r="V138" s="1">
        <v>32</v>
      </c>
      <c r="W138" s="1">
        <v>22</v>
      </c>
      <c r="X138" s="1">
        <v>109</v>
      </c>
      <c r="Y138" s="1">
        <v>172</v>
      </c>
      <c r="Z138" s="1">
        <v>25</v>
      </c>
      <c r="AA138" s="1">
        <v>12</v>
      </c>
      <c r="AB138" s="1">
        <v>20</v>
      </c>
      <c r="AC138" s="1">
        <v>15</v>
      </c>
      <c r="AD138" s="1">
        <v>138</v>
      </c>
      <c r="AE138" s="1">
        <v>19</v>
      </c>
      <c r="AF138" s="18">
        <f t="shared" si="2"/>
        <v>45.233333333333334</v>
      </c>
    </row>
    <row r="139" spans="1:32" x14ac:dyDescent="0.35">
      <c r="A139" s="1" t="s">
        <v>107</v>
      </c>
      <c r="B139" s="1">
        <v>37</v>
      </c>
      <c r="C139" s="1">
        <v>16</v>
      </c>
      <c r="D139" s="1">
        <v>91</v>
      </c>
      <c r="E139" s="1">
        <v>181</v>
      </c>
      <c r="F139" s="1">
        <v>70</v>
      </c>
      <c r="G139" s="1">
        <v>17</v>
      </c>
      <c r="H139" s="1">
        <v>130</v>
      </c>
      <c r="I139" s="1">
        <v>40</v>
      </c>
      <c r="J139" s="1">
        <v>16</v>
      </c>
      <c r="K139" s="1">
        <v>34</v>
      </c>
      <c r="L139" s="1">
        <v>137</v>
      </c>
      <c r="M139" s="1">
        <v>25</v>
      </c>
      <c r="N139" s="1">
        <v>21</v>
      </c>
      <c r="O139" s="1">
        <v>68</v>
      </c>
      <c r="P139" s="1">
        <v>74</v>
      </c>
      <c r="Q139" s="1">
        <v>18</v>
      </c>
      <c r="R139" s="1">
        <v>78</v>
      </c>
      <c r="S139" s="1">
        <v>89</v>
      </c>
      <c r="T139" s="1">
        <v>52</v>
      </c>
      <c r="U139" s="1">
        <v>73</v>
      </c>
      <c r="V139" s="1">
        <v>13</v>
      </c>
      <c r="W139" s="1">
        <v>16</v>
      </c>
      <c r="X139" s="1">
        <v>28</v>
      </c>
      <c r="Y139" s="1">
        <v>140</v>
      </c>
      <c r="Z139" s="1">
        <v>21</v>
      </c>
      <c r="AA139" s="1">
        <v>136</v>
      </c>
      <c r="AB139" s="1">
        <v>59</v>
      </c>
      <c r="AC139" s="1">
        <v>197</v>
      </c>
      <c r="AD139" s="1">
        <v>70</v>
      </c>
      <c r="AE139" s="1">
        <v>23</v>
      </c>
      <c r="AF139" s="18">
        <f t="shared" si="2"/>
        <v>65.666666666666671</v>
      </c>
    </row>
    <row r="140" spans="1:32" x14ac:dyDescent="0.35">
      <c r="A140" s="1" t="s">
        <v>108</v>
      </c>
      <c r="B140" s="1">
        <v>21</v>
      </c>
      <c r="C140" s="1">
        <v>67</v>
      </c>
      <c r="D140" s="1">
        <v>12</v>
      </c>
      <c r="E140" s="1">
        <v>70</v>
      </c>
      <c r="F140" s="1">
        <v>82</v>
      </c>
      <c r="G140" s="1">
        <v>37</v>
      </c>
      <c r="H140" s="1">
        <v>60</v>
      </c>
      <c r="I140" s="1">
        <v>32</v>
      </c>
      <c r="J140" s="1">
        <v>33</v>
      </c>
      <c r="K140" s="1">
        <v>149</v>
      </c>
      <c r="L140" s="1">
        <v>125</v>
      </c>
      <c r="M140" s="1">
        <v>49</v>
      </c>
      <c r="N140" s="1">
        <v>19</v>
      </c>
      <c r="O140" s="1">
        <v>24</v>
      </c>
      <c r="P140" s="1">
        <v>84</v>
      </c>
      <c r="Q140" s="1">
        <v>75</v>
      </c>
      <c r="R140" s="1">
        <v>114</v>
      </c>
      <c r="S140" s="1">
        <v>48</v>
      </c>
      <c r="T140" s="1">
        <v>37</v>
      </c>
      <c r="U140" s="1">
        <v>12</v>
      </c>
      <c r="V140" s="1">
        <v>162</v>
      </c>
      <c r="W140" s="1">
        <v>43</v>
      </c>
      <c r="X140" s="1">
        <v>39</v>
      </c>
      <c r="Y140" s="1">
        <v>222</v>
      </c>
      <c r="Z140" s="1">
        <v>25</v>
      </c>
      <c r="AA140" s="1">
        <v>26</v>
      </c>
      <c r="AB140" s="1">
        <v>94</v>
      </c>
      <c r="AC140" s="1">
        <v>61</v>
      </c>
      <c r="AD140" s="1">
        <v>57</v>
      </c>
      <c r="AE140" s="1">
        <v>73</v>
      </c>
      <c r="AF140" s="18">
        <f t="shared" si="2"/>
        <v>65.066666666666663</v>
      </c>
    </row>
    <row r="141" spans="1:32" x14ac:dyDescent="0.35">
      <c r="A141" s="1" t="s">
        <v>109</v>
      </c>
      <c r="B141" s="1">
        <v>19</v>
      </c>
      <c r="C141" s="1">
        <v>27</v>
      </c>
      <c r="D141" s="1">
        <v>104</v>
      </c>
      <c r="E141" s="1">
        <v>127</v>
      </c>
      <c r="F141" s="1">
        <v>57</v>
      </c>
      <c r="G141" s="1">
        <v>87</v>
      </c>
      <c r="H141" s="1">
        <v>84</v>
      </c>
      <c r="I141" s="1">
        <v>63</v>
      </c>
      <c r="J141" s="1">
        <v>115</v>
      </c>
      <c r="K141" s="1">
        <v>30</v>
      </c>
      <c r="L141" s="1">
        <v>45</v>
      </c>
      <c r="M141" s="1">
        <v>106</v>
      </c>
      <c r="N141" s="1">
        <v>19</v>
      </c>
      <c r="O141" s="1">
        <v>28</v>
      </c>
      <c r="P141" s="1">
        <v>22</v>
      </c>
      <c r="Q141" s="1">
        <v>197</v>
      </c>
      <c r="R141" s="1">
        <v>42</v>
      </c>
      <c r="S141" s="1">
        <v>13</v>
      </c>
      <c r="T141" s="1">
        <v>21</v>
      </c>
      <c r="U141" s="1">
        <v>21</v>
      </c>
      <c r="V141" s="1">
        <v>95</v>
      </c>
      <c r="W141" s="1">
        <v>65</v>
      </c>
      <c r="X141" s="1">
        <v>49</v>
      </c>
      <c r="Y141" s="1">
        <v>32</v>
      </c>
      <c r="Z141" s="1">
        <v>17</v>
      </c>
      <c r="AA141" s="1">
        <v>35</v>
      </c>
      <c r="AB141" s="1">
        <v>26</v>
      </c>
      <c r="AC141" s="1">
        <v>58</v>
      </c>
      <c r="AD141" s="1">
        <v>44</v>
      </c>
      <c r="AE141" s="1">
        <v>15</v>
      </c>
      <c r="AF141" s="18">
        <f t="shared" si="2"/>
        <v>55.43333333333333</v>
      </c>
    </row>
    <row r="142" spans="1:32" x14ac:dyDescent="0.35">
      <c r="A142" s="1" t="s">
        <v>189</v>
      </c>
      <c r="B142" s="1">
        <v>12</v>
      </c>
      <c r="C142" s="1">
        <v>32</v>
      </c>
      <c r="D142" s="1">
        <v>37</v>
      </c>
      <c r="E142" s="1">
        <v>15</v>
      </c>
      <c r="F142" s="1">
        <v>26</v>
      </c>
      <c r="G142" s="1">
        <v>41</v>
      </c>
      <c r="H142" s="1">
        <v>123</v>
      </c>
      <c r="I142" s="1">
        <v>71</v>
      </c>
      <c r="J142" s="1">
        <v>26</v>
      </c>
      <c r="K142" s="1">
        <v>76</v>
      </c>
      <c r="L142" s="1">
        <v>28</v>
      </c>
      <c r="M142" s="1">
        <v>54</v>
      </c>
      <c r="N142" s="1">
        <v>74</v>
      </c>
      <c r="O142" s="1">
        <v>48</v>
      </c>
      <c r="P142" s="1">
        <v>18</v>
      </c>
      <c r="Q142" s="1">
        <v>15</v>
      </c>
      <c r="R142" s="1">
        <v>54</v>
      </c>
      <c r="S142" s="1">
        <v>44</v>
      </c>
      <c r="T142" s="1">
        <v>24</v>
      </c>
      <c r="U142" s="1">
        <v>54</v>
      </c>
      <c r="V142" s="1">
        <v>21</v>
      </c>
      <c r="W142" s="1">
        <v>68</v>
      </c>
      <c r="X142" s="1">
        <v>26</v>
      </c>
      <c r="Y142" s="1">
        <v>43</v>
      </c>
      <c r="Z142" s="1">
        <v>89</v>
      </c>
      <c r="AA142" s="1">
        <v>34</v>
      </c>
      <c r="AB142" s="1">
        <v>82</v>
      </c>
      <c r="AC142" s="1">
        <v>16</v>
      </c>
      <c r="AD142" s="1">
        <v>32</v>
      </c>
      <c r="AE142" s="1">
        <v>115</v>
      </c>
      <c r="AF142" s="18">
        <f t="shared" si="2"/>
        <v>46.6</v>
      </c>
    </row>
    <row r="143" spans="1:32" x14ac:dyDescent="0.35">
      <c r="A143" s="1" t="s">
        <v>110</v>
      </c>
      <c r="B143" s="1">
        <v>27</v>
      </c>
      <c r="C143" s="1">
        <v>99</v>
      </c>
      <c r="D143" s="1">
        <v>34</v>
      </c>
      <c r="E143" s="1">
        <v>117</v>
      </c>
      <c r="F143" s="1">
        <v>39</v>
      </c>
      <c r="G143" s="1">
        <v>50</v>
      </c>
      <c r="H143" s="1">
        <v>40</v>
      </c>
      <c r="I143" s="1">
        <v>19</v>
      </c>
      <c r="J143" s="1">
        <v>29</v>
      </c>
      <c r="K143" s="1">
        <v>27</v>
      </c>
      <c r="L143" s="1">
        <v>25</v>
      </c>
      <c r="M143" s="1">
        <v>24</v>
      </c>
      <c r="N143" s="1">
        <v>18</v>
      </c>
      <c r="O143" s="1">
        <v>22</v>
      </c>
      <c r="P143" s="1">
        <v>43</v>
      </c>
      <c r="Q143" s="1">
        <v>139</v>
      </c>
      <c r="R143" s="1">
        <v>73</v>
      </c>
      <c r="S143" s="1">
        <v>35</v>
      </c>
      <c r="T143" s="1">
        <v>75</v>
      </c>
      <c r="U143" s="1">
        <v>38</v>
      </c>
      <c r="V143" s="1">
        <v>102</v>
      </c>
      <c r="W143" s="1">
        <v>25</v>
      </c>
      <c r="X143" s="1">
        <v>108</v>
      </c>
      <c r="Y143" s="1">
        <v>12</v>
      </c>
      <c r="Z143" s="1">
        <v>63</v>
      </c>
      <c r="AA143" s="1">
        <v>17</v>
      </c>
      <c r="AB143" s="1">
        <v>28</v>
      </c>
      <c r="AC143" s="1">
        <v>89</v>
      </c>
      <c r="AD143" s="1">
        <v>37</v>
      </c>
      <c r="AE143" s="1">
        <v>71</v>
      </c>
      <c r="AF143" s="18">
        <f t="shared" si="2"/>
        <v>50.833333333333336</v>
      </c>
    </row>
    <row r="144" spans="1:32" x14ac:dyDescent="0.35">
      <c r="A144" s="1" t="s">
        <v>111</v>
      </c>
      <c r="B144" s="1">
        <v>28</v>
      </c>
      <c r="C144" s="1">
        <v>40</v>
      </c>
      <c r="D144" s="1">
        <v>13</v>
      </c>
      <c r="E144" s="1">
        <v>26</v>
      </c>
      <c r="F144" s="1">
        <v>62</v>
      </c>
      <c r="G144" s="1">
        <v>100</v>
      </c>
      <c r="H144" s="1">
        <v>18</v>
      </c>
      <c r="I144" s="1">
        <v>65</v>
      </c>
      <c r="J144" s="1">
        <v>35</v>
      </c>
      <c r="K144" s="1">
        <v>54</v>
      </c>
      <c r="L144" s="1">
        <v>31</v>
      </c>
      <c r="M144" s="1">
        <v>22</v>
      </c>
      <c r="N144" s="1">
        <v>43</v>
      </c>
      <c r="O144" s="1">
        <v>177</v>
      </c>
      <c r="P144" s="1">
        <v>60</v>
      </c>
      <c r="Q144" s="1">
        <v>25</v>
      </c>
      <c r="R144" s="1">
        <v>111</v>
      </c>
      <c r="S144" s="1">
        <v>15</v>
      </c>
      <c r="T144" s="1">
        <v>209</v>
      </c>
      <c r="U144" s="1">
        <v>13</v>
      </c>
      <c r="V144" s="1">
        <v>68</v>
      </c>
      <c r="W144" s="1">
        <v>20</v>
      </c>
      <c r="X144" s="1">
        <v>33</v>
      </c>
      <c r="Y144" s="1">
        <v>60</v>
      </c>
      <c r="Z144" s="1">
        <v>42</v>
      </c>
      <c r="AA144" s="1">
        <v>33</v>
      </c>
      <c r="AB144" s="1">
        <v>267</v>
      </c>
      <c r="AC144" s="1">
        <v>117</v>
      </c>
      <c r="AD144" s="1">
        <v>208</v>
      </c>
      <c r="AE144" s="1">
        <v>81</v>
      </c>
      <c r="AF144" s="18">
        <f t="shared" si="2"/>
        <v>69.2</v>
      </c>
    </row>
    <row r="145" spans="1:32" x14ac:dyDescent="0.35">
      <c r="A145" s="1" t="s">
        <v>112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8">
        <f t="shared" si="2"/>
        <v>0</v>
      </c>
    </row>
    <row r="146" spans="1:32" x14ac:dyDescent="0.35">
      <c r="A146" s="1" t="s">
        <v>113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8">
        <f t="shared" si="2"/>
        <v>0</v>
      </c>
    </row>
    <row r="147" spans="1:32" x14ac:dyDescent="0.35">
      <c r="A147" s="1" t="s">
        <v>114</v>
      </c>
      <c r="B147" s="1">
        <v>47</v>
      </c>
      <c r="C147" s="1">
        <v>30</v>
      </c>
      <c r="D147" s="1">
        <v>17</v>
      </c>
      <c r="E147" s="1">
        <v>32</v>
      </c>
      <c r="F147" s="1">
        <v>91</v>
      </c>
      <c r="G147" s="1">
        <v>27</v>
      </c>
      <c r="H147" s="1">
        <v>181</v>
      </c>
      <c r="I147" s="1">
        <v>15</v>
      </c>
      <c r="J147" s="1">
        <v>82</v>
      </c>
      <c r="K147" s="1">
        <v>42</v>
      </c>
      <c r="L147" s="1">
        <v>51</v>
      </c>
      <c r="M147" s="1">
        <v>47</v>
      </c>
      <c r="N147" s="1">
        <v>34</v>
      </c>
      <c r="O147" s="1">
        <v>32</v>
      </c>
      <c r="P147" s="1">
        <v>129</v>
      </c>
      <c r="Q147" s="1">
        <v>121</v>
      </c>
      <c r="R147" s="1">
        <v>73</v>
      </c>
      <c r="S147" s="1">
        <v>96</v>
      </c>
      <c r="T147" s="1">
        <v>16</v>
      </c>
      <c r="U147" s="1">
        <v>24</v>
      </c>
      <c r="V147" s="1">
        <v>53</v>
      </c>
      <c r="W147" s="1">
        <v>167</v>
      </c>
      <c r="X147" s="1">
        <v>101</v>
      </c>
      <c r="Y147" s="1">
        <v>54</v>
      </c>
      <c r="Z147" s="1">
        <v>107</v>
      </c>
      <c r="AA147" s="1">
        <v>61</v>
      </c>
      <c r="AB147" s="1">
        <v>129</v>
      </c>
      <c r="AC147" s="1">
        <v>77</v>
      </c>
      <c r="AD147" s="1">
        <v>39</v>
      </c>
      <c r="AE147" s="1">
        <v>52</v>
      </c>
      <c r="AF147" s="18">
        <f t="shared" si="2"/>
        <v>67.566666666666663</v>
      </c>
    </row>
    <row r="148" spans="1:32" x14ac:dyDescent="0.35">
      <c r="A148" s="1" t="s">
        <v>115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8">
        <f t="shared" si="2"/>
        <v>0</v>
      </c>
    </row>
    <row r="149" spans="1:32" x14ac:dyDescent="0.35">
      <c r="A149" s="1" t="s">
        <v>190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8">
        <f t="shared" si="2"/>
        <v>0</v>
      </c>
    </row>
    <row r="150" spans="1:32" x14ac:dyDescent="0.35">
      <c r="A150" s="1" t="s">
        <v>116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8">
        <f t="shared" si="2"/>
        <v>0</v>
      </c>
    </row>
    <row r="151" spans="1:32" x14ac:dyDescent="0.35">
      <c r="A151" s="1" t="s">
        <v>197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8">
        <f t="shared" si="2"/>
        <v>0</v>
      </c>
    </row>
    <row r="152" spans="1:32" x14ac:dyDescent="0.35">
      <c r="A152" s="1" t="s">
        <v>117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8">
        <f t="shared" si="2"/>
        <v>0</v>
      </c>
    </row>
    <row r="153" spans="1:32" x14ac:dyDescent="0.35">
      <c r="A153" s="1" t="s">
        <v>198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8">
        <f t="shared" si="2"/>
        <v>0</v>
      </c>
    </row>
    <row r="154" spans="1:32" x14ac:dyDescent="0.35">
      <c r="A154" s="1" t="s">
        <v>118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8">
        <f t="shared" si="2"/>
        <v>0</v>
      </c>
    </row>
    <row r="155" spans="1:32" x14ac:dyDescent="0.35">
      <c r="A155" s="1" t="s">
        <v>119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8">
        <f t="shared" si="2"/>
        <v>0</v>
      </c>
    </row>
    <row r="156" spans="1:32" x14ac:dyDescent="0.35">
      <c r="A156" s="1" t="s">
        <v>191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8">
        <f t="shared" si="2"/>
        <v>0</v>
      </c>
    </row>
    <row r="157" spans="1:32" x14ac:dyDescent="0.35">
      <c r="A157" s="1" t="s">
        <v>120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8">
        <f t="shared" si="2"/>
        <v>0</v>
      </c>
    </row>
    <row r="158" spans="1:32" x14ac:dyDescent="0.35">
      <c r="A158" s="1" t="s">
        <v>121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8">
        <f t="shared" si="2"/>
        <v>0</v>
      </c>
    </row>
    <row r="159" spans="1:32" x14ac:dyDescent="0.35">
      <c r="A159" s="1" t="s">
        <v>141</v>
      </c>
      <c r="B159" s="1">
        <v>59</v>
      </c>
      <c r="C159" s="1">
        <v>13</v>
      </c>
      <c r="D159" s="1">
        <v>263</v>
      </c>
      <c r="E159" s="1">
        <v>34</v>
      </c>
      <c r="F159" s="1">
        <v>101</v>
      </c>
      <c r="G159" s="1">
        <v>167</v>
      </c>
      <c r="H159" s="1">
        <v>48</v>
      </c>
      <c r="I159" s="1">
        <v>31</v>
      </c>
      <c r="J159" s="1">
        <v>23</v>
      </c>
      <c r="K159" s="1">
        <v>195</v>
      </c>
      <c r="L159" s="1">
        <v>14</v>
      </c>
      <c r="M159" s="1">
        <v>159</v>
      </c>
      <c r="N159" s="1">
        <v>15</v>
      </c>
      <c r="O159" s="1">
        <v>89</v>
      </c>
      <c r="P159" s="1">
        <v>18</v>
      </c>
      <c r="Q159" s="1">
        <v>69</v>
      </c>
      <c r="R159" s="1">
        <v>112</v>
      </c>
      <c r="S159" s="1">
        <v>31</v>
      </c>
      <c r="T159" s="1">
        <v>90</v>
      </c>
      <c r="U159" s="1">
        <v>65</v>
      </c>
      <c r="V159" s="1">
        <v>18</v>
      </c>
      <c r="W159" s="1">
        <v>119</v>
      </c>
      <c r="X159" s="1">
        <v>95</v>
      </c>
      <c r="Y159" s="1">
        <v>15</v>
      </c>
      <c r="Z159" s="1">
        <v>148</v>
      </c>
      <c r="AA159" s="1">
        <v>29</v>
      </c>
      <c r="AB159" s="1">
        <v>49</v>
      </c>
      <c r="AC159" s="1">
        <v>129</v>
      </c>
      <c r="AD159" s="1">
        <v>208</v>
      </c>
      <c r="AE159" s="1">
        <v>37</v>
      </c>
      <c r="AF159" s="18">
        <f t="shared" si="2"/>
        <v>81.433333333333337</v>
      </c>
    </row>
    <row r="160" spans="1:32" x14ac:dyDescent="0.35">
      <c r="A160" s="1" t="s">
        <v>122</v>
      </c>
      <c r="B160" s="1">
        <v>132</v>
      </c>
      <c r="C160" s="1">
        <v>51</v>
      </c>
      <c r="D160" s="1">
        <v>246</v>
      </c>
      <c r="E160" s="1">
        <v>74</v>
      </c>
      <c r="F160" s="1">
        <v>19</v>
      </c>
      <c r="G160" s="1">
        <v>41</v>
      </c>
      <c r="H160" s="1">
        <v>31</v>
      </c>
      <c r="I160" s="1">
        <v>89</v>
      </c>
      <c r="J160" s="1">
        <v>45</v>
      </c>
      <c r="K160" s="1">
        <v>71</v>
      </c>
      <c r="L160" s="1">
        <v>75</v>
      </c>
      <c r="M160" s="1">
        <v>29</v>
      </c>
      <c r="N160" s="1">
        <v>25</v>
      </c>
      <c r="O160" s="1">
        <v>31</v>
      </c>
      <c r="P160" s="1">
        <v>74</v>
      </c>
      <c r="Q160" s="1">
        <v>340</v>
      </c>
      <c r="R160" s="1">
        <v>54</v>
      </c>
      <c r="S160" s="1">
        <v>48</v>
      </c>
      <c r="T160" s="1">
        <v>58</v>
      </c>
      <c r="U160" s="1">
        <v>19</v>
      </c>
      <c r="V160" s="1">
        <v>14</v>
      </c>
      <c r="W160" s="1">
        <v>117</v>
      </c>
      <c r="X160" s="1">
        <v>54</v>
      </c>
      <c r="Y160" s="1">
        <v>13</v>
      </c>
      <c r="Z160" s="1">
        <v>27</v>
      </c>
      <c r="AA160" s="1">
        <v>111</v>
      </c>
      <c r="AB160" s="1">
        <v>57</v>
      </c>
      <c r="AC160" s="1">
        <v>15</v>
      </c>
      <c r="AD160" s="1">
        <v>171</v>
      </c>
      <c r="AE160" s="1">
        <v>60</v>
      </c>
      <c r="AF160" s="18">
        <f t="shared" si="2"/>
        <v>73.033333333333331</v>
      </c>
    </row>
    <row r="161" spans="1:32" x14ac:dyDescent="0.35">
      <c r="A161" s="1" t="s">
        <v>165</v>
      </c>
      <c r="B161" s="1">
        <v>15</v>
      </c>
      <c r="C161" s="1">
        <v>64</v>
      </c>
      <c r="D161" s="1">
        <v>86</v>
      </c>
      <c r="E161" s="1">
        <v>262</v>
      </c>
      <c r="F161" s="1">
        <v>83</v>
      </c>
      <c r="G161" s="1">
        <v>49</v>
      </c>
      <c r="H161" s="1">
        <v>33</v>
      </c>
      <c r="I161" s="1">
        <v>74</v>
      </c>
      <c r="J161" s="1">
        <v>14</v>
      </c>
      <c r="K161" s="1">
        <v>95</v>
      </c>
      <c r="L161" s="1">
        <v>375</v>
      </c>
      <c r="M161" s="1">
        <v>44</v>
      </c>
      <c r="N161" s="1">
        <v>16</v>
      </c>
      <c r="O161" s="1">
        <v>20</v>
      </c>
      <c r="P161" s="1">
        <v>59</v>
      </c>
      <c r="Q161" s="1">
        <v>131</v>
      </c>
      <c r="R161" s="1">
        <v>64</v>
      </c>
      <c r="S161" s="1">
        <v>73</v>
      </c>
      <c r="T161" s="1">
        <v>157</v>
      </c>
      <c r="U161" s="1">
        <v>51</v>
      </c>
      <c r="V161" s="1">
        <v>16</v>
      </c>
      <c r="W161" s="1">
        <v>62</v>
      </c>
      <c r="X161" s="1">
        <v>15</v>
      </c>
      <c r="Y161" s="1">
        <v>25</v>
      </c>
      <c r="Z161" s="1">
        <v>52</v>
      </c>
      <c r="AA161" s="1">
        <v>61</v>
      </c>
      <c r="AB161" s="1">
        <v>215</v>
      </c>
      <c r="AC161" s="1">
        <v>37</v>
      </c>
      <c r="AD161" s="1">
        <v>73</v>
      </c>
      <c r="AE161" s="1">
        <v>48</v>
      </c>
      <c r="AF161" s="18">
        <f t="shared" si="2"/>
        <v>78.966666666666669</v>
      </c>
    </row>
    <row r="162" spans="1:32" x14ac:dyDescent="0.35">
      <c r="A162" s="1" t="s">
        <v>123</v>
      </c>
      <c r="B162" s="1">
        <v>27</v>
      </c>
      <c r="C162" s="1">
        <v>18</v>
      </c>
      <c r="D162" s="1">
        <v>81</v>
      </c>
      <c r="E162" s="1">
        <v>50</v>
      </c>
      <c r="F162" s="1">
        <v>87</v>
      </c>
      <c r="G162" s="1">
        <v>155</v>
      </c>
      <c r="H162" s="1">
        <v>50</v>
      </c>
      <c r="I162" s="1">
        <v>132</v>
      </c>
      <c r="J162" s="1">
        <v>50</v>
      </c>
      <c r="K162" s="1">
        <v>14</v>
      </c>
      <c r="L162" s="1">
        <v>48</v>
      </c>
      <c r="M162" s="1">
        <v>43</v>
      </c>
      <c r="N162" s="1">
        <v>97</v>
      </c>
      <c r="O162" s="1">
        <v>65</v>
      </c>
      <c r="P162" s="1">
        <v>15</v>
      </c>
      <c r="Q162" s="1">
        <v>115</v>
      </c>
      <c r="R162" s="1">
        <v>106</v>
      </c>
      <c r="S162" s="1">
        <v>20</v>
      </c>
      <c r="T162" s="1">
        <v>28</v>
      </c>
      <c r="U162" s="1">
        <v>44</v>
      </c>
      <c r="V162" s="1">
        <v>54</v>
      </c>
      <c r="W162" s="1">
        <v>22</v>
      </c>
      <c r="X162" s="1">
        <v>76</v>
      </c>
      <c r="Y162" s="1">
        <v>31</v>
      </c>
      <c r="Z162" s="1">
        <v>151</v>
      </c>
      <c r="AA162" s="1">
        <v>49</v>
      </c>
      <c r="AB162" s="1">
        <v>42</v>
      </c>
      <c r="AC162" s="1">
        <v>15</v>
      </c>
      <c r="AD162" s="1">
        <v>34</v>
      </c>
      <c r="AE162" s="1">
        <v>84</v>
      </c>
      <c r="AF162" s="18">
        <f t="shared" si="2"/>
        <v>60.1</v>
      </c>
    </row>
    <row r="163" spans="1:32" x14ac:dyDescent="0.35">
      <c r="A163" s="1" t="s">
        <v>124</v>
      </c>
      <c r="B163" s="1">
        <v>92</v>
      </c>
      <c r="C163" s="1">
        <v>25</v>
      </c>
      <c r="D163" s="1">
        <v>36</v>
      </c>
      <c r="E163" s="1">
        <v>198</v>
      </c>
      <c r="F163" s="1">
        <v>44</v>
      </c>
      <c r="G163" s="1">
        <v>33</v>
      </c>
      <c r="H163" s="1">
        <v>147</v>
      </c>
      <c r="I163" s="1">
        <v>44</v>
      </c>
      <c r="J163" s="1">
        <v>34</v>
      </c>
      <c r="K163" s="1">
        <v>19</v>
      </c>
      <c r="L163" s="1">
        <v>56</v>
      </c>
      <c r="M163" s="1">
        <v>13</v>
      </c>
      <c r="N163" s="1">
        <v>31</v>
      </c>
      <c r="O163" s="1">
        <v>34</v>
      </c>
      <c r="P163" s="1">
        <v>13</v>
      </c>
      <c r="Q163" s="1">
        <v>19</v>
      </c>
      <c r="R163" s="1">
        <v>25</v>
      </c>
      <c r="S163" s="1">
        <v>32</v>
      </c>
      <c r="T163" s="1">
        <v>46</v>
      </c>
      <c r="U163" s="1">
        <v>28</v>
      </c>
      <c r="V163" s="1">
        <v>105</v>
      </c>
      <c r="W163" s="1">
        <v>36</v>
      </c>
      <c r="X163" s="1">
        <v>29</v>
      </c>
      <c r="Y163" s="1">
        <v>20</v>
      </c>
      <c r="Z163" s="1">
        <v>52</v>
      </c>
      <c r="AA163" s="1">
        <v>51</v>
      </c>
      <c r="AB163" s="1">
        <v>32</v>
      </c>
      <c r="AC163" s="1">
        <v>23</v>
      </c>
      <c r="AD163" s="1">
        <v>59</v>
      </c>
      <c r="AE163" s="1">
        <v>42</v>
      </c>
      <c r="AF163" s="18">
        <f t="shared" si="2"/>
        <v>47.266666666666666</v>
      </c>
    </row>
    <row r="164" spans="1:32" x14ac:dyDescent="0.35">
      <c r="A164" s="1" t="s">
        <v>125</v>
      </c>
      <c r="B164" s="1">
        <v>47</v>
      </c>
      <c r="C164" s="1">
        <v>25</v>
      </c>
      <c r="D164" s="1">
        <v>72</v>
      </c>
      <c r="E164" s="1">
        <v>20</v>
      </c>
      <c r="F164" s="1">
        <v>49</v>
      </c>
      <c r="G164" s="1">
        <v>73</v>
      </c>
      <c r="H164" s="1">
        <v>46</v>
      </c>
      <c r="I164" s="1">
        <v>21</v>
      </c>
      <c r="J164" s="1">
        <v>86</v>
      </c>
      <c r="K164" s="1">
        <v>67</v>
      </c>
      <c r="L164" s="1">
        <v>22</v>
      </c>
      <c r="M164" s="1">
        <v>20</v>
      </c>
      <c r="N164" s="1">
        <v>18</v>
      </c>
      <c r="O164" s="1">
        <v>21</v>
      </c>
      <c r="P164" s="1">
        <v>179</v>
      </c>
      <c r="Q164" s="1">
        <v>29</v>
      </c>
      <c r="R164" s="1">
        <v>69</v>
      </c>
      <c r="S164" s="1">
        <v>30</v>
      </c>
      <c r="T164" s="1">
        <v>13</v>
      </c>
      <c r="U164" s="1">
        <v>155</v>
      </c>
      <c r="V164" s="1">
        <v>26</v>
      </c>
      <c r="W164" s="1">
        <v>24</v>
      </c>
      <c r="X164" s="1">
        <v>36</v>
      </c>
      <c r="Y164" s="1">
        <v>30</v>
      </c>
      <c r="Z164" s="1">
        <v>107</v>
      </c>
      <c r="AA164" s="1">
        <v>67</v>
      </c>
      <c r="AB164" s="1">
        <v>20</v>
      </c>
      <c r="AC164" s="1">
        <v>47</v>
      </c>
      <c r="AD164" s="1">
        <v>15</v>
      </c>
      <c r="AE164" s="1">
        <v>72</v>
      </c>
      <c r="AF164" s="18">
        <f t="shared" si="2"/>
        <v>50.2</v>
      </c>
    </row>
    <row r="165" spans="1:32" x14ac:dyDescent="0.35">
      <c r="A165" s="1" t="s">
        <v>126</v>
      </c>
      <c r="B165" s="1">
        <v>25</v>
      </c>
      <c r="C165" s="1">
        <v>54</v>
      </c>
      <c r="D165" s="1">
        <v>28</v>
      </c>
      <c r="E165" s="1">
        <v>16</v>
      </c>
      <c r="F165" s="1">
        <v>115</v>
      </c>
      <c r="G165" s="1">
        <v>85</v>
      </c>
      <c r="H165" s="1">
        <v>97</v>
      </c>
      <c r="I165" s="1">
        <v>20</v>
      </c>
      <c r="J165" s="1">
        <v>17</v>
      </c>
      <c r="K165" s="1">
        <v>157</v>
      </c>
      <c r="L165" s="1">
        <v>101</v>
      </c>
      <c r="M165" s="1">
        <v>30</v>
      </c>
      <c r="N165" s="1">
        <v>17</v>
      </c>
      <c r="O165" s="1">
        <v>130</v>
      </c>
      <c r="P165" s="1">
        <v>56</v>
      </c>
      <c r="Q165" s="1">
        <v>82</v>
      </c>
      <c r="R165" s="1">
        <v>68</v>
      </c>
      <c r="S165" s="1">
        <v>62</v>
      </c>
      <c r="T165" s="1">
        <v>53</v>
      </c>
      <c r="U165" s="1">
        <v>40</v>
      </c>
      <c r="V165" s="1">
        <v>22</v>
      </c>
      <c r="W165" s="1">
        <v>20</v>
      </c>
      <c r="X165" s="1">
        <v>27</v>
      </c>
      <c r="Y165" s="1">
        <v>43</v>
      </c>
      <c r="Z165" s="1">
        <v>15</v>
      </c>
      <c r="AA165" s="1">
        <v>89</v>
      </c>
      <c r="AB165" s="1">
        <v>35</v>
      </c>
      <c r="AC165" s="1">
        <v>13</v>
      </c>
      <c r="AD165" s="1">
        <v>62</v>
      </c>
      <c r="AE165" s="1">
        <v>70</v>
      </c>
      <c r="AF165" s="18">
        <f t="shared" si="2"/>
        <v>54.966666666666669</v>
      </c>
    </row>
    <row r="166" spans="1:32" x14ac:dyDescent="0.35">
      <c r="A166" s="1" t="s">
        <v>127</v>
      </c>
      <c r="B166" s="1">
        <v>33</v>
      </c>
      <c r="C166" s="1">
        <v>35</v>
      </c>
      <c r="D166" s="1">
        <v>17</v>
      </c>
      <c r="E166" s="1">
        <v>18</v>
      </c>
      <c r="F166" s="1">
        <v>71</v>
      </c>
      <c r="G166" s="1">
        <v>43</v>
      </c>
      <c r="H166" s="1">
        <v>18</v>
      </c>
      <c r="I166" s="1">
        <v>70</v>
      </c>
      <c r="J166" s="1">
        <v>252</v>
      </c>
      <c r="K166" s="1">
        <v>26</v>
      </c>
      <c r="L166" s="1">
        <v>13</v>
      </c>
      <c r="M166" s="1">
        <v>17</v>
      </c>
      <c r="N166" s="1">
        <v>42</v>
      </c>
      <c r="O166" s="1">
        <v>130</v>
      </c>
      <c r="P166" s="1">
        <v>17</v>
      </c>
      <c r="Q166" s="1">
        <v>139</v>
      </c>
      <c r="R166" s="1">
        <v>35</v>
      </c>
      <c r="S166" s="1">
        <v>141</v>
      </c>
      <c r="T166" s="1">
        <v>92</v>
      </c>
      <c r="U166" s="1">
        <v>90</v>
      </c>
      <c r="V166" s="1">
        <v>43</v>
      </c>
      <c r="W166" s="1">
        <v>22</v>
      </c>
      <c r="X166" s="1">
        <v>16</v>
      </c>
      <c r="Y166" s="1">
        <v>14</v>
      </c>
      <c r="Z166" s="1">
        <v>26</v>
      </c>
      <c r="AA166" s="1">
        <v>31</v>
      </c>
      <c r="AB166" s="1">
        <v>28</v>
      </c>
      <c r="AC166" s="1">
        <v>37</v>
      </c>
      <c r="AD166" s="1">
        <v>38</v>
      </c>
      <c r="AE166" s="1">
        <v>129</v>
      </c>
      <c r="AF166" s="18">
        <f t="shared" si="2"/>
        <v>56.1</v>
      </c>
    </row>
    <row r="167" spans="1:32" x14ac:dyDescent="0.35">
      <c r="A167" s="1" t="s">
        <v>128</v>
      </c>
      <c r="B167" s="1">
        <v>61</v>
      </c>
      <c r="C167" s="1">
        <v>37</v>
      </c>
      <c r="D167" s="1">
        <v>116</v>
      </c>
      <c r="E167" s="1">
        <v>173</v>
      </c>
      <c r="F167" s="1">
        <v>24</v>
      </c>
      <c r="G167" s="1">
        <v>180</v>
      </c>
      <c r="H167" s="1">
        <v>51</v>
      </c>
      <c r="I167" s="1">
        <v>26</v>
      </c>
      <c r="J167" s="1">
        <v>21</v>
      </c>
      <c r="K167" s="1">
        <v>69</v>
      </c>
      <c r="L167" s="1">
        <v>19</v>
      </c>
      <c r="M167" s="1">
        <v>35</v>
      </c>
      <c r="N167" s="1">
        <v>40</v>
      </c>
      <c r="O167" s="1">
        <v>20</v>
      </c>
      <c r="P167" s="1">
        <v>24</v>
      </c>
      <c r="Q167" s="1">
        <v>22</v>
      </c>
      <c r="R167" s="1">
        <v>13</v>
      </c>
      <c r="S167" s="1">
        <v>69</v>
      </c>
      <c r="T167" s="1">
        <v>91</v>
      </c>
      <c r="U167" s="1">
        <v>22</v>
      </c>
      <c r="V167" s="1">
        <v>15</v>
      </c>
      <c r="W167" s="1">
        <v>92</v>
      </c>
      <c r="X167" s="1">
        <v>125</v>
      </c>
      <c r="Y167" s="1">
        <v>21</v>
      </c>
      <c r="Z167" s="1">
        <v>33</v>
      </c>
      <c r="AA167" s="1">
        <v>209</v>
      </c>
      <c r="AB167" s="1">
        <v>127</v>
      </c>
      <c r="AC167" s="1">
        <v>19</v>
      </c>
      <c r="AD167" s="1">
        <v>61</v>
      </c>
      <c r="AE167" s="1">
        <v>76</v>
      </c>
      <c r="AF167" s="18">
        <f t="shared" si="2"/>
        <v>63.033333333333331</v>
      </c>
    </row>
    <row r="168" spans="1:32" x14ac:dyDescent="0.35">
      <c r="A168" s="1" t="s">
        <v>156</v>
      </c>
      <c r="B168" s="1">
        <v>29</v>
      </c>
      <c r="C168" s="1">
        <v>12</v>
      </c>
      <c r="D168" s="1">
        <v>17</v>
      </c>
      <c r="E168" s="1">
        <v>14</v>
      </c>
      <c r="F168" s="1">
        <v>15</v>
      </c>
      <c r="G168" s="1">
        <v>71</v>
      </c>
      <c r="H168" s="1">
        <v>45</v>
      </c>
      <c r="I168" s="1">
        <v>13</v>
      </c>
      <c r="J168" s="1">
        <v>12</v>
      </c>
      <c r="K168" s="1">
        <v>24</v>
      </c>
      <c r="L168" s="1">
        <v>33</v>
      </c>
      <c r="M168" s="1">
        <v>24</v>
      </c>
      <c r="N168" s="1">
        <v>36</v>
      </c>
      <c r="O168" s="1">
        <v>64</v>
      </c>
      <c r="P168" s="1">
        <v>58</v>
      </c>
      <c r="Q168" s="1">
        <v>34</v>
      </c>
      <c r="R168" s="1">
        <v>94</v>
      </c>
      <c r="S168" s="1">
        <v>72</v>
      </c>
      <c r="T168" s="1">
        <v>62</v>
      </c>
      <c r="U168" s="1">
        <v>18</v>
      </c>
      <c r="V168" s="1">
        <v>37</v>
      </c>
      <c r="W168" s="1">
        <v>25</v>
      </c>
      <c r="X168" s="1">
        <v>13</v>
      </c>
      <c r="Y168" s="1">
        <v>31</v>
      </c>
      <c r="Z168" s="1">
        <v>16</v>
      </c>
      <c r="AA168" s="1">
        <v>39</v>
      </c>
      <c r="AB168" s="1">
        <v>18</v>
      </c>
      <c r="AC168" s="1">
        <v>13</v>
      </c>
      <c r="AD168" s="1">
        <v>52</v>
      </c>
      <c r="AE168" s="1">
        <v>42</v>
      </c>
      <c r="AF168" s="18">
        <f t="shared" si="2"/>
        <v>34.43333333333333</v>
      </c>
    </row>
    <row r="169" spans="1:32" x14ac:dyDescent="0.35">
      <c r="A169" s="1" t="s">
        <v>129</v>
      </c>
      <c r="B169" s="1">
        <v>113</v>
      </c>
      <c r="C169" s="1">
        <v>56</v>
      </c>
      <c r="D169" s="1">
        <v>92</v>
      </c>
      <c r="E169" s="1">
        <v>53</v>
      </c>
      <c r="F169" s="1">
        <v>28</v>
      </c>
      <c r="G169" s="1">
        <v>40</v>
      </c>
      <c r="H169" s="1">
        <v>113</v>
      </c>
      <c r="I169" s="1">
        <v>110</v>
      </c>
      <c r="J169" s="1">
        <v>131</v>
      </c>
      <c r="K169" s="1">
        <v>39</v>
      </c>
      <c r="L169" s="1">
        <v>21</v>
      </c>
      <c r="M169" s="1">
        <v>182</v>
      </c>
      <c r="N169" s="1">
        <v>12</v>
      </c>
      <c r="O169" s="1">
        <v>33</v>
      </c>
      <c r="P169" s="1">
        <v>37</v>
      </c>
      <c r="Q169" s="1">
        <v>55</v>
      </c>
      <c r="R169" s="1">
        <v>14</v>
      </c>
      <c r="S169" s="1">
        <v>19</v>
      </c>
      <c r="T169" s="1">
        <v>29</v>
      </c>
      <c r="U169" s="1">
        <v>57</v>
      </c>
      <c r="V169" s="1">
        <v>23</v>
      </c>
      <c r="W169" s="1">
        <v>19</v>
      </c>
      <c r="X169" s="1">
        <v>44</v>
      </c>
      <c r="Y169" s="1">
        <v>87</v>
      </c>
      <c r="Z169" s="1">
        <v>51</v>
      </c>
      <c r="AA169" s="1">
        <v>148</v>
      </c>
      <c r="AB169" s="1">
        <v>45</v>
      </c>
      <c r="AC169" s="1">
        <v>98</v>
      </c>
      <c r="AD169" s="1">
        <v>23</v>
      </c>
      <c r="AE169" s="1">
        <v>33</v>
      </c>
      <c r="AF169" s="18">
        <f t="shared" si="2"/>
        <v>60.166666666666664</v>
      </c>
    </row>
    <row r="170" spans="1:32" x14ac:dyDescent="0.35">
      <c r="A170" s="1" t="s">
        <v>130</v>
      </c>
      <c r="B170" s="1">
        <v>164</v>
      </c>
      <c r="C170" s="1">
        <v>62</v>
      </c>
      <c r="D170" s="1">
        <v>23</v>
      </c>
      <c r="E170" s="1">
        <v>72</v>
      </c>
      <c r="F170" s="1">
        <v>88</v>
      </c>
      <c r="G170" s="1">
        <v>356</v>
      </c>
      <c r="H170" s="1">
        <v>114</v>
      </c>
      <c r="I170" s="1">
        <v>122</v>
      </c>
      <c r="J170" s="1">
        <v>39</v>
      </c>
      <c r="K170" s="1">
        <v>78</v>
      </c>
      <c r="L170" s="1">
        <v>97</v>
      </c>
      <c r="M170" s="1">
        <v>173</v>
      </c>
      <c r="N170" s="1">
        <v>24</v>
      </c>
      <c r="O170" s="1">
        <v>54</v>
      </c>
      <c r="P170" s="1">
        <v>160</v>
      </c>
      <c r="Q170" s="1">
        <v>27</v>
      </c>
      <c r="R170" s="1">
        <v>53</v>
      </c>
      <c r="S170" s="1">
        <v>78</v>
      </c>
      <c r="T170" s="1">
        <v>74</v>
      </c>
      <c r="U170" s="1">
        <v>61</v>
      </c>
      <c r="V170" s="1">
        <v>89</v>
      </c>
      <c r="W170" s="1">
        <v>20</v>
      </c>
      <c r="X170" s="1">
        <v>85</v>
      </c>
      <c r="Y170" s="1">
        <v>113</v>
      </c>
      <c r="Z170" s="1">
        <v>31</v>
      </c>
      <c r="AA170" s="1">
        <v>61</v>
      </c>
      <c r="AB170" s="1">
        <v>23</v>
      </c>
      <c r="AC170" s="1">
        <v>45</v>
      </c>
      <c r="AD170" s="1">
        <v>14</v>
      </c>
      <c r="AE170" s="1">
        <v>36</v>
      </c>
      <c r="AF170" s="18">
        <f t="shared" si="2"/>
        <v>81.2</v>
      </c>
    </row>
    <row r="171" spans="1:32" x14ac:dyDescent="0.35">
      <c r="A171" s="1" t="s">
        <v>192</v>
      </c>
      <c r="B171" s="1">
        <v>189</v>
      </c>
      <c r="C171" s="1">
        <v>21</v>
      </c>
      <c r="D171" s="1">
        <v>25</v>
      </c>
      <c r="E171" s="1">
        <v>29</v>
      </c>
      <c r="F171" s="1">
        <v>53</v>
      </c>
      <c r="G171" s="1">
        <v>211</v>
      </c>
      <c r="H171" s="1">
        <v>15</v>
      </c>
      <c r="I171" s="1">
        <v>39</v>
      </c>
      <c r="J171" s="1">
        <v>64</v>
      </c>
      <c r="K171" s="1">
        <v>37</v>
      </c>
      <c r="L171" s="1">
        <v>31</v>
      </c>
      <c r="M171" s="1">
        <v>71</v>
      </c>
      <c r="N171" s="1">
        <v>44</v>
      </c>
      <c r="O171" s="1">
        <v>19</v>
      </c>
      <c r="P171" s="1">
        <v>180</v>
      </c>
      <c r="Q171" s="1">
        <v>44</v>
      </c>
      <c r="R171" s="1">
        <v>48</v>
      </c>
      <c r="S171" s="1">
        <v>39</v>
      </c>
      <c r="T171" s="1">
        <v>49</v>
      </c>
      <c r="U171" s="1">
        <v>47</v>
      </c>
      <c r="V171" s="1">
        <v>32</v>
      </c>
      <c r="W171" s="1">
        <v>19</v>
      </c>
      <c r="X171" s="1">
        <v>37</v>
      </c>
      <c r="Y171" s="1">
        <v>29</v>
      </c>
      <c r="Z171" s="1">
        <v>61</v>
      </c>
      <c r="AA171" s="1">
        <v>24</v>
      </c>
      <c r="AB171" s="1">
        <v>15</v>
      </c>
      <c r="AC171" s="1">
        <v>32</v>
      </c>
      <c r="AD171" s="1">
        <v>72</v>
      </c>
      <c r="AE171" s="1">
        <v>50</v>
      </c>
      <c r="AF171" s="18">
        <f t="shared" si="2"/>
        <v>54.2</v>
      </c>
    </row>
    <row r="172" spans="1:32" x14ac:dyDescent="0.35">
      <c r="A172" s="1" t="s">
        <v>131</v>
      </c>
      <c r="B172" s="1">
        <v>18</v>
      </c>
      <c r="C172" s="1">
        <v>13</v>
      </c>
      <c r="D172" s="1">
        <v>67</v>
      </c>
      <c r="E172" s="1">
        <v>62</v>
      </c>
      <c r="F172" s="1">
        <v>79</v>
      </c>
      <c r="G172" s="1">
        <v>128</v>
      </c>
      <c r="H172" s="1">
        <v>52</v>
      </c>
      <c r="I172" s="1">
        <v>43</v>
      </c>
      <c r="J172" s="1">
        <v>16</v>
      </c>
      <c r="K172" s="1">
        <v>28</v>
      </c>
      <c r="L172" s="1">
        <v>123</v>
      </c>
      <c r="M172" s="1">
        <v>246</v>
      </c>
      <c r="N172" s="1">
        <v>120</v>
      </c>
      <c r="O172" s="1">
        <v>25</v>
      </c>
      <c r="P172" s="1">
        <v>29</v>
      </c>
      <c r="Q172" s="1">
        <v>37</v>
      </c>
      <c r="R172" s="1">
        <v>131</v>
      </c>
      <c r="S172" s="1">
        <v>26</v>
      </c>
      <c r="T172" s="1">
        <v>43</v>
      </c>
      <c r="U172" s="1">
        <v>41</v>
      </c>
      <c r="V172" s="1">
        <v>29</v>
      </c>
      <c r="W172" s="1">
        <v>44</v>
      </c>
      <c r="X172" s="1">
        <v>35</v>
      </c>
      <c r="Y172" s="1">
        <v>26</v>
      </c>
      <c r="Z172" s="1">
        <v>74</v>
      </c>
      <c r="AA172" s="1">
        <v>93</v>
      </c>
      <c r="AB172" s="1">
        <v>80</v>
      </c>
      <c r="AC172" s="1">
        <v>199</v>
      </c>
      <c r="AD172" s="1">
        <v>99</v>
      </c>
      <c r="AE172" s="1">
        <v>76</v>
      </c>
      <c r="AF172" s="18">
        <f t="shared" si="2"/>
        <v>69.400000000000006</v>
      </c>
    </row>
    <row r="173" spans="1:32" x14ac:dyDescent="0.35">
      <c r="A173" s="1" t="s">
        <v>132</v>
      </c>
      <c r="B173" s="1">
        <v>23</v>
      </c>
      <c r="C173" s="1">
        <v>95</v>
      </c>
      <c r="D173" s="1">
        <v>14</v>
      </c>
      <c r="E173" s="1">
        <v>12</v>
      </c>
      <c r="F173" s="1">
        <v>25</v>
      </c>
      <c r="G173" s="1">
        <v>37</v>
      </c>
      <c r="H173" s="1">
        <v>23</v>
      </c>
      <c r="I173" s="1">
        <v>42</v>
      </c>
      <c r="J173" s="1">
        <v>34</v>
      </c>
      <c r="K173" s="1">
        <v>38</v>
      </c>
      <c r="L173" s="1">
        <v>22</v>
      </c>
      <c r="M173" s="1">
        <v>42</v>
      </c>
      <c r="N173" s="1">
        <v>67</v>
      </c>
      <c r="O173" s="1">
        <v>30</v>
      </c>
      <c r="P173" s="1">
        <v>30</v>
      </c>
      <c r="Q173" s="1">
        <v>20</v>
      </c>
      <c r="R173" s="1">
        <v>35</v>
      </c>
      <c r="S173" s="1">
        <v>23</v>
      </c>
      <c r="T173" s="1">
        <v>35</v>
      </c>
      <c r="U173" s="1">
        <v>23</v>
      </c>
      <c r="V173" s="1">
        <v>17</v>
      </c>
      <c r="W173" s="1">
        <v>49</v>
      </c>
      <c r="X173" s="1">
        <v>79</v>
      </c>
      <c r="Y173" s="1">
        <v>41</v>
      </c>
      <c r="Z173" s="1">
        <v>65</v>
      </c>
      <c r="AA173" s="1">
        <v>60</v>
      </c>
      <c r="AB173" s="1">
        <v>15</v>
      </c>
      <c r="AC173" s="1">
        <v>14</v>
      </c>
      <c r="AD173" s="1">
        <v>21</v>
      </c>
      <c r="AE173" s="1">
        <v>59</v>
      </c>
      <c r="AF173" s="18">
        <f t="shared" si="2"/>
        <v>36.333333333333336</v>
      </c>
    </row>
    <row r="174" spans="1:32" x14ac:dyDescent="0.35">
      <c r="A174" s="1" t="s">
        <v>133</v>
      </c>
      <c r="B174" s="1">
        <v>62</v>
      </c>
      <c r="C174" s="1">
        <v>44</v>
      </c>
      <c r="D174" s="1">
        <v>35</v>
      </c>
      <c r="E174" s="1">
        <v>172</v>
      </c>
      <c r="F174" s="1">
        <v>23</v>
      </c>
      <c r="G174" s="1">
        <v>14</v>
      </c>
      <c r="H174" s="1">
        <v>115</v>
      </c>
      <c r="I174" s="1">
        <v>46</v>
      </c>
      <c r="J174" s="1">
        <v>103</v>
      </c>
      <c r="K174" s="1">
        <v>37</v>
      </c>
      <c r="L174" s="1">
        <v>106</v>
      </c>
      <c r="M174" s="1">
        <v>22</v>
      </c>
      <c r="N174" s="1">
        <v>180</v>
      </c>
      <c r="O174" s="1">
        <v>33</v>
      </c>
      <c r="P174" s="1">
        <v>18</v>
      </c>
      <c r="Q174" s="1">
        <v>124</v>
      </c>
      <c r="R174" s="1">
        <v>50</v>
      </c>
      <c r="S174" s="1">
        <v>30</v>
      </c>
      <c r="T174" s="1">
        <v>26</v>
      </c>
      <c r="U174" s="1">
        <v>20</v>
      </c>
      <c r="V174" s="1">
        <v>72</v>
      </c>
      <c r="W174" s="1">
        <v>37</v>
      </c>
      <c r="X174" s="1">
        <v>151</v>
      </c>
      <c r="Y174" s="1">
        <v>67</v>
      </c>
      <c r="Z174" s="1">
        <v>23</v>
      </c>
      <c r="AA174" s="1">
        <v>16</v>
      </c>
      <c r="AB174" s="1">
        <v>95</v>
      </c>
      <c r="AC174" s="1">
        <v>27</v>
      </c>
      <c r="AD174" s="1">
        <v>38</v>
      </c>
      <c r="AE174" s="1">
        <v>16</v>
      </c>
      <c r="AF174" s="18">
        <f t="shared" si="2"/>
        <v>60.06666666666667</v>
      </c>
    </row>
    <row r="175" spans="1:32" x14ac:dyDescent="0.35">
      <c r="A175" s="1" t="s">
        <v>134</v>
      </c>
      <c r="B175" s="1">
        <v>12</v>
      </c>
      <c r="C175" s="1">
        <v>14</v>
      </c>
      <c r="D175" s="1">
        <v>36</v>
      </c>
      <c r="E175" s="1">
        <v>17</v>
      </c>
      <c r="F175" s="1">
        <v>72</v>
      </c>
      <c r="G175" s="1">
        <v>21</v>
      </c>
      <c r="H175" s="1">
        <v>49</v>
      </c>
      <c r="I175" s="1">
        <v>30</v>
      </c>
      <c r="J175" s="1">
        <v>30</v>
      </c>
      <c r="K175" s="1">
        <v>35</v>
      </c>
      <c r="L175" s="1">
        <v>34</v>
      </c>
      <c r="M175" s="1">
        <v>27</v>
      </c>
      <c r="N175" s="1">
        <v>15</v>
      </c>
      <c r="O175" s="1">
        <v>32</v>
      </c>
      <c r="P175" s="1">
        <v>42</v>
      </c>
      <c r="Q175" s="1">
        <v>31</v>
      </c>
      <c r="R175" s="1">
        <v>18</v>
      </c>
      <c r="S175" s="1">
        <v>14</v>
      </c>
      <c r="T175" s="1">
        <v>16</v>
      </c>
      <c r="U175" s="1">
        <v>18</v>
      </c>
      <c r="V175" s="1">
        <v>36</v>
      </c>
      <c r="W175" s="1">
        <v>114</v>
      </c>
      <c r="X175" s="1">
        <v>19</v>
      </c>
      <c r="Y175" s="1">
        <v>31</v>
      </c>
      <c r="Z175" s="1">
        <v>19</v>
      </c>
      <c r="AA175" s="1">
        <v>24</v>
      </c>
      <c r="AB175" s="1">
        <v>64</v>
      </c>
      <c r="AC175" s="1">
        <v>23</v>
      </c>
      <c r="AD175" s="1">
        <v>33</v>
      </c>
      <c r="AE175" s="1">
        <v>35</v>
      </c>
      <c r="AF175" s="18">
        <f t="shared" si="2"/>
        <v>32.033333333333331</v>
      </c>
    </row>
    <row r="176" spans="1:32" x14ac:dyDescent="0.35">
      <c r="A176" s="1" t="s">
        <v>135</v>
      </c>
      <c r="B176" s="1">
        <v>73</v>
      </c>
      <c r="C176" s="1">
        <v>74</v>
      </c>
      <c r="D176" s="1">
        <v>28</v>
      </c>
      <c r="E176" s="1">
        <v>60</v>
      </c>
      <c r="F176" s="1">
        <v>22</v>
      </c>
      <c r="G176" s="1">
        <v>40</v>
      </c>
      <c r="H176" s="1">
        <v>84</v>
      </c>
      <c r="I176" s="1">
        <v>89</v>
      </c>
      <c r="J176" s="1">
        <v>89</v>
      </c>
      <c r="K176" s="1">
        <v>40</v>
      </c>
      <c r="L176" s="1">
        <v>49</v>
      </c>
      <c r="M176" s="1">
        <v>23</v>
      </c>
      <c r="N176" s="1">
        <v>162</v>
      </c>
      <c r="O176" s="1">
        <v>40</v>
      </c>
      <c r="P176" s="1">
        <v>12</v>
      </c>
      <c r="Q176" s="1">
        <v>58</v>
      </c>
      <c r="R176" s="1">
        <v>18</v>
      </c>
      <c r="S176" s="1">
        <v>98</v>
      </c>
      <c r="T176" s="1">
        <v>33</v>
      </c>
      <c r="U176" s="1">
        <v>51</v>
      </c>
      <c r="V176" s="1">
        <v>13</v>
      </c>
      <c r="W176" s="1">
        <v>20</v>
      </c>
      <c r="X176" s="1">
        <v>168</v>
      </c>
      <c r="Y176" s="1">
        <v>37</v>
      </c>
      <c r="Z176" s="1">
        <v>26</v>
      </c>
      <c r="AA176" s="1">
        <v>51</v>
      </c>
      <c r="AB176" s="1">
        <v>18</v>
      </c>
      <c r="AC176" s="1">
        <v>103</v>
      </c>
      <c r="AD176" s="1">
        <v>21</v>
      </c>
      <c r="AE176" s="1">
        <v>33</v>
      </c>
      <c r="AF176" s="18">
        <f t="shared" si="2"/>
        <v>54.43333333333333</v>
      </c>
    </row>
    <row r="177" spans="1:32" x14ac:dyDescent="0.35">
      <c r="A177" s="1" t="s">
        <v>162</v>
      </c>
      <c r="B177" s="1">
        <v>44</v>
      </c>
      <c r="C177" s="1">
        <v>19</v>
      </c>
      <c r="D177" s="1">
        <v>88</v>
      </c>
      <c r="E177" s="1">
        <v>16</v>
      </c>
      <c r="F177" s="1">
        <v>125</v>
      </c>
      <c r="G177" s="1">
        <v>42</v>
      </c>
      <c r="H177" s="1">
        <v>156</v>
      </c>
      <c r="I177" s="1">
        <v>177</v>
      </c>
      <c r="J177" s="1">
        <v>80</v>
      </c>
      <c r="K177" s="1">
        <v>25</v>
      </c>
      <c r="L177" s="1">
        <v>50</v>
      </c>
      <c r="M177" s="1">
        <v>94</v>
      </c>
      <c r="N177" s="1">
        <v>17</v>
      </c>
      <c r="O177" s="1">
        <v>13</v>
      </c>
      <c r="P177" s="1">
        <v>123</v>
      </c>
      <c r="Q177" s="1">
        <v>47</v>
      </c>
      <c r="R177" s="1">
        <v>143</v>
      </c>
      <c r="S177" s="1">
        <v>41</v>
      </c>
      <c r="T177" s="1">
        <v>59</v>
      </c>
      <c r="U177" s="1">
        <v>62</v>
      </c>
      <c r="V177" s="1">
        <v>28</v>
      </c>
      <c r="W177" s="1">
        <v>53</v>
      </c>
      <c r="X177" s="1">
        <v>87</v>
      </c>
      <c r="Y177" s="1">
        <v>49</v>
      </c>
      <c r="Z177" s="1">
        <v>165</v>
      </c>
      <c r="AA177" s="1">
        <v>28</v>
      </c>
      <c r="AB177" s="1">
        <v>41</v>
      </c>
      <c r="AC177" s="1">
        <v>20</v>
      </c>
      <c r="AD177" s="1">
        <v>50</v>
      </c>
      <c r="AE177" s="1">
        <v>52</v>
      </c>
      <c r="AF177" s="18">
        <f t="shared" si="2"/>
        <v>66.466666666666669</v>
      </c>
    </row>
    <row r="178" spans="1:32" x14ac:dyDescent="0.35">
      <c r="A178" s="1" t="s">
        <v>136</v>
      </c>
      <c r="B178" s="1">
        <v>59</v>
      </c>
      <c r="C178" s="1">
        <v>135</v>
      </c>
      <c r="D178" s="1">
        <v>32</v>
      </c>
      <c r="E178" s="1">
        <v>22</v>
      </c>
      <c r="F178" s="1">
        <v>55</v>
      </c>
      <c r="G178" s="1">
        <v>49</v>
      </c>
      <c r="H178" s="1">
        <v>238</v>
      </c>
      <c r="I178" s="1">
        <v>39</v>
      </c>
      <c r="J178" s="1">
        <v>129</v>
      </c>
      <c r="K178" s="1">
        <v>132</v>
      </c>
      <c r="L178" s="1">
        <v>52</v>
      </c>
      <c r="M178" s="1">
        <v>50</v>
      </c>
      <c r="N178" s="1">
        <v>31</v>
      </c>
      <c r="O178" s="1">
        <v>256</v>
      </c>
      <c r="P178" s="1">
        <v>160</v>
      </c>
      <c r="Q178" s="1">
        <v>147</v>
      </c>
      <c r="R178" s="1">
        <v>29</v>
      </c>
      <c r="S178" s="1">
        <v>79</v>
      </c>
      <c r="T178" s="1">
        <v>79</v>
      </c>
      <c r="U178" s="1">
        <v>200</v>
      </c>
      <c r="V178" s="1">
        <v>28</v>
      </c>
      <c r="W178" s="1">
        <v>123</v>
      </c>
      <c r="X178" s="1">
        <v>66</v>
      </c>
      <c r="Y178" s="1">
        <v>89</v>
      </c>
      <c r="Z178" s="1">
        <v>46</v>
      </c>
      <c r="AA178" s="1">
        <v>16</v>
      </c>
      <c r="AB178" s="1">
        <v>92</v>
      </c>
      <c r="AC178" s="1">
        <v>38</v>
      </c>
      <c r="AD178" s="1">
        <v>192</v>
      </c>
      <c r="AE178" s="1">
        <v>58</v>
      </c>
      <c r="AF178" s="18">
        <f t="shared" si="2"/>
        <v>90.7</v>
      </c>
    </row>
    <row r="179" spans="1:32" x14ac:dyDescent="0.35">
      <c r="A179" s="1" t="s">
        <v>142</v>
      </c>
      <c r="B179" s="1">
        <v>35</v>
      </c>
      <c r="C179" s="1">
        <v>35</v>
      </c>
      <c r="D179" s="1">
        <v>113</v>
      </c>
      <c r="E179" s="1">
        <v>28</v>
      </c>
      <c r="F179" s="1">
        <v>22</v>
      </c>
      <c r="G179" s="1">
        <v>124</v>
      </c>
      <c r="H179" s="1">
        <v>20</v>
      </c>
      <c r="I179" s="1">
        <v>18</v>
      </c>
      <c r="J179" s="1">
        <v>112</v>
      </c>
      <c r="K179" s="1">
        <v>37</v>
      </c>
      <c r="L179" s="1">
        <v>36</v>
      </c>
      <c r="M179" s="1">
        <v>21</v>
      </c>
      <c r="N179" s="1">
        <v>39</v>
      </c>
      <c r="O179" s="1">
        <v>24</v>
      </c>
      <c r="P179" s="1">
        <v>50</v>
      </c>
      <c r="Q179" s="1">
        <v>34</v>
      </c>
      <c r="R179" s="1">
        <v>54</v>
      </c>
      <c r="S179" s="1">
        <v>64</v>
      </c>
      <c r="T179" s="1">
        <v>15</v>
      </c>
      <c r="U179" s="1">
        <v>71</v>
      </c>
      <c r="V179" s="1">
        <v>51</v>
      </c>
      <c r="W179" s="1">
        <v>84</v>
      </c>
      <c r="X179" s="1">
        <v>26</v>
      </c>
      <c r="Y179" s="1">
        <v>19</v>
      </c>
      <c r="Z179" s="1">
        <v>24</v>
      </c>
      <c r="AA179" s="1">
        <v>44</v>
      </c>
      <c r="AB179" s="1">
        <v>25</v>
      </c>
      <c r="AC179" s="1">
        <v>15</v>
      </c>
      <c r="AD179" s="1">
        <v>28</v>
      </c>
      <c r="AE179" s="1">
        <v>75</v>
      </c>
      <c r="AF179" s="18">
        <f t="shared" si="2"/>
        <v>44.766666666666666</v>
      </c>
    </row>
    <row r="180" spans="1:32" x14ac:dyDescent="0.35">
      <c r="A180" s="1" t="s">
        <v>137</v>
      </c>
      <c r="B180" s="1">
        <v>70</v>
      </c>
      <c r="C180" s="1">
        <v>161</v>
      </c>
      <c r="D180" s="1">
        <v>23</v>
      </c>
      <c r="E180" s="1">
        <v>16</v>
      </c>
      <c r="F180" s="1">
        <v>98</v>
      </c>
      <c r="G180" s="1">
        <v>21</v>
      </c>
      <c r="H180" s="1">
        <v>50</v>
      </c>
      <c r="I180" s="1">
        <v>43</v>
      </c>
      <c r="J180" s="1">
        <v>59</v>
      </c>
      <c r="K180" s="1">
        <v>13</v>
      </c>
      <c r="L180" s="1">
        <v>191</v>
      </c>
      <c r="M180" s="1">
        <v>98</v>
      </c>
      <c r="N180" s="1">
        <v>21</v>
      </c>
      <c r="O180" s="1">
        <v>132</v>
      </c>
      <c r="P180" s="1">
        <v>39</v>
      </c>
      <c r="Q180" s="1">
        <v>60</v>
      </c>
      <c r="R180" s="1">
        <v>228</v>
      </c>
      <c r="S180" s="1">
        <v>43</v>
      </c>
      <c r="T180" s="1">
        <v>55</v>
      </c>
      <c r="U180" s="1">
        <v>84</v>
      </c>
      <c r="V180" s="1">
        <v>26</v>
      </c>
      <c r="W180" s="1">
        <v>157</v>
      </c>
      <c r="X180" s="1">
        <v>330</v>
      </c>
      <c r="Y180" s="1">
        <v>12</v>
      </c>
      <c r="Z180" s="1">
        <v>50</v>
      </c>
      <c r="AA180" s="1">
        <v>41</v>
      </c>
      <c r="AB180" s="1">
        <v>126</v>
      </c>
      <c r="AC180" s="1">
        <v>20</v>
      </c>
      <c r="AD180" s="1">
        <v>15</v>
      </c>
      <c r="AE180" s="1">
        <v>18</v>
      </c>
      <c r="AF180" s="18">
        <f t="shared" si="2"/>
        <v>76.666666666666671</v>
      </c>
    </row>
    <row r="181" spans="1:32" x14ac:dyDescent="0.35">
      <c r="A181" s="1" t="s">
        <v>138</v>
      </c>
      <c r="B181" s="1">
        <v>13</v>
      </c>
      <c r="C181" s="1">
        <v>50</v>
      </c>
      <c r="D181" s="1">
        <v>77</v>
      </c>
      <c r="E181" s="1">
        <v>61</v>
      </c>
      <c r="F181" s="1">
        <v>35</v>
      </c>
      <c r="G181" s="1">
        <v>31</v>
      </c>
      <c r="H181" s="1">
        <v>45</v>
      </c>
      <c r="I181" s="1">
        <v>30</v>
      </c>
      <c r="J181" s="1">
        <v>72</v>
      </c>
      <c r="K181" s="1">
        <v>35</v>
      </c>
      <c r="L181" s="1">
        <v>36</v>
      </c>
      <c r="M181" s="1">
        <v>132</v>
      </c>
      <c r="N181" s="1">
        <v>34</v>
      </c>
      <c r="O181" s="1">
        <v>62</v>
      </c>
      <c r="P181" s="1">
        <v>28</v>
      </c>
      <c r="Q181" s="1">
        <v>102</v>
      </c>
      <c r="R181" s="1">
        <v>21</v>
      </c>
      <c r="S181" s="1">
        <v>30</v>
      </c>
      <c r="T181" s="1">
        <v>30</v>
      </c>
      <c r="U181" s="1">
        <v>190</v>
      </c>
      <c r="V181" s="1">
        <v>25</v>
      </c>
      <c r="W181" s="1">
        <v>55</v>
      </c>
      <c r="X181" s="1">
        <v>20</v>
      </c>
      <c r="Y181" s="1">
        <v>24</v>
      </c>
      <c r="Z181" s="1">
        <v>87</v>
      </c>
      <c r="AA181" s="1">
        <v>27</v>
      </c>
      <c r="AB181" s="1">
        <v>61</v>
      </c>
      <c r="AC181" s="1">
        <v>88</v>
      </c>
      <c r="AD181" s="1">
        <v>34</v>
      </c>
      <c r="AE181" s="1">
        <v>18</v>
      </c>
      <c r="AF181" s="18">
        <f t="shared" si="2"/>
        <v>51.766666666666666</v>
      </c>
    </row>
    <row r="182" spans="1:32" x14ac:dyDescent="0.35">
      <c r="A182" s="1" t="s">
        <v>139</v>
      </c>
      <c r="B182" s="1">
        <v>87</v>
      </c>
      <c r="C182" s="1">
        <v>27</v>
      </c>
      <c r="D182" s="1">
        <v>54</v>
      </c>
      <c r="E182" s="1">
        <v>74</v>
      </c>
      <c r="F182" s="1">
        <v>113</v>
      </c>
      <c r="G182" s="1">
        <v>94</v>
      </c>
      <c r="H182" s="1">
        <v>40</v>
      </c>
      <c r="I182" s="1">
        <v>51</v>
      </c>
      <c r="J182" s="1">
        <v>15</v>
      </c>
      <c r="K182" s="1">
        <v>32</v>
      </c>
      <c r="L182" s="1">
        <v>17</v>
      </c>
      <c r="M182" s="1">
        <v>41</v>
      </c>
      <c r="N182" s="1">
        <v>19</v>
      </c>
      <c r="O182" s="1">
        <v>97</v>
      </c>
      <c r="P182" s="1">
        <v>53</v>
      </c>
      <c r="Q182" s="1">
        <v>12</v>
      </c>
      <c r="R182" s="1">
        <v>21</v>
      </c>
      <c r="S182" s="1">
        <v>29</v>
      </c>
      <c r="T182" s="1">
        <v>19</v>
      </c>
      <c r="U182" s="1">
        <v>25</v>
      </c>
      <c r="V182" s="1">
        <v>99</v>
      </c>
      <c r="W182" s="1">
        <v>39</v>
      </c>
      <c r="X182" s="1">
        <v>46</v>
      </c>
      <c r="Y182" s="1">
        <v>24</v>
      </c>
      <c r="Z182" s="1">
        <v>58</v>
      </c>
      <c r="AA182" s="1">
        <v>40</v>
      </c>
      <c r="AB182" s="1">
        <v>30</v>
      </c>
      <c r="AC182" s="1">
        <v>55</v>
      </c>
      <c r="AD182" s="1">
        <v>13</v>
      </c>
      <c r="AE182" s="1">
        <v>216</v>
      </c>
      <c r="AF182" s="18">
        <f t="shared" si="2"/>
        <v>51.333333333333336</v>
      </c>
    </row>
    <row r="183" spans="1:32" x14ac:dyDescent="0.35">
      <c r="A183" s="1" t="s">
        <v>140</v>
      </c>
      <c r="B183" s="1">
        <v>100</v>
      </c>
      <c r="C183" s="1">
        <v>91</v>
      </c>
      <c r="D183" s="1">
        <v>97</v>
      </c>
      <c r="E183" s="1">
        <v>58</v>
      </c>
      <c r="F183" s="1">
        <v>56</v>
      </c>
      <c r="G183" s="1">
        <v>46</v>
      </c>
      <c r="H183" s="1">
        <v>47</v>
      </c>
      <c r="I183" s="1">
        <v>88</v>
      </c>
      <c r="J183" s="1">
        <v>26</v>
      </c>
      <c r="K183" s="1">
        <v>37</v>
      </c>
      <c r="L183" s="1">
        <v>15</v>
      </c>
      <c r="M183" s="1">
        <v>19</v>
      </c>
      <c r="N183" s="1">
        <v>21</v>
      </c>
      <c r="O183" s="1">
        <v>20</v>
      </c>
      <c r="P183" s="1">
        <v>39</v>
      </c>
      <c r="Q183" s="1">
        <v>57</v>
      </c>
      <c r="R183" s="1">
        <v>13</v>
      </c>
      <c r="S183" s="1">
        <v>51</v>
      </c>
      <c r="T183" s="1">
        <v>35</v>
      </c>
      <c r="U183" s="1">
        <v>113</v>
      </c>
      <c r="V183" s="1">
        <v>66</v>
      </c>
      <c r="W183" s="1">
        <v>28</v>
      </c>
      <c r="X183" s="1">
        <v>63</v>
      </c>
      <c r="Y183" s="1">
        <v>44</v>
      </c>
      <c r="Z183" s="1">
        <v>47</v>
      </c>
      <c r="AA183" s="1">
        <v>79</v>
      </c>
      <c r="AB183" s="1">
        <v>107</v>
      </c>
      <c r="AC183" s="1">
        <v>54</v>
      </c>
      <c r="AD183" s="1">
        <v>55</v>
      </c>
      <c r="AE183" s="1">
        <v>62</v>
      </c>
      <c r="AF183" s="18">
        <f t="shared" si="2"/>
        <v>54.466666666666669</v>
      </c>
    </row>
    <row r="184" spans="1:32" x14ac:dyDescent="0.35">
      <c r="A184" s="1" t="s">
        <v>143</v>
      </c>
      <c r="B184" s="1">
        <v>93</v>
      </c>
      <c r="C184" s="1">
        <v>175</v>
      </c>
      <c r="D184" s="1">
        <v>22</v>
      </c>
      <c r="E184" s="1">
        <v>28</v>
      </c>
      <c r="F184" s="1">
        <v>166</v>
      </c>
      <c r="G184" s="1">
        <v>72</v>
      </c>
      <c r="H184" s="1">
        <v>28</v>
      </c>
      <c r="I184" s="1">
        <v>76</v>
      </c>
      <c r="J184" s="1">
        <v>100</v>
      </c>
      <c r="K184" s="1">
        <v>28</v>
      </c>
      <c r="L184" s="1">
        <v>19</v>
      </c>
      <c r="M184" s="1">
        <v>107</v>
      </c>
      <c r="N184" s="1">
        <v>215</v>
      </c>
      <c r="O184" s="1">
        <v>102</v>
      </c>
      <c r="P184" s="1">
        <v>50</v>
      </c>
      <c r="Q184" s="1">
        <v>20</v>
      </c>
      <c r="R184" s="1">
        <v>88</v>
      </c>
      <c r="S184" s="1">
        <v>349</v>
      </c>
      <c r="T184" s="1">
        <v>36</v>
      </c>
      <c r="U184" s="1">
        <v>57</v>
      </c>
      <c r="V184" s="1">
        <v>134</v>
      </c>
      <c r="W184" s="1">
        <v>24</v>
      </c>
      <c r="X184" s="1">
        <v>24</v>
      </c>
      <c r="Y184" s="1">
        <v>99</v>
      </c>
      <c r="Z184" s="1">
        <v>13</v>
      </c>
      <c r="AA184" s="1">
        <v>56</v>
      </c>
      <c r="AB184" s="1">
        <v>56</v>
      </c>
      <c r="AC184" s="1">
        <v>24</v>
      </c>
      <c r="AD184" s="1">
        <v>17</v>
      </c>
      <c r="AE184" s="1">
        <v>57</v>
      </c>
      <c r="AF184" s="18">
        <f t="shared" si="2"/>
        <v>77.833333333333329</v>
      </c>
    </row>
    <row r="185" spans="1:32" x14ac:dyDescent="0.35">
      <c r="A185" s="1" t="s">
        <v>144</v>
      </c>
      <c r="B185" s="1">
        <v>35</v>
      </c>
      <c r="C185" s="1">
        <v>76</v>
      </c>
      <c r="D185" s="1">
        <v>32</v>
      </c>
      <c r="E185" s="1">
        <v>101</v>
      </c>
      <c r="F185" s="1">
        <v>12</v>
      </c>
      <c r="G185" s="1">
        <v>93</v>
      </c>
      <c r="H185" s="1">
        <v>51</v>
      </c>
      <c r="I185" s="1">
        <v>209</v>
      </c>
      <c r="J185" s="1">
        <v>52</v>
      </c>
      <c r="K185" s="1">
        <v>16</v>
      </c>
      <c r="L185" s="1">
        <v>27</v>
      </c>
      <c r="M185" s="1">
        <v>87</v>
      </c>
      <c r="N185" s="1">
        <v>62</v>
      </c>
      <c r="O185" s="1">
        <v>38</v>
      </c>
      <c r="P185" s="1">
        <v>21</v>
      </c>
      <c r="Q185" s="1">
        <v>18</v>
      </c>
      <c r="R185" s="1">
        <v>196</v>
      </c>
      <c r="S185" s="1">
        <v>48</v>
      </c>
      <c r="T185" s="1">
        <v>125</v>
      </c>
      <c r="U185" s="1">
        <v>31</v>
      </c>
      <c r="V185" s="1">
        <v>53</v>
      </c>
      <c r="W185" s="1">
        <v>14</v>
      </c>
      <c r="X185" s="1">
        <v>136</v>
      </c>
      <c r="Y185" s="1">
        <v>175</v>
      </c>
      <c r="Z185" s="1">
        <v>114</v>
      </c>
      <c r="AA185" s="1">
        <v>79</v>
      </c>
      <c r="AB185" s="1">
        <v>33</v>
      </c>
      <c r="AC185" s="1">
        <v>37</v>
      </c>
      <c r="AD185" s="1">
        <v>83</v>
      </c>
      <c r="AE185" s="1">
        <v>57</v>
      </c>
      <c r="AF185" s="18">
        <f t="shared" si="2"/>
        <v>70.36666666666666</v>
      </c>
    </row>
    <row r="186" spans="1:32" x14ac:dyDescent="0.35">
      <c r="A186" s="1" t="s">
        <v>145</v>
      </c>
      <c r="B186" s="1">
        <v>26</v>
      </c>
      <c r="C186" s="1">
        <v>190</v>
      </c>
      <c r="D186" s="1">
        <v>36</v>
      </c>
      <c r="E186" s="1">
        <v>16</v>
      </c>
      <c r="F186" s="1">
        <v>50</v>
      </c>
      <c r="G186" s="1">
        <v>66</v>
      </c>
      <c r="H186" s="1">
        <v>13</v>
      </c>
      <c r="I186" s="1">
        <v>24</v>
      </c>
      <c r="J186" s="1">
        <v>38</v>
      </c>
      <c r="K186" s="1">
        <v>19</v>
      </c>
      <c r="L186" s="1">
        <v>80</v>
      </c>
      <c r="M186" s="1">
        <v>26</v>
      </c>
      <c r="N186" s="1">
        <v>134</v>
      </c>
      <c r="O186" s="1">
        <v>23</v>
      </c>
      <c r="P186" s="1">
        <v>43</v>
      </c>
      <c r="Q186" s="1">
        <v>29</v>
      </c>
      <c r="R186" s="1">
        <v>18</v>
      </c>
      <c r="S186" s="1">
        <v>60</v>
      </c>
      <c r="T186" s="1">
        <v>27</v>
      </c>
      <c r="U186" s="1">
        <v>43</v>
      </c>
      <c r="V186" s="1">
        <v>33</v>
      </c>
      <c r="W186" s="1">
        <v>28</v>
      </c>
      <c r="X186" s="1">
        <v>12</v>
      </c>
      <c r="Y186" s="1">
        <v>16</v>
      </c>
      <c r="Z186" s="1">
        <v>31</v>
      </c>
      <c r="AA186" s="1">
        <v>70</v>
      </c>
      <c r="AB186" s="1">
        <v>23</v>
      </c>
      <c r="AC186" s="1">
        <v>62</v>
      </c>
      <c r="AD186" s="1">
        <v>25</v>
      </c>
      <c r="AE186" s="1">
        <v>60</v>
      </c>
      <c r="AF186" s="18">
        <f t="shared" si="2"/>
        <v>44.033333333333331</v>
      </c>
    </row>
    <row r="187" spans="1:32" x14ac:dyDescent="0.35">
      <c r="A187" s="1" t="s">
        <v>146</v>
      </c>
      <c r="B187" s="1">
        <v>136</v>
      </c>
      <c r="C187" s="1">
        <v>37</v>
      </c>
      <c r="D187" s="1">
        <v>70</v>
      </c>
      <c r="E187" s="1">
        <v>63</v>
      </c>
      <c r="F187" s="1">
        <v>28</v>
      </c>
      <c r="G187" s="1">
        <v>91</v>
      </c>
      <c r="H187" s="1">
        <v>65</v>
      </c>
      <c r="I187" s="1">
        <v>16</v>
      </c>
      <c r="J187" s="1">
        <v>62</v>
      </c>
      <c r="K187" s="1">
        <v>71</v>
      </c>
      <c r="L187" s="1">
        <v>41</v>
      </c>
      <c r="M187" s="1">
        <v>78</v>
      </c>
      <c r="N187" s="1">
        <v>79</v>
      </c>
      <c r="O187" s="1">
        <v>33</v>
      </c>
      <c r="P187" s="1">
        <v>32</v>
      </c>
      <c r="Q187" s="1">
        <v>108</v>
      </c>
      <c r="R187" s="1">
        <v>109</v>
      </c>
      <c r="S187" s="1">
        <v>51</v>
      </c>
      <c r="T187" s="1">
        <v>117</v>
      </c>
      <c r="U187" s="1">
        <v>42</v>
      </c>
      <c r="V187" s="1">
        <v>23</v>
      </c>
      <c r="W187" s="1">
        <v>41</v>
      </c>
      <c r="X187" s="1">
        <v>93</v>
      </c>
      <c r="Y187" s="1">
        <v>110</v>
      </c>
      <c r="Z187" s="1">
        <v>38</v>
      </c>
      <c r="AA187" s="1">
        <v>41</v>
      </c>
      <c r="AB187" s="1">
        <v>16</v>
      </c>
      <c r="AC187" s="1">
        <v>50</v>
      </c>
      <c r="AD187" s="1">
        <v>45</v>
      </c>
      <c r="AE187" s="1">
        <v>106</v>
      </c>
      <c r="AF187" s="18">
        <f t="shared" si="2"/>
        <v>63.06666666666667</v>
      </c>
    </row>
    <row r="188" spans="1:32" x14ac:dyDescent="0.35">
      <c r="A188" s="1" t="s">
        <v>147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8">
        <f t="shared" si="2"/>
        <v>0</v>
      </c>
    </row>
    <row r="189" spans="1:32" x14ac:dyDescent="0.35">
      <c r="A189" s="1" t="s">
        <v>148</v>
      </c>
      <c r="B189" s="1">
        <v>40</v>
      </c>
      <c r="C189" s="1">
        <v>101</v>
      </c>
      <c r="D189" s="1">
        <v>24</v>
      </c>
      <c r="E189" s="1">
        <v>43</v>
      </c>
      <c r="F189" s="1">
        <v>63</v>
      </c>
      <c r="G189" s="1">
        <v>66</v>
      </c>
      <c r="H189" s="1">
        <v>107</v>
      </c>
      <c r="I189" s="1">
        <v>36</v>
      </c>
      <c r="J189" s="1">
        <v>69</v>
      </c>
      <c r="K189" s="1">
        <v>67</v>
      </c>
      <c r="L189" s="1">
        <v>132</v>
      </c>
      <c r="M189" s="1">
        <v>13</v>
      </c>
      <c r="N189" s="1">
        <v>41</v>
      </c>
      <c r="O189" s="1">
        <v>25</v>
      </c>
      <c r="P189" s="1">
        <v>110</v>
      </c>
      <c r="Q189" s="1">
        <v>26</v>
      </c>
      <c r="R189" s="1">
        <v>32</v>
      </c>
      <c r="S189" s="1">
        <v>68</v>
      </c>
      <c r="T189" s="1">
        <v>16</v>
      </c>
      <c r="U189" s="1">
        <v>28</v>
      </c>
      <c r="V189" s="1">
        <v>65</v>
      </c>
      <c r="W189" s="1">
        <v>25</v>
      </c>
      <c r="X189" s="1">
        <v>86</v>
      </c>
      <c r="Y189" s="1">
        <v>41</v>
      </c>
      <c r="Z189" s="1">
        <v>14</v>
      </c>
      <c r="AA189" s="1">
        <v>186</v>
      </c>
      <c r="AB189" s="1">
        <v>294</v>
      </c>
      <c r="AC189" s="1">
        <v>28</v>
      </c>
      <c r="AD189" s="1">
        <v>138</v>
      </c>
      <c r="AE189" s="1">
        <v>94</v>
      </c>
      <c r="AF189" s="18">
        <f t="shared" si="2"/>
        <v>69.266666666666666</v>
      </c>
    </row>
    <row r="190" spans="1:32" x14ac:dyDescent="0.35">
      <c r="A190" s="1" t="s">
        <v>149</v>
      </c>
      <c r="B190" s="1">
        <v>21</v>
      </c>
      <c r="C190" s="1">
        <v>83</v>
      </c>
      <c r="D190" s="1">
        <v>102</v>
      </c>
      <c r="E190" s="1">
        <v>57</v>
      </c>
      <c r="F190" s="1">
        <v>28</v>
      </c>
      <c r="G190" s="1">
        <v>39</v>
      </c>
      <c r="H190" s="1">
        <v>34</v>
      </c>
      <c r="I190" s="1">
        <v>85</v>
      </c>
      <c r="J190" s="1">
        <v>239</v>
      </c>
      <c r="K190" s="1">
        <v>42</v>
      </c>
      <c r="L190" s="1">
        <v>226</v>
      </c>
      <c r="M190" s="1">
        <v>108</v>
      </c>
      <c r="N190" s="1">
        <v>75</v>
      </c>
      <c r="O190" s="1">
        <v>27</v>
      </c>
      <c r="P190" s="1">
        <v>32</v>
      </c>
      <c r="Q190" s="1">
        <v>26</v>
      </c>
      <c r="R190" s="1">
        <v>27</v>
      </c>
      <c r="S190" s="1">
        <v>79</v>
      </c>
      <c r="T190" s="1">
        <v>217</v>
      </c>
      <c r="U190" s="1">
        <v>188</v>
      </c>
      <c r="V190" s="1">
        <v>313</v>
      </c>
      <c r="W190" s="1">
        <v>201</v>
      </c>
      <c r="X190" s="1">
        <v>73</v>
      </c>
      <c r="Y190" s="1">
        <v>221</v>
      </c>
      <c r="Z190" s="1">
        <v>24</v>
      </c>
      <c r="AA190" s="1">
        <v>40</v>
      </c>
      <c r="AB190" s="1">
        <v>286</v>
      </c>
      <c r="AC190" s="1">
        <v>86</v>
      </c>
      <c r="AD190" s="1">
        <v>169</v>
      </c>
      <c r="AE190" s="1">
        <v>28</v>
      </c>
      <c r="AF190" s="18">
        <f t="shared" si="2"/>
        <v>105.86666666666666</v>
      </c>
    </row>
    <row r="191" spans="1:32" x14ac:dyDescent="0.35">
      <c r="A191" s="1" t="s">
        <v>150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8">
        <f t="shared" si="2"/>
        <v>0</v>
      </c>
    </row>
    <row r="192" spans="1:32" x14ac:dyDescent="0.35">
      <c r="A192" s="1" t="s">
        <v>159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8">
        <f t="shared" si="2"/>
        <v>0</v>
      </c>
    </row>
    <row r="193" spans="1:32" x14ac:dyDescent="0.35">
      <c r="A193" s="1" t="s">
        <v>151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8">
        <f t="shared" si="2"/>
        <v>0</v>
      </c>
    </row>
    <row r="194" spans="1:32" x14ac:dyDescent="0.35">
      <c r="A194" s="1" t="s">
        <v>152</v>
      </c>
      <c r="B194" s="1">
        <v>40</v>
      </c>
      <c r="C194" s="1">
        <v>67</v>
      </c>
      <c r="D194" s="1">
        <v>15</v>
      </c>
      <c r="E194" s="1">
        <v>64</v>
      </c>
      <c r="F194" s="1">
        <v>51</v>
      </c>
      <c r="G194" s="1">
        <v>169</v>
      </c>
      <c r="H194" s="1">
        <v>12</v>
      </c>
      <c r="I194" s="1">
        <v>77</v>
      </c>
      <c r="J194" s="1">
        <v>144</v>
      </c>
      <c r="K194" s="1">
        <v>18</v>
      </c>
      <c r="L194" s="1">
        <v>64</v>
      </c>
      <c r="M194" s="1">
        <v>33</v>
      </c>
      <c r="N194" s="1">
        <v>50</v>
      </c>
      <c r="O194" s="1">
        <v>14</v>
      </c>
      <c r="P194" s="1">
        <v>33</v>
      </c>
      <c r="Q194" s="1">
        <v>27</v>
      </c>
      <c r="R194" s="1">
        <v>33</v>
      </c>
      <c r="S194" s="1">
        <v>21</v>
      </c>
      <c r="T194" s="1">
        <v>50</v>
      </c>
      <c r="U194" s="1">
        <v>67</v>
      </c>
      <c r="V194" s="1">
        <v>129</v>
      </c>
      <c r="W194" s="1">
        <v>71</v>
      </c>
      <c r="X194" s="1">
        <v>28</v>
      </c>
      <c r="Y194" s="1">
        <v>100</v>
      </c>
      <c r="Z194" s="1">
        <v>41</v>
      </c>
      <c r="AA194" s="1">
        <v>45</v>
      </c>
      <c r="AB194" s="1">
        <v>56</v>
      </c>
      <c r="AC194" s="1">
        <v>21</v>
      </c>
      <c r="AD194" s="1">
        <v>62</v>
      </c>
      <c r="AE194" s="1">
        <v>80</v>
      </c>
      <c r="AF194" s="18">
        <f t="shared" si="2"/>
        <v>56.06666666666667</v>
      </c>
    </row>
    <row r="195" spans="1:32" x14ac:dyDescent="0.35">
      <c r="A195" s="1" t="s">
        <v>153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8">
        <f t="shared" si="2"/>
        <v>0</v>
      </c>
    </row>
    <row r="196" spans="1:32" x14ac:dyDescent="0.35">
      <c r="A196" s="1" t="s">
        <v>193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8">
        <f t="shared" ref="AF196:AF202" si="3">AVERAGE(B196:AE196)</f>
        <v>0</v>
      </c>
    </row>
    <row r="197" spans="1:32" x14ac:dyDescent="0.35">
      <c r="A197" s="1" t="s">
        <v>154</v>
      </c>
      <c r="B197" s="1">
        <v>68</v>
      </c>
      <c r="C197" s="1">
        <v>157</v>
      </c>
      <c r="D197" s="1">
        <v>16</v>
      </c>
      <c r="E197" s="1">
        <v>61</v>
      </c>
      <c r="F197" s="1">
        <v>70</v>
      </c>
      <c r="G197" s="1">
        <v>57</v>
      </c>
      <c r="H197" s="1">
        <v>19</v>
      </c>
      <c r="I197" s="1">
        <v>76</v>
      </c>
      <c r="J197" s="1">
        <v>14</v>
      </c>
      <c r="K197" s="1">
        <v>12</v>
      </c>
      <c r="L197" s="1">
        <v>57</v>
      </c>
      <c r="M197" s="1">
        <v>17</v>
      </c>
      <c r="N197" s="1">
        <v>84</v>
      </c>
      <c r="O197" s="1">
        <v>24</v>
      </c>
      <c r="P197" s="1">
        <v>55</v>
      </c>
      <c r="Q197" s="1">
        <v>37</v>
      </c>
      <c r="R197" s="1">
        <v>78</v>
      </c>
      <c r="S197" s="1">
        <v>48</v>
      </c>
      <c r="T197" s="1">
        <v>54</v>
      </c>
      <c r="U197" s="1">
        <v>28</v>
      </c>
      <c r="V197" s="1">
        <v>107</v>
      </c>
      <c r="W197" s="1">
        <v>46</v>
      </c>
      <c r="X197" s="1">
        <v>40</v>
      </c>
      <c r="Y197" s="1">
        <v>49</v>
      </c>
      <c r="Z197" s="1">
        <v>25</v>
      </c>
      <c r="AA197" s="1">
        <v>95</v>
      </c>
      <c r="AB197" s="1">
        <v>50</v>
      </c>
      <c r="AC197" s="1">
        <v>133</v>
      </c>
      <c r="AD197" s="1">
        <v>43</v>
      </c>
      <c r="AE197" s="1">
        <v>67</v>
      </c>
      <c r="AF197" s="18">
        <f t="shared" si="3"/>
        <v>56.233333333333334</v>
      </c>
    </row>
    <row r="198" spans="1:32" x14ac:dyDescent="0.35">
      <c r="A198" s="1" t="s">
        <v>155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8">
        <f t="shared" si="3"/>
        <v>0</v>
      </c>
    </row>
    <row r="199" spans="1:32" x14ac:dyDescent="0.35">
      <c r="A199" s="1" t="s">
        <v>163</v>
      </c>
      <c r="B199" s="1">
        <v>184</v>
      </c>
      <c r="C199" s="1">
        <v>32</v>
      </c>
      <c r="D199" s="1">
        <v>50</v>
      </c>
      <c r="E199" s="1">
        <v>84</v>
      </c>
      <c r="F199" s="1">
        <v>19</v>
      </c>
      <c r="G199" s="1">
        <v>41</v>
      </c>
      <c r="H199" s="1">
        <v>23</v>
      </c>
      <c r="I199" s="1">
        <v>32</v>
      </c>
      <c r="J199" s="1">
        <v>36</v>
      </c>
      <c r="K199" s="1">
        <v>36</v>
      </c>
      <c r="L199" s="1">
        <v>66</v>
      </c>
      <c r="M199" s="1">
        <v>76</v>
      </c>
      <c r="N199" s="1">
        <v>382</v>
      </c>
      <c r="O199" s="1">
        <v>127</v>
      </c>
      <c r="P199" s="1">
        <v>63</v>
      </c>
      <c r="Q199" s="1">
        <v>130</v>
      </c>
      <c r="R199" s="1">
        <v>40</v>
      </c>
      <c r="S199" s="1">
        <v>111</v>
      </c>
      <c r="T199" s="1">
        <v>27</v>
      </c>
      <c r="U199" s="1">
        <v>57</v>
      </c>
      <c r="V199" s="1">
        <v>48</v>
      </c>
      <c r="W199" s="1">
        <v>34</v>
      </c>
      <c r="X199" s="1">
        <v>28</v>
      </c>
      <c r="Y199" s="1">
        <v>41</v>
      </c>
      <c r="Z199" s="1">
        <v>32</v>
      </c>
      <c r="AA199" s="1">
        <v>23</v>
      </c>
      <c r="AB199" s="1">
        <v>70</v>
      </c>
      <c r="AC199" s="1">
        <v>17</v>
      </c>
      <c r="AD199" s="1">
        <v>72</v>
      </c>
      <c r="AE199" s="1">
        <v>82</v>
      </c>
      <c r="AF199" s="18">
        <f t="shared" si="3"/>
        <v>68.766666666666666</v>
      </c>
    </row>
    <row r="200" spans="1:32" x14ac:dyDescent="0.35">
      <c r="A200" s="1" t="s">
        <v>194</v>
      </c>
      <c r="B200" s="1">
        <v>39</v>
      </c>
      <c r="C200" s="1">
        <v>163</v>
      </c>
      <c r="D200" s="1">
        <v>12</v>
      </c>
      <c r="E200" s="1">
        <v>82</v>
      </c>
      <c r="F200" s="1">
        <v>37</v>
      </c>
      <c r="G200" s="1">
        <v>21</v>
      </c>
      <c r="H200" s="1">
        <v>19</v>
      </c>
      <c r="I200" s="1">
        <v>111</v>
      </c>
      <c r="J200" s="1">
        <v>47</v>
      </c>
      <c r="K200" s="1">
        <v>156</v>
      </c>
      <c r="L200" s="1">
        <v>30</v>
      </c>
      <c r="M200" s="1">
        <v>36</v>
      </c>
      <c r="N200" s="1">
        <v>33</v>
      </c>
      <c r="O200" s="1">
        <v>59</v>
      </c>
      <c r="P200" s="1">
        <v>85</v>
      </c>
      <c r="Q200" s="1">
        <v>16</v>
      </c>
      <c r="R200" s="1">
        <v>29</v>
      </c>
      <c r="S200" s="1">
        <v>33</v>
      </c>
      <c r="T200" s="1">
        <v>22</v>
      </c>
      <c r="U200" s="1">
        <v>22</v>
      </c>
      <c r="V200" s="1">
        <v>17</v>
      </c>
      <c r="W200" s="1">
        <v>18</v>
      </c>
      <c r="X200" s="1">
        <v>89</v>
      </c>
      <c r="Y200" s="1">
        <v>57</v>
      </c>
      <c r="Z200" s="1">
        <v>20</v>
      </c>
      <c r="AA200" s="1">
        <v>19</v>
      </c>
      <c r="AB200" s="1">
        <v>182</v>
      </c>
      <c r="AC200" s="1">
        <v>35</v>
      </c>
      <c r="AD200" s="1">
        <v>23</v>
      </c>
      <c r="AE200" s="1">
        <v>59</v>
      </c>
      <c r="AF200" s="18">
        <f t="shared" si="3"/>
        <v>52.366666666666667</v>
      </c>
    </row>
    <row r="201" spans="1:32" x14ac:dyDescent="0.35">
      <c r="A201" s="1" t="s">
        <v>157</v>
      </c>
      <c r="B201" s="1">
        <v>23</v>
      </c>
      <c r="C201" s="1">
        <v>20</v>
      </c>
      <c r="D201" s="1">
        <v>66</v>
      </c>
      <c r="E201" s="1">
        <v>41</v>
      </c>
      <c r="F201" s="1">
        <v>199</v>
      </c>
      <c r="G201" s="1">
        <v>44</v>
      </c>
      <c r="H201" s="1">
        <v>138</v>
      </c>
      <c r="I201" s="1">
        <v>28</v>
      </c>
      <c r="J201" s="1">
        <v>66</v>
      </c>
      <c r="K201" s="1">
        <v>180</v>
      </c>
      <c r="L201" s="1">
        <v>52</v>
      </c>
      <c r="M201" s="1">
        <v>67</v>
      </c>
      <c r="N201" s="1">
        <v>48</v>
      </c>
      <c r="O201" s="1">
        <v>43</v>
      </c>
      <c r="P201" s="1">
        <v>83</v>
      </c>
      <c r="Q201" s="1">
        <v>20</v>
      </c>
      <c r="R201" s="1">
        <v>173</v>
      </c>
      <c r="S201" s="1">
        <v>81</v>
      </c>
      <c r="T201" s="1">
        <v>85</v>
      </c>
      <c r="U201" s="1">
        <v>44</v>
      </c>
      <c r="V201" s="1">
        <v>68</v>
      </c>
      <c r="W201" s="1">
        <v>102</v>
      </c>
      <c r="X201" s="1">
        <v>41</v>
      </c>
      <c r="Y201" s="1">
        <v>466</v>
      </c>
      <c r="Z201" s="1">
        <v>21</v>
      </c>
      <c r="AA201" s="1">
        <v>42</v>
      </c>
      <c r="AB201" s="1">
        <v>334</v>
      </c>
      <c r="AC201" s="1">
        <v>20</v>
      </c>
      <c r="AD201" s="1">
        <v>177</v>
      </c>
      <c r="AE201" s="1">
        <v>54</v>
      </c>
      <c r="AF201" s="18">
        <f t="shared" si="3"/>
        <v>94.2</v>
      </c>
    </row>
    <row r="202" spans="1:32" x14ac:dyDescent="0.35">
      <c r="A202" s="1" t="s">
        <v>158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8">
        <f t="shared" si="3"/>
        <v>0</v>
      </c>
    </row>
    <row r="203" spans="1:32" x14ac:dyDescent="0.35">
      <c r="B203" s="1">
        <v>15</v>
      </c>
      <c r="C203" s="1">
        <v>15</v>
      </c>
      <c r="D203" s="1">
        <v>22</v>
      </c>
      <c r="E203" s="1">
        <v>40</v>
      </c>
      <c r="F203" s="1">
        <v>19</v>
      </c>
      <c r="G203" s="1">
        <v>45</v>
      </c>
      <c r="H203" s="1">
        <v>35</v>
      </c>
      <c r="I203" s="1">
        <v>38</v>
      </c>
      <c r="J203" s="1">
        <v>52</v>
      </c>
      <c r="K203" s="1">
        <v>55</v>
      </c>
      <c r="L203" s="1">
        <v>54</v>
      </c>
      <c r="M203" s="1">
        <v>126</v>
      </c>
      <c r="N203" s="1">
        <v>17</v>
      </c>
      <c r="O203" s="1">
        <v>40</v>
      </c>
      <c r="P203" s="1">
        <v>62</v>
      </c>
      <c r="Q203" s="1">
        <v>83</v>
      </c>
      <c r="R203" s="1">
        <v>109</v>
      </c>
      <c r="S203" s="1">
        <v>43</v>
      </c>
      <c r="T203" s="1">
        <v>71</v>
      </c>
      <c r="U203" s="1">
        <v>59</v>
      </c>
      <c r="V203" s="1">
        <v>103</v>
      </c>
      <c r="W203" s="1">
        <v>19</v>
      </c>
      <c r="X203" s="1">
        <v>39</v>
      </c>
      <c r="Y203" s="1">
        <v>109</v>
      </c>
      <c r="Z203" s="1">
        <v>31</v>
      </c>
      <c r="AA203" s="1">
        <v>83</v>
      </c>
      <c r="AB203" s="1">
        <v>24</v>
      </c>
      <c r="AC203" s="1">
        <v>143</v>
      </c>
      <c r="AD203" s="1">
        <v>49</v>
      </c>
      <c r="AE203" s="1">
        <v>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161A-89BB-45B3-A900-AD11FBE292D4}">
  <dimension ref="A1:AF203"/>
  <sheetViews>
    <sheetView zoomScale="70" zoomScaleNormal="70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37</v>
      </c>
      <c r="C3" s="1">
        <v>37</v>
      </c>
      <c r="D3" s="1">
        <v>16</v>
      </c>
      <c r="E3" s="1">
        <v>75</v>
      </c>
      <c r="F3" s="1">
        <v>130</v>
      </c>
      <c r="G3" s="1">
        <v>102</v>
      </c>
      <c r="H3" s="1">
        <v>86</v>
      </c>
      <c r="I3" s="1">
        <v>15</v>
      </c>
      <c r="J3" s="1">
        <v>31</v>
      </c>
      <c r="K3" s="1">
        <v>100</v>
      </c>
      <c r="L3" s="1">
        <v>42</v>
      </c>
      <c r="M3" s="1">
        <v>33</v>
      </c>
      <c r="N3" s="1">
        <v>57</v>
      </c>
      <c r="O3" s="1">
        <v>141</v>
      </c>
      <c r="P3" s="1">
        <v>116</v>
      </c>
      <c r="Q3" s="1">
        <v>12</v>
      </c>
      <c r="R3" s="1">
        <v>90</v>
      </c>
      <c r="S3" s="1">
        <v>153</v>
      </c>
      <c r="T3" s="1">
        <v>46</v>
      </c>
      <c r="U3" s="1">
        <v>18</v>
      </c>
      <c r="V3" s="1">
        <v>42</v>
      </c>
      <c r="W3" s="1">
        <v>27</v>
      </c>
      <c r="X3" s="1">
        <v>214</v>
      </c>
      <c r="Y3" s="1">
        <v>19</v>
      </c>
      <c r="Z3" s="1">
        <v>138</v>
      </c>
      <c r="AA3" s="1">
        <v>50</v>
      </c>
      <c r="AB3" s="1">
        <v>57</v>
      </c>
      <c r="AC3" s="1">
        <v>17</v>
      </c>
      <c r="AD3" s="1">
        <v>36</v>
      </c>
      <c r="AE3" s="1">
        <v>150</v>
      </c>
      <c r="AF3" s="18">
        <f>AVERAGE(B3:AE3)</f>
        <v>69.566666666666663</v>
      </c>
    </row>
    <row r="4" spans="1:32" x14ac:dyDescent="0.35">
      <c r="A4" s="1" t="s">
        <v>166</v>
      </c>
      <c r="B4" s="1">
        <v>24</v>
      </c>
      <c r="C4" s="1">
        <v>24</v>
      </c>
      <c r="D4" s="1">
        <v>26</v>
      </c>
      <c r="E4" s="1">
        <v>38</v>
      </c>
      <c r="F4" s="1">
        <v>14</v>
      </c>
      <c r="G4" s="1">
        <v>94</v>
      </c>
      <c r="H4" s="1">
        <v>42</v>
      </c>
      <c r="I4" s="1">
        <v>59</v>
      </c>
      <c r="J4" s="1">
        <v>18</v>
      </c>
      <c r="K4" s="1">
        <v>33</v>
      </c>
      <c r="L4" s="1">
        <v>44</v>
      </c>
      <c r="M4" s="1">
        <v>23</v>
      </c>
      <c r="N4" s="1">
        <v>21</v>
      </c>
      <c r="O4" s="1">
        <v>26</v>
      </c>
      <c r="P4" s="1">
        <v>25</v>
      </c>
      <c r="Q4" s="1">
        <v>40</v>
      </c>
      <c r="R4" s="1">
        <v>24</v>
      </c>
      <c r="S4" s="1">
        <v>35</v>
      </c>
      <c r="T4" s="1">
        <v>66</v>
      </c>
      <c r="U4" s="1">
        <v>59</v>
      </c>
      <c r="V4" s="1">
        <v>68</v>
      </c>
      <c r="W4" s="1">
        <v>31</v>
      </c>
      <c r="X4" s="1">
        <v>78</v>
      </c>
      <c r="Y4" s="1">
        <v>101</v>
      </c>
      <c r="Z4" s="1">
        <v>29</v>
      </c>
      <c r="AA4" s="1">
        <v>12</v>
      </c>
      <c r="AB4" s="1">
        <v>19</v>
      </c>
      <c r="AC4" s="1">
        <v>21</v>
      </c>
      <c r="AD4" s="1">
        <v>53</v>
      </c>
      <c r="AE4" s="1">
        <v>28</v>
      </c>
      <c r="AF4" s="18">
        <f t="shared" ref="AF4:AF67" si="0">AVERAGE(B4:AE4)</f>
        <v>39.166666666666664</v>
      </c>
    </row>
    <row r="5" spans="1:32" x14ac:dyDescent="0.35">
      <c r="A5" s="1" t="s">
        <v>167</v>
      </c>
      <c r="B5" s="1">
        <v>20</v>
      </c>
      <c r="C5" s="1">
        <v>122</v>
      </c>
      <c r="D5" s="1">
        <v>50</v>
      </c>
      <c r="E5" s="1">
        <v>74</v>
      </c>
      <c r="F5" s="1">
        <v>86</v>
      </c>
      <c r="G5" s="1">
        <v>72</v>
      </c>
      <c r="H5" s="1">
        <v>18</v>
      </c>
      <c r="I5" s="1">
        <v>41</v>
      </c>
      <c r="J5" s="1">
        <v>24</v>
      </c>
      <c r="K5" s="1">
        <v>43</v>
      </c>
      <c r="L5" s="1">
        <v>37</v>
      </c>
      <c r="M5" s="1">
        <v>13</v>
      </c>
      <c r="N5" s="1">
        <v>150</v>
      </c>
      <c r="O5" s="1">
        <v>33</v>
      </c>
      <c r="P5" s="1">
        <v>23</v>
      </c>
      <c r="Q5" s="1">
        <v>18</v>
      </c>
      <c r="R5" s="1">
        <v>14</v>
      </c>
      <c r="S5" s="1">
        <v>109</v>
      </c>
      <c r="T5" s="1">
        <v>14</v>
      </c>
      <c r="U5" s="1">
        <v>48</v>
      </c>
      <c r="V5" s="1">
        <v>17</v>
      </c>
      <c r="W5" s="1">
        <v>23</v>
      </c>
      <c r="X5" s="1">
        <v>42</v>
      </c>
      <c r="Y5" s="1">
        <v>13</v>
      </c>
      <c r="Z5" s="1">
        <v>54</v>
      </c>
      <c r="AA5" s="1">
        <v>52</v>
      </c>
      <c r="AB5" s="1">
        <v>35</v>
      </c>
      <c r="AC5" s="1">
        <v>23</v>
      </c>
      <c r="AD5" s="1">
        <v>99</v>
      </c>
      <c r="AE5" s="1">
        <v>84</v>
      </c>
      <c r="AF5" s="18">
        <f t="shared" si="0"/>
        <v>48.366666666666667</v>
      </c>
    </row>
    <row r="6" spans="1:32" x14ac:dyDescent="0.35">
      <c r="A6" s="1" t="s">
        <v>211</v>
      </c>
      <c r="B6" s="1">
        <v>36</v>
      </c>
      <c r="C6" s="1">
        <v>14</v>
      </c>
      <c r="D6" s="1">
        <v>12</v>
      </c>
      <c r="E6" s="1">
        <v>19</v>
      </c>
      <c r="F6" s="1">
        <v>113</v>
      </c>
      <c r="G6" s="1">
        <v>16</v>
      </c>
      <c r="H6" s="1">
        <v>32</v>
      </c>
      <c r="I6" s="1">
        <v>47</v>
      </c>
      <c r="J6" s="1">
        <v>16</v>
      </c>
      <c r="K6" s="1">
        <v>42</v>
      </c>
      <c r="L6" s="1">
        <v>24</v>
      </c>
      <c r="M6" s="1">
        <v>23</v>
      </c>
      <c r="N6" s="1">
        <v>268</v>
      </c>
      <c r="O6" s="1">
        <v>244</v>
      </c>
      <c r="P6" s="1">
        <v>33</v>
      </c>
      <c r="Q6" s="1">
        <v>109</v>
      </c>
      <c r="R6" s="1">
        <v>42</v>
      </c>
      <c r="S6" s="1">
        <v>100</v>
      </c>
      <c r="T6" s="1">
        <v>34</v>
      </c>
      <c r="U6" s="1">
        <v>12</v>
      </c>
      <c r="V6" s="1">
        <v>13</v>
      </c>
      <c r="W6" s="1">
        <v>64</v>
      </c>
      <c r="X6" s="1">
        <v>73</v>
      </c>
      <c r="Y6" s="1">
        <v>122</v>
      </c>
      <c r="Z6" s="1">
        <v>18</v>
      </c>
      <c r="AA6" s="1">
        <v>129</v>
      </c>
      <c r="AB6" s="1">
        <v>13</v>
      </c>
      <c r="AC6" s="1">
        <v>12</v>
      </c>
      <c r="AD6" s="1">
        <v>15</v>
      </c>
      <c r="AE6" s="1">
        <v>18</v>
      </c>
      <c r="AF6" s="18">
        <f t="shared" si="0"/>
        <v>57.1</v>
      </c>
    </row>
    <row r="7" spans="1:32" x14ac:dyDescent="0.35">
      <c r="A7" s="1" t="s">
        <v>168</v>
      </c>
      <c r="B7" s="1">
        <v>37</v>
      </c>
      <c r="C7" s="1">
        <v>172</v>
      </c>
      <c r="D7" s="1">
        <v>73</v>
      </c>
      <c r="E7" s="1">
        <v>46</v>
      </c>
      <c r="F7" s="1">
        <v>21</v>
      </c>
      <c r="G7" s="1">
        <v>20</v>
      </c>
      <c r="H7" s="1">
        <v>63</v>
      </c>
      <c r="I7" s="1">
        <v>60</v>
      </c>
      <c r="J7" s="1">
        <v>21</v>
      </c>
      <c r="K7" s="1">
        <v>110</v>
      </c>
      <c r="L7" s="1">
        <v>63</v>
      </c>
      <c r="M7" s="1">
        <v>44</v>
      </c>
      <c r="N7" s="1">
        <v>60</v>
      </c>
      <c r="O7" s="1">
        <v>12</v>
      </c>
      <c r="P7" s="1">
        <v>15</v>
      </c>
      <c r="Q7" s="1">
        <v>35</v>
      </c>
      <c r="R7" s="1">
        <v>24</v>
      </c>
      <c r="S7" s="1">
        <v>27</v>
      </c>
      <c r="T7" s="1">
        <v>75</v>
      </c>
      <c r="U7" s="1">
        <v>116</v>
      </c>
      <c r="V7" s="1">
        <v>27</v>
      </c>
      <c r="W7" s="1">
        <v>159</v>
      </c>
      <c r="X7" s="1">
        <v>46</v>
      </c>
      <c r="Y7" s="1">
        <v>32</v>
      </c>
      <c r="Z7" s="1">
        <v>45</v>
      </c>
      <c r="AA7" s="1">
        <v>13</v>
      </c>
      <c r="AB7" s="1">
        <v>29</v>
      </c>
      <c r="AC7" s="1">
        <v>22</v>
      </c>
      <c r="AD7" s="1">
        <v>105</v>
      </c>
      <c r="AE7" s="1">
        <v>46</v>
      </c>
      <c r="AF7" s="18">
        <f t="shared" si="0"/>
        <v>53.93333333333333</v>
      </c>
    </row>
    <row r="8" spans="1:32" x14ac:dyDescent="0.35">
      <c r="A8" s="1" t="s">
        <v>169</v>
      </c>
      <c r="B8" s="1">
        <v>50</v>
      </c>
      <c r="C8" s="1">
        <v>15</v>
      </c>
      <c r="D8" s="1">
        <v>50</v>
      </c>
      <c r="E8" s="1">
        <v>99</v>
      </c>
      <c r="F8" s="1">
        <v>34</v>
      </c>
      <c r="G8" s="1">
        <v>47</v>
      </c>
      <c r="H8" s="1">
        <v>71</v>
      </c>
      <c r="I8" s="1">
        <v>177</v>
      </c>
      <c r="J8" s="1">
        <v>53</v>
      </c>
      <c r="K8" s="1">
        <v>95</v>
      </c>
      <c r="L8" s="1">
        <v>64</v>
      </c>
      <c r="M8" s="1">
        <v>43</v>
      </c>
      <c r="N8" s="1">
        <v>165</v>
      </c>
      <c r="O8" s="1">
        <v>55</v>
      </c>
      <c r="P8" s="1">
        <v>23</v>
      </c>
      <c r="Q8" s="1">
        <v>43</v>
      </c>
      <c r="R8" s="1">
        <v>63</v>
      </c>
      <c r="S8" s="1">
        <v>96</v>
      </c>
      <c r="T8" s="1">
        <v>30</v>
      </c>
      <c r="U8" s="1">
        <v>181</v>
      </c>
      <c r="V8" s="1">
        <v>96</v>
      </c>
      <c r="W8" s="1">
        <v>33</v>
      </c>
      <c r="X8" s="1">
        <v>22</v>
      </c>
      <c r="Y8" s="1">
        <v>71</v>
      </c>
      <c r="Z8" s="1">
        <v>12</v>
      </c>
      <c r="AA8" s="1">
        <v>56</v>
      </c>
      <c r="AB8" s="1">
        <v>229</v>
      </c>
      <c r="AC8" s="1">
        <v>51</v>
      </c>
      <c r="AD8" s="1">
        <v>18</v>
      </c>
      <c r="AE8" s="1">
        <v>48</v>
      </c>
      <c r="AF8" s="18">
        <f t="shared" si="0"/>
        <v>69.666666666666671</v>
      </c>
    </row>
    <row r="9" spans="1:32" x14ac:dyDescent="0.35">
      <c r="A9" s="1" t="s">
        <v>170</v>
      </c>
      <c r="B9" s="1">
        <v>30</v>
      </c>
      <c r="C9" s="1">
        <v>115</v>
      </c>
      <c r="D9" s="1">
        <v>17</v>
      </c>
      <c r="E9" s="1">
        <v>15</v>
      </c>
      <c r="F9" s="1">
        <v>28</v>
      </c>
      <c r="G9" s="1">
        <v>30</v>
      </c>
      <c r="H9" s="1">
        <v>20</v>
      </c>
      <c r="I9" s="1">
        <v>27</v>
      </c>
      <c r="J9" s="1">
        <v>77</v>
      </c>
      <c r="K9" s="1">
        <v>22</v>
      </c>
      <c r="L9" s="1">
        <v>48</v>
      </c>
      <c r="M9" s="1">
        <v>61</v>
      </c>
      <c r="N9" s="1">
        <v>25</v>
      </c>
      <c r="O9" s="1">
        <v>14</v>
      </c>
      <c r="P9" s="1">
        <v>28</v>
      </c>
      <c r="Q9" s="1">
        <v>15</v>
      </c>
      <c r="R9" s="1">
        <v>37</v>
      </c>
      <c r="S9" s="1">
        <v>75</v>
      </c>
      <c r="T9" s="1">
        <v>46</v>
      </c>
      <c r="U9" s="1">
        <v>144</v>
      </c>
      <c r="V9" s="1">
        <v>22</v>
      </c>
      <c r="W9" s="1">
        <v>32</v>
      </c>
      <c r="X9" s="1">
        <v>31</v>
      </c>
      <c r="Y9" s="1">
        <v>48</v>
      </c>
      <c r="Z9" s="1">
        <v>12</v>
      </c>
      <c r="AA9" s="1">
        <v>79</v>
      </c>
      <c r="AB9" s="1">
        <v>17</v>
      </c>
      <c r="AC9" s="1">
        <v>121</v>
      </c>
      <c r="AD9" s="1">
        <v>36</v>
      </c>
      <c r="AE9" s="1">
        <v>56</v>
      </c>
      <c r="AF9" s="18">
        <f t="shared" si="0"/>
        <v>44.266666666666666</v>
      </c>
    </row>
    <row r="10" spans="1:32" x14ac:dyDescent="0.35">
      <c r="A10" s="1" t="s">
        <v>4</v>
      </c>
      <c r="B10" s="1">
        <v>15</v>
      </c>
      <c r="C10" s="1">
        <v>106</v>
      </c>
      <c r="D10" s="1">
        <v>64</v>
      </c>
      <c r="E10" s="1">
        <v>22</v>
      </c>
      <c r="F10" s="1">
        <v>38</v>
      </c>
      <c r="G10" s="1">
        <v>39</v>
      </c>
      <c r="H10" s="1">
        <v>45</v>
      </c>
      <c r="I10" s="1">
        <v>88</v>
      </c>
      <c r="J10" s="1">
        <v>25</v>
      </c>
      <c r="K10" s="1">
        <v>14</v>
      </c>
      <c r="L10" s="1">
        <v>40</v>
      </c>
      <c r="M10" s="1">
        <v>137</v>
      </c>
      <c r="N10" s="1">
        <v>38</v>
      </c>
      <c r="O10" s="1">
        <v>50</v>
      </c>
      <c r="P10" s="1">
        <v>16</v>
      </c>
      <c r="Q10" s="1">
        <v>23</v>
      </c>
      <c r="R10" s="1">
        <v>92</v>
      </c>
      <c r="S10" s="1">
        <v>38</v>
      </c>
      <c r="T10" s="1">
        <v>38</v>
      </c>
      <c r="U10" s="1">
        <v>49</v>
      </c>
      <c r="V10" s="1">
        <v>62</v>
      </c>
      <c r="W10" s="1">
        <v>58</v>
      </c>
      <c r="X10" s="1">
        <v>106</v>
      </c>
      <c r="Y10" s="1">
        <v>25</v>
      </c>
      <c r="Z10" s="1">
        <v>44</v>
      </c>
      <c r="AA10" s="1">
        <v>31</v>
      </c>
      <c r="AB10" s="1">
        <v>12</v>
      </c>
      <c r="AC10" s="1">
        <v>23</v>
      </c>
      <c r="AD10" s="1">
        <v>15</v>
      </c>
      <c r="AE10" s="1">
        <v>66</v>
      </c>
      <c r="AF10" s="18">
        <f t="shared" si="0"/>
        <v>47.3</v>
      </c>
    </row>
    <row r="11" spans="1:32" x14ac:dyDescent="0.35">
      <c r="A11" s="1" t="s">
        <v>5</v>
      </c>
      <c r="B11" s="1">
        <v>36</v>
      </c>
      <c r="C11" s="1">
        <v>79</v>
      </c>
      <c r="D11" s="1">
        <v>26</v>
      </c>
      <c r="E11" s="1">
        <v>73</v>
      </c>
      <c r="F11" s="1">
        <v>42</v>
      </c>
      <c r="G11" s="1">
        <v>29</v>
      </c>
      <c r="H11" s="1">
        <v>21</v>
      </c>
      <c r="I11" s="1">
        <v>17</v>
      </c>
      <c r="J11" s="1">
        <v>14</v>
      </c>
      <c r="K11" s="1">
        <v>17</v>
      </c>
      <c r="L11" s="1">
        <v>14</v>
      </c>
      <c r="M11" s="1">
        <v>24</v>
      </c>
      <c r="N11" s="1">
        <v>26</v>
      </c>
      <c r="O11" s="1">
        <v>13</v>
      </c>
      <c r="P11" s="1">
        <v>20</v>
      </c>
      <c r="Q11" s="1">
        <v>28</v>
      </c>
      <c r="R11" s="1">
        <v>36</v>
      </c>
      <c r="S11" s="1">
        <v>24</v>
      </c>
      <c r="T11" s="1">
        <v>101</v>
      </c>
      <c r="U11" s="1">
        <v>13</v>
      </c>
      <c r="V11" s="1">
        <v>16</v>
      </c>
      <c r="W11" s="1">
        <v>49</v>
      </c>
      <c r="X11" s="1">
        <v>12</v>
      </c>
      <c r="Y11" s="1">
        <v>85</v>
      </c>
      <c r="Z11" s="1">
        <v>67</v>
      </c>
      <c r="AA11" s="1">
        <v>110</v>
      </c>
      <c r="AB11" s="1">
        <v>25</v>
      </c>
      <c r="AC11" s="1">
        <v>22</v>
      </c>
      <c r="AD11" s="1">
        <v>60</v>
      </c>
      <c r="AE11" s="1">
        <v>104</v>
      </c>
      <c r="AF11" s="18">
        <f t="shared" si="0"/>
        <v>40.1</v>
      </c>
    </row>
    <row r="12" spans="1:32" x14ac:dyDescent="0.35">
      <c r="A12" s="1" t="s">
        <v>161</v>
      </c>
      <c r="B12" s="1">
        <v>12</v>
      </c>
      <c r="C12" s="1">
        <v>45</v>
      </c>
      <c r="D12" s="1">
        <v>70</v>
      </c>
      <c r="E12" s="1">
        <v>75</v>
      </c>
      <c r="F12" s="1">
        <v>31</v>
      </c>
      <c r="G12" s="1">
        <v>52</v>
      </c>
      <c r="H12" s="1">
        <v>72</v>
      </c>
      <c r="I12" s="1">
        <v>20</v>
      </c>
      <c r="J12" s="1">
        <v>40</v>
      </c>
      <c r="K12" s="1">
        <v>54</v>
      </c>
      <c r="L12" s="1">
        <v>237</v>
      </c>
      <c r="M12" s="1">
        <v>13</v>
      </c>
      <c r="N12" s="1">
        <v>28</v>
      </c>
      <c r="O12" s="1">
        <v>103</v>
      </c>
      <c r="P12" s="1">
        <v>37</v>
      </c>
      <c r="Q12" s="1">
        <v>19</v>
      </c>
      <c r="R12" s="1">
        <v>87</v>
      </c>
      <c r="S12" s="1">
        <v>46</v>
      </c>
      <c r="T12" s="1">
        <v>117</v>
      </c>
      <c r="U12" s="1">
        <v>92</v>
      </c>
      <c r="V12" s="1">
        <v>17</v>
      </c>
      <c r="W12" s="1">
        <v>23</v>
      </c>
      <c r="X12" s="1">
        <v>23</v>
      </c>
      <c r="Y12" s="1">
        <v>20</v>
      </c>
      <c r="Z12" s="1">
        <v>17</v>
      </c>
      <c r="AA12" s="1">
        <v>49</v>
      </c>
      <c r="AB12" s="1">
        <v>39</v>
      </c>
      <c r="AC12" s="1">
        <v>44</v>
      </c>
      <c r="AD12" s="1">
        <v>35</v>
      </c>
      <c r="AE12" s="1">
        <v>26</v>
      </c>
      <c r="AF12" s="18">
        <f t="shared" si="0"/>
        <v>51.43333333333333</v>
      </c>
    </row>
    <row r="13" spans="1:32" x14ac:dyDescent="0.35">
      <c r="A13" s="1" t="s">
        <v>212</v>
      </c>
      <c r="B13" s="1">
        <v>27</v>
      </c>
      <c r="C13" s="1">
        <v>15</v>
      </c>
      <c r="D13" s="1">
        <v>36</v>
      </c>
      <c r="E13" s="1">
        <v>21</v>
      </c>
      <c r="F13" s="1">
        <v>22</v>
      </c>
      <c r="G13" s="1">
        <v>13</v>
      </c>
      <c r="H13" s="1">
        <v>82</v>
      </c>
      <c r="I13" s="1">
        <v>35</v>
      </c>
      <c r="J13" s="1">
        <v>49</v>
      </c>
      <c r="K13" s="1">
        <v>69</v>
      </c>
      <c r="L13" s="1">
        <v>213</v>
      </c>
      <c r="M13" s="1">
        <v>141</v>
      </c>
      <c r="N13" s="1">
        <v>56</v>
      </c>
      <c r="O13" s="1">
        <v>23</v>
      </c>
      <c r="P13" s="1">
        <v>109</v>
      </c>
      <c r="Q13" s="1">
        <v>47</v>
      </c>
      <c r="R13" s="1">
        <v>34</v>
      </c>
      <c r="S13" s="1">
        <v>23</v>
      </c>
      <c r="T13" s="1">
        <v>24</v>
      </c>
      <c r="U13" s="1">
        <v>82</v>
      </c>
      <c r="V13" s="1">
        <v>70</v>
      </c>
      <c r="W13" s="1">
        <v>34</v>
      </c>
      <c r="X13" s="1">
        <v>23</v>
      </c>
      <c r="Y13" s="1">
        <v>149</v>
      </c>
      <c r="Z13" s="1">
        <v>59</v>
      </c>
      <c r="AA13" s="1">
        <v>38</v>
      </c>
      <c r="AB13" s="1">
        <v>58</v>
      </c>
      <c r="AC13" s="1">
        <v>111</v>
      </c>
      <c r="AD13" s="1">
        <v>36</v>
      </c>
      <c r="AE13" s="1">
        <v>106</v>
      </c>
      <c r="AF13" s="18">
        <f t="shared" si="0"/>
        <v>60.166666666666664</v>
      </c>
    </row>
    <row r="14" spans="1:32" x14ac:dyDescent="0.35">
      <c r="A14" s="1" t="s">
        <v>6</v>
      </c>
      <c r="B14" s="1">
        <v>13</v>
      </c>
      <c r="C14" s="1">
        <v>51</v>
      </c>
      <c r="D14" s="1">
        <v>23</v>
      </c>
      <c r="E14" s="1">
        <v>136</v>
      </c>
      <c r="F14" s="1">
        <v>40</v>
      </c>
      <c r="G14" s="1">
        <v>50</v>
      </c>
      <c r="H14" s="1">
        <v>20</v>
      </c>
      <c r="I14" s="1">
        <v>31</v>
      </c>
      <c r="J14" s="1">
        <v>103</v>
      </c>
      <c r="K14" s="1">
        <v>73</v>
      </c>
      <c r="L14" s="1">
        <v>42</v>
      </c>
      <c r="M14" s="1">
        <v>24</v>
      </c>
      <c r="N14" s="1">
        <v>250</v>
      </c>
      <c r="O14" s="1">
        <v>81</v>
      </c>
      <c r="P14" s="1">
        <v>77</v>
      </c>
      <c r="Q14" s="1">
        <v>29</v>
      </c>
      <c r="R14" s="1">
        <v>84</v>
      </c>
      <c r="S14" s="1">
        <v>16</v>
      </c>
      <c r="T14" s="1">
        <v>37</v>
      </c>
      <c r="U14" s="1">
        <v>25</v>
      </c>
      <c r="V14" s="1">
        <v>22</v>
      </c>
      <c r="W14" s="1">
        <v>74</v>
      </c>
      <c r="X14" s="1">
        <v>66</v>
      </c>
      <c r="Y14" s="1">
        <v>48</v>
      </c>
      <c r="Z14" s="1">
        <v>34</v>
      </c>
      <c r="AA14" s="1">
        <v>30</v>
      </c>
      <c r="AB14" s="1">
        <v>18</v>
      </c>
      <c r="AC14" s="1">
        <v>14</v>
      </c>
      <c r="AD14" s="1">
        <v>72</v>
      </c>
      <c r="AE14" s="1">
        <v>23</v>
      </c>
      <c r="AF14" s="18">
        <f t="shared" si="0"/>
        <v>53.533333333333331</v>
      </c>
    </row>
    <row r="15" spans="1:32" x14ac:dyDescent="0.35">
      <c r="A15" s="1" t="s">
        <v>7</v>
      </c>
      <c r="B15" s="1">
        <v>69</v>
      </c>
      <c r="C15" s="1">
        <v>27</v>
      </c>
      <c r="D15" s="1">
        <v>45</v>
      </c>
      <c r="E15" s="1">
        <v>17</v>
      </c>
      <c r="F15" s="1">
        <v>63</v>
      </c>
      <c r="G15" s="1">
        <v>103</v>
      </c>
      <c r="H15" s="1">
        <v>93</v>
      </c>
      <c r="I15" s="1">
        <v>72</v>
      </c>
      <c r="J15" s="1">
        <v>14</v>
      </c>
      <c r="K15" s="1">
        <v>141</v>
      </c>
      <c r="L15" s="1">
        <v>29</v>
      </c>
      <c r="M15" s="1">
        <v>93</v>
      </c>
      <c r="N15" s="1">
        <v>72</v>
      </c>
      <c r="O15" s="1">
        <v>30</v>
      </c>
      <c r="P15" s="1">
        <v>30</v>
      </c>
      <c r="Q15" s="1">
        <v>78</v>
      </c>
      <c r="R15" s="1">
        <v>31</v>
      </c>
      <c r="S15" s="1">
        <v>26</v>
      </c>
      <c r="T15" s="1">
        <v>18</v>
      </c>
      <c r="U15" s="1">
        <v>42</v>
      </c>
      <c r="V15" s="1">
        <v>12</v>
      </c>
      <c r="W15" s="1">
        <v>15</v>
      </c>
      <c r="X15" s="1">
        <v>15</v>
      </c>
      <c r="Y15" s="1">
        <v>132</v>
      </c>
      <c r="Z15" s="1">
        <v>57</v>
      </c>
      <c r="AA15" s="1">
        <v>109</v>
      </c>
      <c r="AB15" s="1">
        <v>41</v>
      </c>
      <c r="AC15" s="1">
        <v>130</v>
      </c>
      <c r="AD15" s="1">
        <v>42</v>
      </c>
      <c r="AE15" s="1">
        <v>134</v>
      </c>
      <c r="AF15" s="18">
        <f t="shared" si="0"/>
        <v>59.333333333333336</v>
      </c>
    </row>
    <row r="16" spans="1:32" x14ac:dyDescent="0.35">
      <c r="A16" s="1" t="s">
        <v>8</v>
      </c>
      <c r="B16" s="1">
        <v>16</v>
      </c>
      <c r="C16" s="1">
        <v>117</v>
      </c>
      <c r="D16" s="1">
        <v>22</v>
      </c>
      <c r="E16" s="1">
        <v>61</v>
      </c>
      <c r="F16" s="1">
        <v>75</v>
      </c>
      <c r="G16" s="1">
        <v>56</v>
      </c>
      <c r="H16" s="1">
        <v>33</v>
      </c>
      <c r="I16" s="1">
        <v>204</v>
      </c>
      <c r="J16" s="1">
        <v>102</v>
      </c>
      <c r="K16" s="1">
        <v>16</v>
      </c>
      <c r="L16" s="1">
        <v>79</v>
      </c>
      <c r="M16" s="1">
        <v>28</v>
      </c>
      <c r="N16" s="1">
        <v>90</v>
      </c>
      <c r="O16" s="1">
        <v>13</v>
      </c>
      <c r="P16" s="1">
        <v>17</v>
      </c>
      <c r="Q16" s="1">
        <v>115</v>
      </c>
      <c r="R16" s="1">
        <v>80</v>
      </c>
      <c r="S16" s="1">
        <v>26</v>
      </c>
      <c r="T16" s="1">
        <v>202</v>
      </c>
      <c r="U16" s="1">
        <v>43</v>
      </c>
      <c r="V16" s="1">
        <v>75</v>
      </c>
      <c r="W16" s="1">
        <v>15</v>
      </c>
      <c r="X16" s="1">
        <v>12</v>
      </c>
      <c r="Y16" s="1">
        <v>35</v>
      </c>
      <c r="Z16" s="1">
        <v>48</v>
      </c>
      <c r="AA16" s="1">
        <v>27</v>
      </c>
      <c r="AB16" s="1">
        <v>37</v>
      </c>
      <c r="AC16" s="1">
        <v>62</v>
      </c>
      <c r="AD16" s="1">
        <v>71</v>
      </c>
      <c r="AE16" s="1">
        <v>34</v>
      </c>
      <c r="AF16" s="18">
        <f t="shared" si="0"/>
        <v>60.366666666666667</v>
      </c>
    </row>
    <row r="17" spans="1:32" x14ac:dyDescent="0.35">
      <c r="A17" s="1" t="s">
        <v>9</v>
      </c>
      <c r="B17" s="1">
        <v>121</v>
      </c>
      <c r="C17" s="1">
        <v>53</v>
      </c>
      <c r="D17" s="1">
        <v>12</v>
      </c>
      <c r="E17" s="1">
        <v>51</v>
      </c>
      <c r="F17" s="1">
        <v>35</v>
      </c>
      <c r="G17" s="1">
        <v>13</v>
      </c>
      <c r="H17" s="1">
        <v>55</v>
      </c>
      <c r="I17" s="1">
        <v>29</v>
      </c>
      <c r="J17" s="1">
        <v>20</v>
      </c>
      <c r="K17" s="1">
        <v>129</v>
      </c>
      <c r="L17" s="1">
        <v>19</v>
      </c>
      <c r="M17" s="1">
        <v>12</v>
      </c>
      <c r="N17" s="1">
        <v>50</v>
      </c>
      <c r="O17" s="1">
        <v>54</v>
      </c>
      <c r="P17" s="1">
        <v>26</v>
      </c>
      <c r="Q17" s="1">
        <v>20</v>
      </c>
      <c r="R17" s="1">
        <v>20</v>
      </c>
      <c r="S17" s="1">
        <v>16</v>
      </c>
      <c r="T17" s="1">
        <v>28</v>
      </c>
      <c r="U17" s="1">
        <v>76</v>
      </c>
      <c r="V17" s="1">
        <v>99</v>
      </c>
      <c r="W17" s="1">
        <v>29</v>
      </c>
      <c r="X17" s="1">
        <v>26</v>
      </c>
      <c r="Y17" s="1">
        <v>37</v>
      </c>
      <c r="Z17" s="1">
        <v>71</v>
      </c>
      <c r="AA17" s="1">
        <v>16</v>
      </c>
      <c r="AB17" s="1">
        <v>31</v>
      </c>
      <c r="AC17" s="1">
        <v>33</v>
      </c>
      <c r="AD17" s="1">
        <v>44</v>
      </c>
      <c r="AE17" s="1">
        <v>57</v>
      </c>
      <c r="AF17" s="18">
        <f t="shared" si="0"/>
        <v>42.733333333333334</v>
      </c>
    </row>
    <row r="18" spans="1:32" x14ac:dyDescent="0.35">
      <c r="A18" s="1" t="s">
        <v>213</v>
      </c>
      <c r="B18" s="1">
        <v>12</v>
      </c>
      <c r="C18" s="1">
        <v>20</v>
      </c>
      <c r="D18" s="1">
        <v>12</v>
      </c>
      <c r="E18" s="1">
        <v>21</v>
      </c>
      <c r="F18" s="1">
        <v>14</v>
      </c>
      <c r="G18" s="1">
        <v>33</v>
      </c>
      <c r="H18" s="1">
        <v>24</v>
      </c>
      <c r="I18" s="1">
        <v>13</v>
      </c>
      <c r="J18" s="1">
        <v>17</v>
      </c>
      <c r="K18" s="1">
        <v>56</v>
      </c>
      <c r="L18" s="1">
        <v>93</v>
      </c>
      <c r="M18" s="1">
        <v>36</v>
      </c>
      <c r="N18" s="1">
        <v>28</v>
      </c>
      <c r="O18" s="1">
        <v>75</v>
      </c>
      <c r="P18" s="1">
        <v>17</v>
      </c>
      <c r="Q18" s="1">
        <v>56</v>
      </c>
      <c r="R18" s="1">
        <v>39</v>
      </c>
      <c r="S18" s="1">
        <v>58</v>
      </c>
      <c r="T18" s="1">
        <v>36</v>
      </c>
      <c r="U18" s="1">
        <v>45</v>
      </c>
      <c r="V18" s="1">
        <v>27</v>
      </c>
      <c r="W18" s="1">
        <v>35</v>
      </c>
      <c r="X18" s="1">
        <v>25</v>
      </c>
      <c r="Y18" s="1">
        <v>12</v>
      </c>
      <c r="Z18" s="1">
        <v>46</v>
      </c>
      <c r="AA18" s="1">
        <v>51</v>
      </c>
      <c r="AB18" s="1">
        <v>130</v>
      </c>
      <c r="AC18" s="1">
        <v>38</v>
      </c>
      <c r="AD18" s="1">
        <v>20</v>
      </c>
      <c r="AE18" s="1">
        <v>174</v>
      </c>
      <c r="AF18" s="18">
        <f t="shared" si="0"/>
        <v>42.1</v>
      </c>
    </row>
    <row r="19" spans="1:32" x14ac:dyDescent="0.35">
      <c r="A19" s="1" t="s">
        <v>171</v>
      </c>
      <c r="B19" s="1">
        <v>65</v>
      </c>
      <c r="C19" s="1">
        <v>98</v>
      </c>
      <c r="D19" s="1">
        <v>59</v>
      </c>
      <c r="E19" s="1">
        <v>57</v>
      </c>
      <c r="F19" s="1">
        <v>12</v>
      </c>
      <c r="G19" s="1">
        <v>42</v>
      </c>
      <c r="H19" s="1">
        <v>55</v>
      </c>
      <c r="I19" s="1">
        <v>18</v>
      </c>
      <c r="J19" s="1">
        <v>33</v>
      </c>
      <c r="K19" s="1">
        <v>87</v>
      </c>
      <c r="L19" s="1">
        <v>13</v>
      </c>
      <c r="M19" s="1">
        <v>33</v>
      </c>
      <c r="N19" s="1">
        <v>22</v>
      </c>
      <c r="O19" s="1">
        <v>48</v>
      </c>
      <c r="P19" s="1">
        <v>36</v>
      </c>
      <c r="Q19" s="1">
        <v>33</v>
      </c>
      <c r="R19" s="1">
        <v>80</v>
      </c>
      <c r="S19" s="1">
        <v>23</v>
      </c>
      <c r="T19" s="1">
        <v>31</v>
      </c>
      <c r="U19" s="1">
        <v>107</v>
      </c>
      <c r="V19" s="1">
        <v>14</v>
      </c>
      <c r="W19" s="1">
        <v>101</v>
      </c>
      <c r="X19" s="1">
        <v>17</v>
      </c>
      <c r="Y19" s="1">
        <v>45</v>
      </c>
      <c r="Z19" s="1">
        <v>39</v>
      </c>
      <c r="AA19" s="1">
        <v>49</v>
      </c>
      <c r="AB19" s="1">
        <v>64</v>
      </c>
      <c r="AC19" s="1">
        <v>20</v>
      </c>
      <c r="AD19" s="1">
        <v>28</v>
      </c>
      <c r="AE19" s="1">
        <v>14</v>
      </c>
      <c r="AF19" s="18">
        <f t="shared" si="0"/>
        <v>44.766666666666666</v>
      </c>
    </row>
    <row r="20" spans="1:32" x14ac:dyDescent="0.35">
      <c r="A20" s="1" t="s">
        <v>214</v>
      </c>
      <c r="B20" s="1">
        <v>15</v>
      </c>
      <c r="C20" s="1">
        <v>49</v>
      </c>
      <c r="D20" s="1">
        <v>65</v>
      </c>
      <c r="E20" s="1">
        <v>37</v>
      </c>
      <c r="F20" s="1">
        <v>69</v>
      </c>
      <c r="G20" s="1">
        <v>195</v>
      </c>
      <c r="H20" s="1">
        <v>48</v>
      </c>
      <c r="I20" s="1">
        <v>34</v>
      </c>
      <c r="J20" s="1">
        <v>36</v>
      </c>
      <c r="K20" s="1">
        <v>12</v>
      </c>
      <c r="L20" s="1">
        <v>53</v>
      </c>
      <c r="M20" s="1">
        <v>12</v>
      </c>
      <c r="N20" s="1">
        <v>25</v>
      </c>
      <c r="O20" s="1">
        <v>12</v>
      </c>
      <c r="P20" s="1">
        <v>38</v>
      </c>
      <c r="Q20" s="1">
        <v>107</v>
      </c>
      <c r="R20" s="1">
        <v>20</v>
      </c>
      <c r="S20" s="1">
        <v>80</v>
      </c>
      <c r="T20" s="1">
        <v>24</v>
      </c>
      <c r="U20" s="1">
        <v>14</v>
      </c>
      <c r="V20" s="1">
        <v>17</v>
      </c>
      <c r="W20" s="1">
        <v>13</v>
      </c>
      <c r="X20" s="1">
        <v>32</v>
      </c>
      <c r="Y20" s="1">
        <v>20</v>
      </c>
      <c r="Z20" s="1">
        <v>18</v>
      </c>
      <c r="AA20" s="1">
        <v>23</v>
      </c>
      <c r="AB20" s="1">
        <v>181</v>
      </c>
      <c r="AC20" s="1">
        <v>29</v>
      </c>
      <c r="AD20" s="1">
        <v>19</v>
      </c>
      <c r="AE20" s="1">
        <v>59</v>
      </c>
      <c r="AF20" s="18">
        <f t="shared" si="0"/>
        <v>45.2</v>
      </c>
    </row>
    <row r="21" spans="1:32" x14ac:dyDescent="0.35">
      <c r="A21" s="1" t="s">
        <v>10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8">
        <f t="shared" si="0"/>
        <v>0</v>
      </c>
    </row>
    <row r="22" spans="1:32" x14ac:dyDescent="0.35">
      <c r="A22" s="1" t="s">
        <v>11</v>
      </c>
      <c r="B22" s="1">
        <v>12</v>
      </c>
      <c r="C22" s="1">
        <v>20</v>
      </c>
      <c r="D22" s="1">
        <v>13</v>
      </c>
      <c r="E22" s="1">
        <v>65</v>
      </c>
      <c r="F22" s="1">
        <v>13</v>
      </c>
      <c r="G22" s="1">
        <v>20</v>
      </c>
      <c r="H22" s="1">
        <v>57</v>
      </c>
      <c r="I22" s="1">
        <v>40</v>
      </c>
      <c r="J22" s="1">
        <v>25</v>
      </c>
      <c r="K22" s="1">
        <v>36</v>
      </c>
      <c r="L22" s="1">
        <v>37</v>
      </c>
      <c r="M22" s="1">
        <v>94</v>
      </c>
      <c r="N22" s="1">
        <v>18</v>
      </c>
      <c r="O22" s="1">
        <v>70</v>
      </c>
      <c r="P22" s="1">
        <v>34</v>
      </c>
      <c r="Q22" s="1">
        <v>107</v>
      </c>
      <c r="R22" s="1">
        <v>24</v>
      </c>
      <c r="S22" s="1">
        <v>50</v>
      </c>
      <c r="T22" s="1">
        <v>18</v>
      </c>
      <c r="U22" s="1">
        <v>34</v>
      </c>
      <c r="V22" s="1">
        <v>30</v>
      </c>
      <c r="W22" s="1">
        <v>25</v>
      </c>
      <c r="X22" s="1">
        <v>42</v>
      </c>
      <c r="Y22" s="1">
        <v>23</v>
      </c>
      <c r="Z22" s="1">
        <v>95</v>
      </c>
      <c r="AA22" s="1">
        <v>16</v>
      </c>
      <c r="AB22" s="1">
        <v>35</v>
      </c>
      <c r="AC22" s="1">
        <v>60</v>
      </c>
      <c r="AD22" s="1">
        <v>42</v>
      </c>
      <c r="AE22" s="1">
        <v>140</v>
      </c>
      <c r="AF22" s="18">
        <f t="shared" si="0"/>
        <v>43.166666666666664</v>
      </c>
    </row>
    <row r="23" spans="1:32" x14ac:dyDescent="0.35">
      <c r="A23" s="1" t="s">
        <v>12</v>
      </c>
      <c r="B23" s="1">
        <v>21</v>
      </c>
      <c r="C23" s="1">
        <v>43</v>
      </c>
      <c r="D23" s="1">
        <v>48</v>
      </c>
      <c r="E23" s="1">
        <v>23</v>
      </c>
      <c r="F23" s="1">
        <v>61</v>
      </c>
      <c r="G23" s="1">
        <v>60</v>
      </c>
      <c r="H23" s="1">
        <v>17</v>
      </c>
      <c r="I23" s="1">
        <v>18</v>
      </c>
      <c r="J23" s="1">
        <v>25</v>
      </c>
      <c r="K23" s="1">
        <v>30</v>
      </c>
      <c r="L23" s="1">
        <v>52</v>
      </c>
      <c r="M23" s="1">
        <v>27</v>
      </c>
      <c r="N23" s="1">
        <v>34</v>
      </c>
      <c r="O23" s="1">
        <v>17</v>
      </c>
      <c r="P23" s="1">
        <v>58</v>
      </c>
      <c r="Q23" s="1">
        <v>58</v>
      </c>
      <c r="R23" s="1">
        <v>17</v>
      </c>
      <c r="S23" s="1">
        <v>66</v>
      </c>
      <c r="T23" s="1">
        <v>27</v>
      </c>
      <c r="U23" s="1">
        <v>60</v>
      </c>
      <c r="V23" s="1">
        <v>69</v>
      </c>
      <c r="W23" s="1">
        <v>24</v>
      </c>
      <c r="X23" s="1">
        <v>18</v>
      </c>
      <c r="Y23" s="1">
        <v>61</v>
      </c>
      <c r="Z23" s="1">
        <v>66</v>
      </c>
      <c r="AA23" s="1">
        <v>34</v>
      </c>
      <c r="AB23" s="1">
        <v>43</v>
      </c>
      <c r="AC23" s="1">
        <v>15</v>
      </c>
      <c r="AD23" s="1">
        <v>41</v>
      </c>
      <c r="AE23" s="1">
        <v>25</v>
      </c>
      <c r="AF23" s="18">
        <f t="shared" si="0"/>
        <v>38.6</v>
      </c>
    </row>
    <row r="24" spans="1:32" x14ac:dyDescent="0.35">
      <c r="A24" s="1" t="s">
        <v>13</v>
      </c>
      <c r="B24" s="1">
        <v>93</v>
      </c>
      <c r="C24" s="1">
        <v>64</v>
      </c>
      <c r="D24" s="1">
        <v>92</v>
      </c>
      <c r="E24" s="1">
        <v>40</v>
      </c>
      <c r="F24" s="1">
        <v>51</v>
      </c>
      <c r="G24" s="1">
        <v>55</v>
      </c>
      <c r="H24" s="1">
        <v>48</v>
      </c>
      <c r="I24" s="1">
        <v>41</v>
      </c>
      <c r="J24" s="1">
        <v>22</v>
      </c>
      <c r="K24" s="1">
        <v>25</v>
      </c>
      <c r="L24" s="1">
        <v>20</v>
      </c>
      <c r="M24" s="1">
        <v>25</v>
      </c>
      <c r="N24" s="1">
        <v>19</v>
      </c>
      <c r="O24" s="1">
        <v>93</v>
      </c>
      <c r="P24" s="1">
        <v>111</v>
      </c>
      <c r="Q24" s="1">
        <v>72</v>
      </c>
      <c r="R24" s="1">
        <v>207</v>
      </c>
      <c r="S24" s="1">
        <v>29</v>
      </c>
      <c r="T24" s="1">
        <v>182</v>
      </c>
      <c r="U24" s="1">
        <v>64</v>
      </c>
      <c r="V24" s="1">
        <v>33</v>
      </c>
      <c r="W24" s="1">
        <v>22</v>
      </c>
      <c r="X24" s="1">
        <v>12</v>
      </c>
      <c r="Y24" s="1">
        <v>46</v>
      </c>
      <c r="Z24" s="1">
        <v>14</v>
      </c>
      <c r="AA24" s="1">
        <v>30</v>
      </c>
      <c r="AB24" s="1">
        <v>54</v>
      </c>
      <c r="AC24" s="1">
        <v>12</v>
      </c>
      <c r="AD24" s="1">
        <v>109</v>
      </c>
      <c r="AE24" s="1">
        <v>23</v>
      </c>
      <c r="AF24" s="18">
        <f t="shared" si="0"/>
        <v>56.93333333333333</v>
      </c>
    </row>
    <row r="25" spans="1:32" x14ac:dyDescent="0.35">
      <c r="A25" s="1" t="s">
        <v>14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8">
        <f t="shared" si="0"/>
        <v>0</v>
      </c>
    </row>
    <row r="26" spans="1:32" x14ac:dyDescent="0.35">
      <c r="A26" s="1" t="s">
        <v>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8">
        <f t="shared" si="0"/>
        <v>0</v>
      </c>
    </row>
    <row r="27" spans="1:32" x14ac:dyDescent="0.35">
      <c r="A27" s="1" t="s">
        <v>172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8">
        <f t="shared" si="0"/>
        <v>0</v>
      </c>
    </row>
    <row r="28" spans="1:32" x14ac:dyDescent="0.35">
      <c r="A28" s="1" t="s">
        <v>16</v>
      </c>
      <c r="B28" s="1">
        <v>48</v>
      </c>
      <c r="C28" s="1">
        <v>49</v>
      </c>
      <c r="D28" s="1">
        <v>95</v>
      </c>
      <c r="E28" s="1">
        <v>20</v>
      </c>
      <c r="F28" s="1">
        <v>73</v>
      </c>
      <c r="G28" s="1">
        <v>57</v>
      </c>
      <c r="H28" s="1">
        <v>23</v>
      </c>
      <c r="I28" s="1">
        <v>14</v>
      </c>
      <c r="J28" s="1">
        <v>13</v>
      </c>
      <c r="K28" s="1">
        <v>78</v>
      </c>
      <c r="L28" s="1">
        <v>59</v>
      </c>
      <c r="M28" s="1">
        <v>35</v>
      </c>
      <c r="N28" s="1">
        <v>39</v>
      </c>
      <c r="O28" s="1">
        <v>157</v>
      </c>
      <c r="P28" s="1">
        <v>65</v>
      </c>
      <c r="Q28" s="1">
        <v>28</v>
      </c>
      <c r="R28" s="1">
        <v>28</v>
      </c>
      <c r="S28" s="1">
        <v>23</v>
      </c>
      <c r="T28" s="1">
        <v>21</v>
      </c>
      <c r="U28" s="1">
        <v>29</v>
      </c>
      <c r="V28" s="1">
        <v>66</v>
      </c>
      <c r="W28" s="1">
        <v>88</v>
      </c>
      <c r="X28" s="1">
        <v>13</v>
      </c>
      <c r="Y28" s="1">
        <v>24</v>
      </c>
      <c r="Z28" s="1">
        <v>56</v>
      </c>
      <c r="AA28" s="1">
        <v>16</v>
      </c>
      <c r="AB28" s="1">
        <v>25</v>
      </c>
      <c r="AC28" s="1">
        <v>88</v>
      </c>
      <c r="AD28" s="1">
        <v>34</v>
      </c>
      <c r="AE28" s="1">
        <v>227</v>
      </c>
      <c r="AF28" s="18">
        <f t="shared" si="0"/>
        <v>53.033333333333331</v>
      </c>
    </row>
    <row r="29" spans="1:32" x14ac:dyDescent="0.35">
      <c r="A29" s="1" t="s">
        <v>195</v>
      </c>
      <c r="B29" s="1">
        <v>356</v>
      </c>
      <c r="C29" s="1">
        <v>15</v>
      </c>
      <c r="D29" s="1">
        <v>249</v>
      </c>
      <c r="E29" s="1">
        <v>85</v>
      </c>
      <c r="F29" s="1">
        <v>25</v>
      </c>
      <c r="G29" s="1">
        <v>56</v>
      </c>
      <c r="H29" s="1">
        <v>68</v>
      </c>
      <c r="I29" s="1">
        <v>23</v>
      </c>
      <c r="J29" s="1">
        <v>36</v>
      </c>
      <c r="K29" s="1">
        <v>96</v>
      </c>
      <c r="L29" s="1">
        <v>38</v>
      </c>
      <c r="M29" s="1">
        <v>130</v>
      </c>
      <c r="N29" s="1">
        <v>17</v>
      </c>
      <c r="O29" s="1">
        <v>99</v>
      </c>
      <c r="P29" s="1">
        <v>97</v>
      </c>
      <c r="Q29" s="1">
        <v>167</v>
      </c>
      <c r="R29" s="1">
        <v>45</v>
      </c>
      <c r="S29" s="1">
        <v>94</v>
      </c>
      <c r="T29" s="1">
        <v>180</v>
      </c>
      <c r="U29" s="1">
        <v>25</v>
      </c>
      <c r="V29" s="1">
        <v>41</v>
      </c>
      <c r="W29" s="1">
        <v>21</v>
      </c>
      <c r="X29" s="1">
        <v>45</v>
      </c>
      <c r="Y29" s="1">
        <v>18</v>
      </c>
      <c r="Z29" s="1">
        <v>25</v>
      </c>
      <c r="AA29" s="1">
        <v>26</v>
      </c>
      <c r="AB29" s="1">
        <v>101</v>
      </c>
      <c r="AC29" s="1">
        <v>22</v>
      </c>
      <c r="AD29" s="1">
        <v>54</v>
      </c>
      <c r="AE29" s="1">
        <v>38</v>
      </c>
      <c r="AF29" s="18">
        <f t="shared" si="0"/>
        <v>76.400000000000006</v>
      </c>
    </row>
    <row r="30" spans="1:32" x14ac:dyDescent="0.35">
      <c r="A30" s="1" t="s">
        <v>173</v>
      </c>
      <c r="B30" s="1">
        <v>20</v>
      </c>
      <c r="C30" s="1">
        <v>46</v>
      </c>
      <c r="D30" s="1">
        <v>23</v>
      </c>
      <c r="E30" s="1">
        <v>28</v>
      </c>
      <c r="F30" s="1">
        <v>36</v>
      </c>
      <c r="G30" s="1">
        <v>33</v>
      </c>
      <c r="H30" s="1">
        <v>28</v>
      </c>
      <c r="I30" s="1">
        <v>21</v>
      </c>
      <c r="J30" s="1">
        <v>169</v>
      </c>
      <c r="K30" s="1">
        <v>142</v>
      </c>
      <c r="L30" s="1">
        <v>20</v>
      </c>
      <c r="M30" s="1">
        <v>137</v>
      </c>
      <c r="N30" s="1">
        <v>69</v>
      </c>
      <c r="O30" s="1">
        <v>41</v>
      </c>
      <c r="P30" s="1">
        <v>62</v>
      </c>
      <c r="Q30" s="1">
        <v>78</v>
      </c>
      <c r="R30" s="1">
        <v>31</v>
      </c>
      <c r="S30" s="1">
        <v>90</v>
      </c>
      <c r="T30" s="1">
        <v>236</v>
      </c>
      <c r="U30" s="1">
        <v>79</v>
      </c>
      <c r="V30" s="1">
        <v>89</v>
      </c>
      <c r="W30" s="1">
        <v>78</v>
      </c>
      <c r="X30" s="1">
        <v>63</v>
      </c>
      <c r="Y30" s="1">
        <v>12</v>
      </c>
      <c r="Z30" s="1">
        <v>20</v>
      </c>
      <c r="AA30" s="1">
        <v>150</v>
      </c>
      <c r="AB30" s="1">
        <v>203</v>
      </c>
      <c r="AC30" s="1">
        <v>54</v>
      </c>
      <c r="AD30" s="1">
        <v>71</v>
      </c>
      <c r="AE30" s="1">
        <v>168</v>
      </c>
      <c r="AF30" s="18">
        <f t="shared" si="0"/>
        <v>76.566666666666663</v>
      </c>
    </row>
    <row r="31" spans="1:32" x14ac:dyDescent="0.35">
      <c r="A31" s="1" t="s">
        <v>17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8">
        <f t="shared" si="0"/>
        <v>0</v>
      </c>
    </row>
    <row r="32" spans="1:32" x14ac:dyDescent="0.35">
      <c r="A32" s="1" t="s">
        <v>18</v>
      </c>
      <c r="B32" s="1">
        <v>23</v>
      </c>
      <c r="C32" s="1">
        <v>20</v>
      </c>
      <c r="D32" s="1">
        <v>20</v>
      </c>
      <c r="E32" s="1">
        <v>20</v>
      </c>
      <c r="F32" s="1">
        <v>80</v>
      </c>
      <c r="G32" s="1">
        <v>18</v>
      </c>
      <c r="H32" s="1">
        <v>26</v>
      </c>
      <c r="I32" s="1">
        <v>31</v>
      </c>
      <c r="J32" s="1">
        <v>59</v>
      </c>
      <c r="K32" s="1">
        <v>12</v>
      </c>
      <c r="L32" s="1">
        <v>52</v>
      </c>
      <c r="M32" s="1">
        <v>14</v>
      </c>
      <c r="N32" s="1">
        <v>78</v>
      </c>
      <c r="O32" s="1">
        <v>141</v>
      </c>
      <c r="P32" s="1">
        <v>60</v>
      </c>
      <c r="Q32" s="1">
        <v>39</v>
      </c>
      <c r="R32" s="1">
        <v>17</v>
      </c>
      <c r="S32" s="1">
        <v>21</v>
      </c>
      <c r="T32" s="1">
        <v>14</v>
      </c>
      <c r="U32" s="1">
        <v>51</v>
      </c>
      <c r="V32" s="1">
        <v>37</v>
      </c>
      <c r="W32" s="1">
        <v>41</v>
      </c>
      <c r="X32" s="1">
        <v>17</v>
      </c>
      <c r="Y32" s="1">
        <v>14</v>
      </c>
      <c r="Z32" s="1">
        <v>18</v>
      </c>
      <c r="AA32" s="1">
        <v>40</v>
      </c>
      <c r="AB32" s="1">
        <v>13</v>
      </c>
      <c r="AC32" s="1">
        <v>16</v>
      </c>
      <c r="AD32" s="1">
        <v>24</v>
      </c>
      <c r="AE32" s="1">
        <v>17</v>
      </c>
      <c r="AF32" s="18">
        <f t="shared" si="0"/>
        <v>34.43333333333333</v>
      </c>
    </row>
    <row r="33" spans="1:32" x14ac:dyDescent="0.35">
      <c r="A33" s="1" t="s">
        <v>19</v>
      </c>
      <c r="B33" s="1">
        <v>13</v>
      </c>
      <c r="C33" s="1">
        <v>18</v>
      </c>
      <c r="D33" s="1">
        <v>100</v>
      </c>
      <c r="E33" s="1">
        <v>63</v>
      </c>
      <c r="F33" s="1">
        <v>20</v>
      </c>
      <c r="G33" s="1">
        <v>62</v>
      </c>
      <c r="H33" s="1">
        <v>82</v>
      </c>
      <c r="I33" s="1">
        <v>14</v>
      </c>
      <c r="J33" s="1">
        <v>23</v>
      </c>
      <c r="K33" s="1">
        <v>134</v>
      </c>
      <c r="L33" s="1">
        <v>55</v>
      </c>
      <c r="M33" s="1">
        <v>13</v>
      </c>
      <c r="N33" s="1">
        <v>26</v>
      </c>
      <c r="O33" s="1">
        <v>87</v>
      </c>
      <c r="P33" s="1">
        <v>50</v>
      </c>
      <c r="Q33" s="1">
        <v>147</v>
      </c>
      <c r="R33" s="1">
        <v>26</v>
      </c>
      <c r="S33" s="1">
        <v>15</v>
      </c>
      <c r="T33" s="1">
        <v>28</v>
      </c>
      <c r="U33" s="1">
        <v>16</v>
      </c>
      <c r="V33" s="1">
        <v>12</v>
      </c>
      <c r="W33" s="1">
        <v>42</v>
      </c>
      <c r="X33" s="1">
        <v>62</v>
      </c>
      <c r="Y33" s="1">
        <v>40</v>
      </c>
      <c r="Z33" s="1">
        <v>96</v>
      </c>
      <c r="AA33" s="1">
        <v>65</v>
      </c>
      <c r="AB33" s="1">
        <v>30</v>
      </c>
      <c r="AC33" s="1">
        <v>20</v>
      </c>
      <c r="AD33" s="1">
        <v>20</v>
      </c>
      <c r="AE33" s="1">
        <v>25</v>
      </c>
      <c r="AF33" s="18">
        <f t="shared" si="0"/>
        <v>46.8</v>
      </c>
    </row>
    <row r="34" spans="1:32" x14ac:dyDescent="0.35">
      <c r="A34" s="1" t="s">
        <v>174</v>
      </c>
      <c r="B34" s="1">
        <v>99</v>
      </c>
      <c r="C34" s="1">
        <v>203</v>
      </c>
      <c r="D34" s="1">
        <v>21</v>
      </c>
      <c r="E34" s="1">
        <v>121</v>
      </c>
      <c r="F34" s="1">
        <v>57</v>
      </c>
      <c r="G34" s="1">
        <v>25</v>
      </c>
      <c r="H34" s="1">
        <v>18</v>
      </c>
      <c r="I34" s="1">
        <v>22</v>
      </c>
      <c r="J34" s="1">
        <v>19</v>
      </c>
      <c r="K34" s="1">
        <v>76</v>
      </c>
      <c r="L34" s="1">
        <v>106</v>
      </c>
      <c r="M34" s="1">
        <v>40</v>
      </c>
      <c r="N34" s="1">
        <v>16</v>
      </c>
      <c r="O34" s="1">
        <v>241</v>
      </c>
      <c r="P34" s="1">
        <v>102</v>
      </c>
      <c r="Q34" s="1">
        <v>23</v>
      </c>
      <c r="R34" s="1">
        <v>36</v>
      </c>
      <c r="S34" s="1">
        <v>17</v>
      </c>
      <c r="T34" s="1">
        <v>93</v>
      </c>
      <c r="U34" s="1">
        <v>40</v>
      </c>
      <c r="V34" s="1">
        <v>20</v>
      </c>
      <c r="W34" s="1">
        <v>34</v>
      </c>
      <c r="X34" s="1">
        <v>136</v>
      </c>
      <c r="Y34" s="1">
        <v>63</v>
      </c>
      <c r="Z34" s="1">
        <v>80</v>
      </c>
      <c r="AA34" s="1">
        <v>64</v>
      </c>
      <c r="AB34" s="1">
        <v>16</v>
      </c>
      <c r="AC34" s="1">
        <v>38</v>
      </c>
      <c r="AD34" s="1">
        <v>30</v>
      </c>
      <c r="AE34" s="1">
        <v>41</v>
      </c>
      <c r="AF34" s="18">
        <f t="shared" si="0"/>
        <v>63.233333333333334</v>
      </c>
    </row>
    <row r="35" spans="1:32" x14ac:dyDescent="0.35">
      <c r="A35" s="1" t="s">
        <v>20</v>
      </c>
      <c r="B35" s="1">
        <v>13</v>
      </c>
      <c r="C35" s="1">
        <v>27</v>
      </c>
      <c r="D35" s="1">
        <v>71</v>
      </c>
      <c r="E35" s="1">
        <v>157</v>
      </c>
      <c r="F35" s="1">
        <v>81</v>
      </c>
      <c r="G35" s="1">
        <v>27</v>
      </c>
      <c r="H35" s="1">
        <v>85</v>
      </c>
      <c r="I35" s="1">
        <v>94</v>
      </c>
      <c r="J35" s="1">
        <v>14</v>
      </c>
      <c r="K35" s="1">
        <v>16</v>
      </c>
      <c r="L35" s="1">
        <v>44</v>
      </c>
      <c r="M35" s="1">
        <v>24</v>
      </c>
      <c r="N35" s="1">
        <v>52</v>
      </c>
      <c r="O35" s="1">
        <v>49</v>
      </c>
      <c r="P35" s="1">
        <v>57</v>
      </c>
      <c r="Q35" s="1">
        <v>181</v>
      </c>
      <c r="R35" s="1">
        <v>53</v>
      </c>
      <c r="S35" s="1">
        <v>143</v>
      </c>
      <c r="T35" s="1">
        <v>16</v>
      </c>
      <c r="U35" s="1">
        <v>30</v>
      </c>
      <c r="V35" s="1">
        <v>56</v>
      </c>
      <c r="W35" s="1">
        <v>38</v>
      </c>
      <c r="X35" s="1">
        <v>19</v>
      </c>
      <c r="Y35" s="1">
        <v>121</v>
      </c>
      <c r="Z35" s="1">
        <v>68</v>
      </c>
      <c r="AA35" s="1">
        <v>59</v>
      </c>
      <c r="AB35" s="1">
        <v>30</v>
      </c>
      <c r="AC35" s="1">
        <v>95</v>
      </c>
      <c r="AD35" s="1">
        <v>12</v>
      </c>
      <c r="AE35" s="1">
        <v>105</v>
      </c>
      <c r="AF35" s="18">
        <f t="shared" si="0"/>
        <v>61.233333333333334</v>
      </c>
    </row>
    <row r="36" spans="1:32" x14ac:dyDescent="0.35">
      <c r="A36" s="1" t="s">
        <v>21</v>
      </c>
      <c r="B36" s="1">
        <v>119</v>
      </c>
      <c r="C36" s="1">
        <v>79</v>
      </c>
      <c r="D36" s="1">
        <v>44</v>
      </c>
      <c r="E36" s="1">
        <v>90</v>
      </c>
      <c r="F36" s="1">
        <v>27</v>
      </c>
      <c r="G36" s="1">
        <v>38</v>
      </c>
      <c r="H36" s="1">
        <v>25</v>
      </c>
      <c r="I36" s="1">
        <v>26</v>
      </c>
      <c r="J36" s="1">
        <v>68</v>
      </c>
      <c r="K36" s="1">
        <v>32</v>
      </c>
      <c r="L36" s="1">
        <v>31</v>
      </c>
      <c r="M36" s="1">
        <v>18</v>
      </c>
      <c r="N36" s="1">
        <v>38</v>
      </c>
      <c r="O36" s="1">
        <v>14</v>
      </c>
      <c r="P36" s="1">
        <v>14</v>
      </c>
      <c r="Q36" s="1">
        <v>57</v>
      </c>
      <c r="R36" s="1">
        <v>173</v>
      </c>
      <c r="S36" s="1">
        <v>184</v>
      </c>
      <c r="T36" s="1">
        <v>26</v>
      </c>
      <c r="U36" s="1">
        <v>120</v>
      </c>
      <c r="V36" s="1">
        <v>15</v>
      </c>
      <c r="W36" s="1">
        <v>89</v>
      </c>
      <c r="X36" s="1">
        <v>60</v>
      </c>
      <c r="Y36" s="1">
        <v>84</v>
      </c>
      <c r="Z36" s="1">
        <v>54</v>
      </c>
      <c r="AA36" s="1">
        <v>61</v>
      </c>
      <c r="AB36" s="1">
        <v>25</v>
      </c>
      <c r="AC36" s="1">
        <v>77</v>
      </c>
      <c r="AD36" s="1">
        <v>49</v>
      </c>
      <c r="AE36" s="1">
        <v>44</v>
      </c>
      <c r="AF36" s="18">
        <f t="shared" si="0"/>
        <v>59.366666666666667</v>
      </c>
    </row>
    <row r="37" spans="1:32" x14ac:dyDescent="0.35">
      <c r="A37" s="1" t="s">
        <v>22</v>
      </c>
      <c r="B37" s="1">
        <v>27</v>
      </c>
      <c r="C37" s="1">
        <v>42</v>
      </c>
      <c r="D37" s="1">
        <v>66</v>
      </c>
      <c r="E37" s="1">
        <v>65</v>
      </c>
      <c r="F37" s="1">
        <v>29</v>
      </c>
      <c r="G37" s="1">
        <v>23</v>
      </c>
      <c r="H37" s="1">
        <v>286</v>
      </c>
      <c r="I37" s="1">
        <v>25</v>
      </c>
      <c r="J37" s="1">
        <v>215</v>
      </c>
      <c r="K37" s="1">
        <v>19</v>
      </c>
      <c r="L37" s="1">
        <v>26</v>
      </c>
      <c r="M37" s="1">
        <v>47</v>
      </c>
      <c r="N37" s="1">
        <v>24</v>
      </c>
      <c r="O37" s="1">
        <v>194</v>
      </c>
      <c r="P37" s="1">
        <v>63</v>
      </c>
      <c r="Q37" s="1">
        <v>74</v>
      </c>
      <c r="R37" s="1">
        <v>12</v>
      </c>
      <c r="S37" s="1">
        <v>31</v>
      </c>
      <c r="T37" s="1">
        <v>29</v>
      </c>
      <c r="U37" s="1">
        <v>115</v>
      </c>
      <c r="V37" s="1">
        <v>75</v>
      </c>
      <c r="W37" s="1">
        <v>22</v>
      </c>
      <c r="X37" s="1">
        <v>18</v>
      </c>
      <c r="Y37" s="1">
        <v>29</v>
      </c>
      <c r="Z37" s="1">
        <v>56</v>
      </c>
      <c r="AA37" s="1">
        <v>23</v>
      </c>
      <c r="AB37" s="1">
        <v>13</v>
      </c>
      <c r="AC37" s="1">
        <v>67</v>
      </c>
      <c r="AD37" s="1">
        <v>25</v>
      </c>
      <c r="AE37" s="1">
        <v>147</v>
      </c>
      <c r="AF37" s="18">
        <f t="shared" si="0"/>
        <v>62.9</v>
      </c>
    </row>
    <row r="38" spans="1:32" x14ac:dyDescent="0.35">
      <c r="A38" s="1" t="s">
        <v>23</v>
      </c>
      <c r="B38" s="1">
        <v>28</v>
      </c>
      <c r="C38" s="1">
        <v>21</v>
      </c>
      <c r="D38" s="1">
        <v>34</v>
      </c>
      <c r="E38" s="1">
        <v>34</v>
      </c>
      <c r="F38" s="1">
        <v>34</v>
      </c>
      <c r="G38" s="1">
        <v>60</v>
      </c>
      <c r="H38" s="1">
        <v>120</v>
      </c>
      <c r="I38" s="1">
        <v>48</v>
      </c>
      <c r="J38" s="1">
        <v>23</v>
      </c>
      <c r="K38" s="1">
        <v>45</v>
      </c>
      <c r="L38" s="1">
        <v>22</v>
      </c>
      <c r="M38" s="1">
        <v>101</v>
      </c>
      <c r="N38" s="1">
        <v>15</v>
      </c>
      <c r="O38" s="1">
        <v>51</v>
      </c>
      <c r="P38" s="1">
        <v>18</v>
      </c>
      <c r="Q38" s="1">
        <v>25</v>
      </c>
      <c r="R38" s="1">
        <v>30</v>
      </c>
      <c r="S38" s="1">
        <v>16</v>
      </c>
      <c r="T38" s="1">
        <v>71</v>
      </c>
      <c r="U38" s="1">
        <v>42</v>
      </c>
      <c r="V38" s="1">
        <v>40</v>
      </c>
      <c r="W38" s="1">
        <v>21</v>
      </c>
      <c r="X38" s="1">
        <v>88</v>
      </c>
      <c r="Y38" s="1">
        <v>39</v>
      </c>
      <c r="Z38" s="1">
        <v>14</v>
      </c>
      <c r="AA38" s="1">
        <v>16</v>
      </c>
      <c r="AB38" s="1">
        <v>109</v>
      </c>
      <c r="AC38" s="1">
        <v>57</v>
      </c>
      <c r="AD38" s="1">
        <v>15</v>
      </c>
      <c r="AE38" s="1">
        <v>12</v>
      </c>
      <c r="AF38" s="18">
        <f t="shared" si="0"/>
        <v>41.633333333333333</v>
      </c>
    </row>
    <row r="39" spans="1:32" x14ac:dyDescent="0.35">
      <c r="A39" s="1" t="s">
        <v>24</v>
      </c>
      <c r="B39" s="1">
        <v>27</v>
      </c>
      <c r="C39" s="1">
        <v>23</v>
      </c>
      <c r="D39" s="1">
        <v>19</v>
      </c>
      <c r="E39" s="1">
        <v>86</v>
      </c>
      <c r="F39" s="1">
        <v>17</v>
      </c>
      <c r="G39" s="1">
        <v>44</v>
      </c>
      <c r="H39" s="1">
        <v>30</v>
      </c>
      <c r="I39" s="1">
        <v>34</v>
      </c>
      <c r="J39" s="1">
        <v>40</v>
      </c>
      <c r="K39" s="1">
        <v>24</v>
      </c>
      <c r="L39" s="1">
        <v>52</v>
      </c>
      <c r="M39" s="1">
        <v>98</v>
      </c>
      <c r="N39" s="1">
        <v>101</v>
      </c>
      <c r="O39" s="1">
        <v>15</v>
      </c>
      <c r="P39" s="1">
        <v>23</v>
      </c>
      <c r="Q39" s="1">
        <v>38</v>
      </c>
      <c r="R39" s="1">
        <v>17</v>
      </c>
      <c r="S39" s="1">
        <v>31</v>
      </c>
      <c r="T39" s="1">
        <v>24</v>
      </c>
      <c r="U39" s="1">
        <v>49</v>
      </c>
      <c r="V39" s="1">
        <v>17</v>
      </c>
      <c r="W39" s="1">
        <v>29</v>
      </c>
      <c r="X39" s="1">
        <v>73</v>
      </c>
      <c r="Y39" s="1">
        <v>25</v>
      </c>
      <c r="Z39" s="1">
        <v>49</v>
      </c>
      <c r="AA39" s="1">
        <v>22</v>
      </c>
      <c r="AB39" s="1">
        <v>43</v>
      </c>
      <c r="AC39" s="1">
        <v>75</v>
      </c>
      <c r="AD39" s="1">
        <v>48</v>
      </c>
      <c r="AE39" s="1">
        <v>52</v>
      </c>
      <c r="AF39" s="18">
        <f t="shared" si="0"/>
        <v>40.833333333333336</v>
      </c>
    </row>
    <row r="40" spans="1:32" x14ac:dyDescent="0.35">
      <c r="A40" s="1" t="s">
        <v>25</v>
      </c>
      <c r="B40" s="1">
        <v>100</v>
      </c>
      <c r="C40" s="1">
        <v>29</v>
      </c>
      <c r="D40" s="1">
        <v>45</v>
      </c>
      <c r="E40" s="1">
        <v>14</v>
      </c>
      <c r="F40" s="1">
        <v>57</v>
      </c>
      <c r="G40" s="1">
        <v>14</v>
      </c>
      <c r="H40" s="1">
        <v>104</v>
      </c>
      <c r="I40" s="1">
        <v>162</v>
      </c>
      <c r="J40" s="1">
        <v>32</v>
      </c>
      <c r="K40" s="1">
        <v>33</v>
      </c>
      <c r="L40" s="1">
        <v>87</v>
      </c>
      <c r="M40" s="1">
        <v>34</v>
      </c>
      <c r="N40" s="1">
        <v>153</v>
      </c>
      <c r="O40" s="1">
        <v>119</v>
      </c>
      <c r="P40" s="1">
        <v>31</v>
      </c>
      <c r="Q40" s="1">
        <v>20</v>
      </c>
      <c r="R40" s="1">
        <v>64</v>
      </c>
      <c r="S40" s="1">
        <v>96</v>
      </c>
      <c r="T40" s="1">
        <v>35</v>
      </c>
      <c r="U40" s="1">
        <v>35</v>
      </c>
      <c r="V40" s="1">
        <v>68</v>
      </c>
      <c r="W40" s="1">
        <v>81</v>
      </c>
      <c r="X40" s="1">
        <v>89</v>
      </c>
      <c r="Y40" s="1">
        <v>52</v>
      </c>
      <c r="Z40" s="1">
        <v>62</v>
      </c>
      <c r="AA40" s="1">
        <v>18</v>
      </c>
      <c r="AB40" s="1">
        <v>52</v>
      </c>
      <c r="AC40" s="1">
        <v>50</v>
      </c>
      <c r="AD40" s="1">
        <v>22</v>
      </c>
      <c r="AE40" s="1">
        <v>152</v>
      </c>
      <c r="AF40" s="18">
        <f t="shared" si="0"/>
        <v>63.666666666666664</v>
      </c>
    </row>
    <row r="41" spans="1:32" x14ac:dyDescent="0.35">
      <c r="A41" s="1" t="s">
        <v>26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8">
        <f t="shared" si="0"/>
        <v>0</v>
      </c>
    </row>
    <row r="42" spans="1:32" x14ac:dyDescent="0.35">
      <c r="A42" s="1" t="s">
        <v>27</v>
      </c>
      <c r="B42" s="1">
        <v>45</v>
      </c>
      <c r="C42" s="1">
        <v>26</v>
      </c>
      <c r="D42" s="1">
        <v>14</v>
      </c>
      <c r="E42" s="1">
        <v>26</v>
      </c>
      <c r="F42" s="1">
        <v>49</v>
      </c>
      <c r="G42" s="1">
        <v>84</v>
      </c>
      <c r="H42" s="1">
        <v>15</v>
      </c>
      <c r="I42" s="1">
        <v>52</v>
      </c>
      <c r="J42" s="1">
        <v>22</v>
      </c>
      <c r="K42" s="1">
        <v>50</v>
      </c>
      <c r="L42" s="1">
        <v>75</v>
      </c>
      <c r="M42" s="1">
        <v>30</v>
      </c>
      <c r="N42" s="1">
        <v>44</v>
      </c>
      <c r="O42" s="1">
        <v>14</v>
      </c>
      <c r="P42" s="1">
        <v>17</v>
      </c>
      <c r="Q42" s="1">
        <v>51</v>
      </c>
      <c r="R42" s="1">
        <v>46</v>
      </c>
      <c r="S42" s="1">
        <v>20</v>
      </c>
      <c r="T42" s="1">
        <v>15</v>
      </c>
      <c r="U42" s="1">
        <v>50</v>
      </c>
      <c r="V42" s="1">
        <v>25</v>
      </c>
      <c r="W42" s="1">
        <v>17</v>
      </c>
      <c r="X42" s="1">
        <v>37</v>
      </c>
      <c r="Y42" s="1">
        <v>39</v>
      </c>
      <c r="Z42" s="1">
        <v>33</v>
      </c>
      <c r="AA42" s="1">
        <v>60</v>
      </c>
      <c r="AB42" s="1">
        <v>12</v>
      </c>
      <c r="AC42" s="1">
        <v>86</v>
      </c>
      <c r="AD42" s="1">
        <v>101</v>
      </c>
      <c r="AE42" s="1">
        <v>96</v>
      </c>
      <c r="AF42" s="18">
        <f t="shared" si="0"/>
        <v>41.7</v>
      </c>
    </row>
    <row r="43" spans="1:32" x14ac:dyDescent="0.35">
      <c r="A43" s="1" t="s">
        <v>164</v>
      </c>
      <c r="B43" s="1">
        <v>83</v>
      </c>
      <c r="C43" s="1">
        <v>78</v>
      </c>
      <c r="D43" s="1">
        <v>54</v>
      </c>
      <c r="E43" s="1">
        <v>20</v>
      </c>
      <c r="F43" s="1">
        <v>31</v>
      </c>
      <c r="G43" s="1">
        <v>48</v>
      </c>
      <c r="H43" s="1">
        <v>24</v>
      </c>
      <c r="I43" s="1">
        <v>67</v>
      </c>
      <c r="J43" s="1">
        <v>71</v>
      </c>
      <c r="K43" s="1">
        <v>22</v>
      </c>
      <c r="L43" s="1">
        <v>80</v>
      </c>
      <c r="M43" s="1">
        <v>60</v>
      </c>
      <c r="N43" s="1">
        <v>16</v>
      </c>
      <c r="O43" s="1">
        <v>151</v>
      </c>
      <c r="P43" s="1">
        <v>100</v>
      </c>
      <c r="Q43" s="1">
        <v>29</v>
      </c>
      <c r="R43" s="1">
        <v>35</v>
      </c>
      <c r="S43" s="1">
        <v>16</v>
      </c>
      <c r="T43" s="1">
        <v>79</v>
      </c>
      <c r="U43" s="1">
        <v>22</v>
      </c>
      <c r="V43" s="1">
        <v>26</v>
      </c>
      <c r="W43" s="1">
        <v>30</v>
      </c>
      <c r="X43" s="1">
        <v>55</v>
      </c>
      <c r="Y43" s="1">
        <v>17</v>
      </c>
      <c r="Z43" s="1">
        <v>15</v>
      </c>
      <c r="AA43" s="1">
        <v>194</v>
      </c>
      <c r="AB43" s="1">
        <v>253</v>
      </c>
      <c r="AC43" s="1">
        <v>83</v>
      </c>
      <c r="AD43" s="1">
        <v>38</v>
      </c>
      <c r="AE43" s="1">
        <v>146</v>
      </c>
      <c r="AF43" s="18">
        <f t="shared" si="0"/>
        <v>64.766666666666666</v>
      </c>
    </row>
    <row r="44" spans="1:32" x14ac:dyDescent="0.35">
      <c r="A44" s="1" t="s">
        <v>28</v>
      </c>
      <c r="B44" s="1">
        <v>42</v>
      </c>
      <c r="C44" s="1">
        <v>42</v>
      </c>
      <c r="D44" s="1">
        <v>19</v>
      </c>
      <c r="E44" s="1">
        <v>27</v>
      </c>
      <c r="F44" s="1">
        <v>58</v>
      </c>
      <c r="G44" s="1">
        <v>111</v>
      </c>
      <c r="H44" s="1">
        <v>88</v>
      </c>
      <c r="I44" s="1">
        <v>16</v>
      </c>
      <c r="J44" s="1">
        <v>21</v>
      </c>
      <c r="K44" s="1">
        <v>38</v>
      </c>
      <c r="L44" s="1">
        <v>98</v>
      </c>
      <c r="M44" s="1">
        <v>20</v>
      </c>
      <c r="N44" s="1">
        <v>136</v>
      </c>
      <c r="O44" s="1">
        <v>69</v>
      </c>
      <c r="P44" s="1">
        <v>57</v>
      </c>
      <c r="Q44" s="1">
        <v>67</v>
      </c>
      <c r="R44" s="1">
        <v>17</v>
      </c>
      <c r="S44" s="1">
        <v>91</v>
      </c>
      <c r="T44" s="1">
        <v>127</v>
      </c>
      <c r="U44" s="1">
        <v>51</v>
      </c>
      <c r="V44" s="1">
        <v>36</v>
      </c>
      <c r="W44" s="1">
        <v>28</v>
      </c>
      <c r="X44" s="1">
        <v>12</v>
      </c>
      <c r="Y44" s="1">
        <v>140</v>
      </c>
      <c r="Z44" s="1">
        <v>22</v>
      </c>
      <c r="AA44" s="1">
        <v>36</v>
      </c>
      <c r="AB44" s="1">
        <v>61</v>
      </c>
      <c r="AC44" s="1">
        <v>74</v>
      </c>
      <c r="AD44" s="1">
        <v>173</v>
      </c>
      <c r="AE44" s="1">
        <v>71</v>
      </c>
      <c r="AF44" s="18">
        <f t="shared" si="0"/>
        <v>61.6</v>
      </c>
    </row>
    <row r="45" spans="1:32" x14ac:dyDescent="0.35">
      <c r="A45" s="1" t="s">
        <v>29</v>
      </c>
      <c r="B45" s="1">
        <v>17</v>
      </c>
      <c r="C45" s="1">
        <v>28</v>
      </c>
      <c r="D45" s="1">
        <v>77</v>
      </c>
      <c r="E45" s="1">
        <v>49</v>
      </c>
      <c r="F45" s="1">
        <v>28</v>
      </c>
      <c r="G45" s="1">
        <v>66</v>
      </c>
      <c r="H45" s="1">
        <v>235</v>
      </c>
      <c r="I45" s="1">
        <v>12</v>
      </c>
      <c r="J45" s="1">
        <v>64</v>
      </c>
      <c r="K45" s="1">
        <v>66</v>
      </c>
      <c r="L45" s="1">
        <v>16</v>
      </c>
      <c r="M45" s="1">
        <v>78</v>
      </c>
      <c r="N45" s="1">
        <v>50</v>
      </c>
      <c r="O45" s="1">
        <v>16</v>
      </c>
      <c r="P45" s="1">
        <v>19</v>
      </c>
      <c r="Q45" s="1">
        <v>19</v>
      </c>
      <c r="R45" s="1">
        <v>40</v>
      </c>
      <c r="S45" s="1">
        <v>104</v>
      </c>
      <c r="T45" s="1">
        <v>16</v>
      </c>
      <c r="U45" s="1">
        <v>21</v>
      </c>
      <c r="V45" s="1">
        <v>19</v>
      </c>
      <c r="W45" s="1">
        <v>13</v>
      </c>
      <c r="X45" s="1">
        <v>36</v>
      </c>
      <c r="Y45" s="1">
        <v>15</v>
      </c>
      <c r="Z45" s="1">
        <v>22</v>
      </c>
      <c r="AA45" s="1">
        <v>42</v>
      </c>
      <c r="AB45" s="1">
        <v>53</v>
      </c>
      <c r="AC45" s="1">
        <v>66</v>
      </c>
      <c r="AD45" s="1">
        <v>102</v>
      </c>
      <c r="AE45" s="1">
        <v>64</v>
      </c>
      <c r="AF45" s="18">
        <f t="shared" si="0"/>
        <v>48.43333333333333</v>
      </c>
    </row>
    <row r="46" spans="1:32" x14ac:dyDescent="0.35">
      <c r="A46" s="1" t="s">
        <v>30</v>
      </c>
      <c r="B46" s="1">
        <v>33</v>
      </c>
      <c r="C46" s="1">
        <v>28</v>
      </c>
      <c r="D46" s="1">
        <v>25</v>
      </c>
      <c r="E46" s="1">
        <v>30</v>
      </c>
      <c r="F46" s="1">
        <v>20</v>
      </c>
      <c r="G46" s="1">
        <v>28</v>
      </c>
      <c r="H46" s="1">
        <v>18</v>
      </c>
      <c r="I46" s="1">
        <v>19</v>
      </c>
      <c r="J46" s="1">
        <v>19</v>
      </c>
      <c r="K46" s="1">
        <v>20</v>
      </c>
      <c r="L46" s="1">
        <v>16</v>
      </c>
      <c r="M46" s="1">
        <v>88</v>
      </c>
      <c r="N46" s="1">
        <v>22</v>
      </c>
      <c r="O46" s="1">
        <v>45</v>
      </c>
      <c r="P46" s="1">
        <v>72</v>
      </c>
      <c r="Q46" s="1">
        <v>29</v>
      </c>
      <c r="R46" s="1">
        <v>81</v>
      </c>
      <c r="S46" s="1">
        <v>18</v>
      </c>
      <c r="T46" s="1">
        <v>32</v>
      </c>
      <c r="U46" s="1">
        <v>22</v>
      </c>
      <c r="V46" s="1">
        <v>62</v>
      </c>
      <c r="W46" s="1">
        <v>96</v>
      </c>
      <c r="X46" s="1">
        <v>20</v>
      </c>
      <c r="Y46" s="1">
        <v>64</v>
      </c>
      <c r="Z46" s="1">
        <v>55</v>
      </c>
      <c r="AA46" s="1">
        <v>88</v>
      </c>
      <c r="AB46" s="1">
        <v>17</v>
      </c>
      <c r="AC46" s="1">
        <v>16</v>
      </c>
      <c r="AD46" s="1">
        <v>25</v>
      </c>
      <c r="AE46" s="1">
        <v>12</v>
      </c>
      <c r="AF46" s="18">
        <f t="shared" si="0"/>
        <v>37.333333333333336</v>
      </c>
    </row>
    <row r="47" spans="1:32" x14ac:dyDescent="0.35">
      <c r="A47" s="1" t="s">
        <v>175</v>
      </c>
      <c r="B47" s="1">
        <v>17</v>
      </c>
      <c r="C47" s="1">
        <v>14</v>
      </c>
      <c r="D47" s="1">
        <v>154</v>
      </c>
      <c r="E47" s="1">
        <v>15</v>
      </c>
      <c r="F47" s="1">
        <v>80</v>
      </c>
      <c r="G47" s="1">
        <v>45</v>
      </c>
      <c r="H47" s="1">
        <v>63</v>
      </c>
      <c r="I47" s="1">
        <v>32</v>
      </c>
      <c r="J47" s="1">
        <v>39</v>
      </c>
      <c r="K47" s="1">
        <v>44</v>
      </c>
      <c r="L47" s="1">
        <v>25</v>
      </c>
      <c r="M47" s="1">
        <v>36</v>
      </c>
      <c r="N47" s="1">
        <v>101</v>
      </c>
      <c r="O47" s="1">
        <v>152</v>
      </c>
      <c r="P47" s="1">
        <v>146</v>
      </c>
      <c r="Q47" s="1">
        <v>123</v>
      </c>
      <c r="R47" s="1">
        <v>34</v>
      </c>
      <c r="S47" s="1">
        <v>73</v>
      </c>
      <c r="T47" s="1">
        <v>163</v>
      </c>
      <c r="U47" s="1">
        <v>125</v>
      </c>
      <c r="V47" s="1">
        <v>43</v>
      </c>
      <c r="W47" s="1">
        <v>147</v>
      </c>
      <c r="X47" s="1">
        <v>86</v>
      </c>
      <c r="Y47" s="1">
        <v>27</v>
      </c>
      <c r="Z47" s="1">
        <v>121</v>
      </c>
      <c r="AA47" s="1">
        <v>91</v>
      </c>
      <c r="AB47" s="1">
        <v>81</v>
      </c>
      <c r="AC47" s="1">
        <v>124</v>
      </c>
      <c r="AD47" s="1">
        <v>151</v>
      </c>
      <c r="AE47" s="1">
        <v>26</v>
      </c>
      <c r="AF47" s="18">
        <f t="shared" si="0"/>
        <v>79.266666666666666</v>
      </c>
    </row>
    <row r="48" spans="1:32" x14ac:dyDescent="0.35">
      <c r="A48" s="1" t="s">
        <v>31</v>
      </c>
      <c r="B48" s="1">
        <v>32</v>
      </c>
      <c r="C48" s="1">
        <v>167</v>
      </c>
      <c r="D48" s="1">
        <v>79</v>
      </c>
      <c r="E48" s="1">
        <v>50</v>
      </c>
      <c r="F48" s="1">
        <v>87</v>
      </c>
      <c r="G48" s="1">
        <v>38</v>
      </c>
      <c r="H48" s="1">
        <v>41</v>
      </c>
      <c r="I48" s="1">
        <v>47</v>
      </c>
      <c r="J48" s="1">
        <v>18</v>
      </c>
      <c r="K48" s="1">
        <v>71</v>
      </c>
      <c r="L48" s="1">
        <v>66</v>
      </c>
      <c r="M48" s="1">
        <v>31</v>
      </c>
      <c r="N48" s="1">
        <v>46</v>
      </c>
      <c r="O48" s="1">
        <v>41</v>
      </c>
      <c r="P48" s="1">
        <v>98</v>
      </c>
      <c r="Q48" s="1">
        <v>50</v>
      </c>
      <c r="R48" s="1">
        <v>63</v>
      </c>
      <c r="S48" s="1">
        <v>129</v>
      </c>
      <c r="T48" s="1">
        <v>16</v>
      </c>
      <c r="U48" s="1">
        <v>160</v>
      </c>
      <c r="V48" s="1">
        <v>112</v>
      </c>
      <c r="W48" s="1">
        <v>62</v>
      </c>
      <c r="X48" s="1">
        <v>118</v>
      </c>
      <c r="Y48" s="1">
        <v>67</v>
      </c>
      <c r="Z48" s="1">
        <v>64</v>
      </c>
      <c r="AA48" s="1">
        <v>23</v>
      </c>
      <c r="AB48" s="1">
        <v>126</v>
      </c>
      <c r="AC48" s="1">
        <v>103</v>
      </c>
      <c r="AD48" s="1">
        <v>55</v>
      </c>
      <c r="AE48" s="1">
        <v>43</v>
      </c>
      <c r="AF48" s="18">
        <f t="shared" si="0"/>
        <v>70.099999999999994</v>
      </c>
    </row>
    <row r="49" spans="1:32" x14ac:dyDescent="0.35">
      <c r="A49" s="1" t="s">
        <v>32</v>
      </c>
      <c r="B49" s="1">
        <v>56</v>
      </c>
      <c r="C49" s="1">
        <v>123</v>
      </c>
      <c r="D49" s="1">
        <v>36</v>
      </c>
      <c r="E49" s="1">
        <v>67</v>
      </c>
      <c r="F49" s="1">
        <v>65</v>
      </c>
      <c r="G49" s="1">
        <v>42</v>
      </c>
      <c r="H49" s="1">
        <v>133</v>
      </c>
      <c r="I49" s="1">
        <v>78</v>
      </c>
      <c r="J49" s="1">
        <v>31</v>
      </c>
      <c r="K49" s="1">
        <v>37</v>
      </c>
      <c r="L49" s="1">
        <v>166</v>
      </c>
      <c r="M49" s="1">
        <v>16</v>
      </c>
      <c r="N49" s="1">
        <v>29</v>
      </c>
      <c r="O49" s="1">
        <v>14</v>
      </c>
      <c r="P49" s="1">
        <v>20</v>
      </c>
      <c r="Q49" s="1">
        <v>30</v>
      </c>
      <c r="R49" s="1">
        <v>48</v>
      </c>
      <c r="S49" s="1">
        <v>48</v>
      </c>
      <c r="T49" s="1">
        <v>19</v>
      </c>
      <c r="U49" s="1">
        <v>21</v>
      </c>
      <c r="V49" s="1">
        <v>71</v>
      </c>
      <c r="W49" s="1">
        <v>37</v>
      </c>
      <c r="X49" s="1">
        <v>66</v>
      </c>
      <c r="Y49" s="1">
        <v>57</v>
      </c>
      <c r="Z49" s="1">
        <v>53</v>
      </c>
      <c r="AA49" s="1">
        <v>32</v>
      </c>
      <c r="AB49" s="1">
        <v>58</v>
      </c>
      <c r="AC49" s="1">
        <v>98</v>
      </c>
      <c r="AD49" s="1">
        <v>48</v>
      </c>
      <c r="AE49" s="1">
        <v>220</v>
      </c>
      <c r="AF49" s="18">
        <f t="shared" si="0"/>
        <v>60.633333333333333</v>
      </c>
    </row>
    <row r="50" spans="1:32" x14ac:dyDescent="0.35">
      <c r="A50" s="1" t="s">
        <v>33</v>
      </c>
      <c r="B50" s="1">
        <v>56</v>
      </c>
      <c r="C50" s="1">
        <v>90</v>
      </c>
      <c r="D50" s="1">
        <v>13</v>
      </c>
      <c r="E50" s="1">
        <v>16</v>
      </c>
      <c r="F50" s="1">
        <v>112</v>
      </c>
      <c r="G50" s="1">
        <v>12</v>
      </c>
      <c r="H50" s="1">
        <v>43</v>
      </c>
      <c r="I50" s="1">
        <v>12</v>
      </c>
      <c r="J50" s="1">
        <v>38</v>
      </c>
      <c r="K50" s="1">
        <v>23</v>
      </c>
      <c r="L50" s="1">
        <v>14</v>
      </c>
      <c r="M50" s="1">
        <v>35</v>
      </c>
      <c r="N50" s="1">
        <v>32</v>
      </c>
      <c r="O50" s="1">
        <v>30</v>
      </c>
      <c r="P50" s="1">
        <v>17</v>
      </c>
      <c r="Q50" s="1">
        <v>25</v>
      </c>
      <c r="R50" s="1">
        <v>33</v>
      </c>
      <c r="S50" s="1">
        <v>12</v>
      </c>
      <c r="T50" s="1">
        <v>18</v>
      </c>
      <c r="U50" s="1">
        <v>15</v>
      </c>
      <c r="V50" s="1">
        <v>31</v>
      </c>
      <c r="W50" s="1">
        <v>29</v>
      </c>
      <c r="X50" s="1">
        <v>64</v>
      </c>
      <c r="Y50" s="1">
        <v>56</v>
      </c>
      <c r="Z50" s="1">
        <v>16</v>
      </c>
      <c r="AA50" s="1">
        <v>36</v>
      </c>
      <c r="AB50" s="1">
        <v>23</v>
      </c>
      <c r="AC50" s="1">
        <v>44</v>
      </c>
      <c r="AD50" s="1">
        <v>179</v>
      </c>
      <c r="AE50" s="1">
        <v>16</v>
      </c>
      <c r="AF50" s="18">
        <f t="shared" si="0"/>
        <v>38</v>
      </c>
    </row>
    <row r="51" spans="1:32" x14ac:dyDescent="0.35">
      <c r="A51" s="1" t="s">
        <v>34</v>
      </c>
      <c r="B51" s="1">
        <v>22</v>
      </c>
      <c r="C51" s="1">
        <v>47</v>
      </c>
      <c r="D51" s="1">
        <v>12</v>
      </c>
      <c r="E51" s="1">
        <v>43</v>
      </c>
      <c r="F51" s="1">
        <v>43</v>
      </c>
      <c r="G51" s="1">
        <v>43</v>
      </c>
      <c r="H51" s="1">
        <v>89</v>
      </c>
      <c r="I51" s="1">
        <v>104</v>
      </c>
      <c r="J51" s="1">
        <v>46</v>
      </c>
      <c r="K51" s="1">
        <v>87</v>
      </c>
      <c r="L51" s="1">
        <v>61</v>
      </c>
      <c r="M51" s="1">
        <v>32</v>
      </c>
      <c r="N51" s="1">
        <v>30</v>
      </c>
      <c r="O51" s="1">
        <v>56</v>
      </c>
      <c r="P51" s="1">
        <v>14</v>
      </c>
      <c r="Q51" s="1">
        <v>27</v>
      </c>
      <c r="R51" s="1">
        <v>70</v>
      </c>
      <c r="S51" s="1">
        <v>34</v>
      </c>
      <c r="T51" s="1">
        <v>24</v>
      </c>
      <c r="U51" s="1">
        <v>45</v>
      </c>
      <c r="V51" s="1">
        <v>54</v>
      </c>
      <c r="W51" s="1">
        <v>37</v>
      </c>
      <c r="X51" s="1">
        <v>186</v>
      </c>
      <c r="Y51" s="1">
        <v>97</v>
      </c>
      <c r="Z51" s="1">
        <v>76</v>
      </c>
      <c r="AA51" s="1">
        <v>37</v>
      </c>
      <c r="AB51" s="1">
        <v>23</v>
      </c>
      <c r="AC51" s="1">
        <v>13</v>
      </c>
      <c r="AD51" s="1">
        <v>19</v>
      </c>
      <c r="AE51" s="1">
        <v>19</v>
      </c>
      <c r="AF51" s="18">
        <f t="shared" si="0"/>
        <v>49.666666666666664</v>
      </c>
    </row>
    <row r="52" spans="1:32" x14ac:dyDescent="0.35">
      <c r="A52" s="1" t="s">
        <v>35</v>
      </c>
      <c r="B52" s="1">
        <v>17</v>
      </c>
      <c r="C52" s="1">
        <v>81</v>
      </c>
      <c r="D52" s="1">
        <v>36</v>
      </c>
      <c r="E52" s="1">
        <v>49</v>
      </c>
      <c r="F52" s="1">
        <v>38</v>
      </c>
      <c r="G52" s="1">
        <v>43</v>
      </c>
      <c r="H52" s="1">
        <v>43</v>
      </c>
      <c r="I52" s="1">
        <v>23</v>
      </c>
      <c r="J52" s="1">
        <v>54</v>
      </c>
      <c r="K52" s="1">
        <v>15</v>
      </c>
      <c r="L52" s="1">
        <v>82</v>
      </c>
      <c r="M52" s="1">
        <v>36</v>
      </c>
      <c r="N52" s="1">
        <v>25</v>
      </c>
      <c r="O52" s="1">
        <v>21</v>
      </c>
      <c r="P52" s="1">
        <v>13</v>
      </c>
      <c r="Q52" s="1">
        <v>25</v>
      </c>
      <c r="R52" s="1">
        <v>52</v>
      </c>
      <c r="S52" s="1">
        <v>18</v>
      </c>
      <c r="T52" s="1">
        <v>30</v>
      </c>
      <c r="U52" s="1">
        <v>140</v>
      </c>
      <c r="V52" s="1">
        <v>24</v>
      </c>
      <c r="W52" s="1">
        <v>14</v>
      </c>
      <c r="X52" s="1">
        <v>53</v>
      </c>
      <c r="Y52" s="1">
        <v>29</v>
      </c>
      <c r="Z52" s="1">
        <v>33</v>
      </c>
      <c r="AA52" s="1">
        <v>23</v>
      </c>
      <c r="AB52" s="1">
        <v>23</v>
      </c>
      <c r="AC52" s="1">
        <v>29</v>
      </c>
      <c r="AD52" s="1">
        <v>174</v>
      </c>
      <c r="AE52" s="1">
        <v>156</v>
      </c>
      <c r="AF52" s="18">
        <f t="shared" si="0"/>
        <v>46.633333333333333</v>
      </c>
    </row>
    <row r="53" spans="1:32" x14ac:dyDescent="0.35">
      <c r="A53" s="1" t="s">
        <v>36</v>
      </c>
      <c r="B53" s="1">
        <v>74</v>
      </c>
      <c r="C53" s="1">
        <v>121</v>
      </c>
      <c r="D53" s="1">
        <v>58</v>
      </c>
      <c r="E53" s="1">
        <v>52</v>
      </c>
      <c r="F53" s="1">
        <v>229</v>
      </c>
      <c r="G53" s="1">
        <v>50</v>
      </c>
      <c r="H53" s="1">
        <v>58</v>
      </c>
      <c r="I53" s="1">
        <v>122</v>
      </c>
      <c r="J53" s="1">
        <v>45</v>
      </c>
      <c r="K53" s="1">
        <v>67</v>
      </c>
      <c r="L53" s="1">
        <v>32</v>
      </c>
      <c r="M53" s="1">
        <v>190</v>
      </c>
      <c r="N53" s="1">
        <v>119</v>
      </c>
      <c r="O53" s="1">
        <v>122</v>
      </c>
      <c r="P53" s="1">
        <v>62</v>
      </c>
      <c r="Q53" s="1">
        <v>63</v>
      </c>
      <c r="R53" s="1">
        <v>59</v>
      </c>
      <c r="S53" s="1">
        <v>41</v>
      </c>
      <c r="T53" s="1">
        <v>87</v>
      </c>
      <c r="U53" s="1">
        <v>82</v>
      </c>
      <c r="V53" s="1">
        <v>33</v>
      </c>
      <c r="W53" s="1">
        <v>51</v>
      </c>
      <c r="X53" s="1">
        <v>149</v>
      </c>
      <c r="Y53" s="1">
        <v>22</v>
      </c>
      <c r="Z53" s="1">
        <v>22</v>
      </c>
      <c r="AA53" s="1">
        <v>42</v>
      </c>
      <c r="AB53" s="1">
        <v>24</v>
      </c>
      <c r="AC53" s="1">
        <v>26</v>
      </c>
      <c r="AD53" s="1">
        <v>48</v>
      </c>
      <c r="AE53" s="1">
        <v>26</v>
      </c>
      <c r="AF53" s="18">
        <f t="shared" si="0"/>
        <v>72.533333333333331</v>
      </c>
    </row>
    <row r="54" spans="1:32" x14ac:dyDescent="0.35">
      <c r="A54" s="1" t="s">
        <v>37</v>
      </c>
      <c r="B54" s="1">
        <v>16</v>
      </c>
      <c r="C54" s="1">
        <v>55</v>
      </c>
      <c r="D54" s="1">
        <v>18</v>
      </c>
      <c r="E54" s="1">
        <v>36</v>
      </c>
      <c r="F54" s="1">
        <v>47</v>
      </c>
      <c r="G54" s="1">
        <v>30</v>
      </c>
      <c r="H54" s="1">
        <v>16</v>
      </c>
      <c r="I54" s="1">
        <v>26</v>
      </c>
      <c r="J54" s="1">
        <v>150</v>
      </c>
      <c r="K54" s="1">
        <v>13</v>
      </c>
      <c r="L54" s="1">
        <v>27</v>
      </c>
      <c r="M54" s="1">
        <v>18</v>
      </c>
      <c r="N54" s="1">
        <v>80</v>
      </c>
      <c r="O54" s="1">
        <v>20</v>
      </c>
      <c r="P54" s="1">
        <v>12</v>
      </c>
      <c r="Q54" s="1">
        <v>16</v>
      </c>
      <c r="R54" s="1">
        <v>105</v>
      </c>
      <c r="S54" s="1">
        <v>41</v>
      </c>
      <c r="T54" s="1">
        <v>47</v>
      </c>
      <c r="U54" s="1">
        <v>61</v>
      </c>
      <c r="V54" s="1">
        <v>14</v>
      </c>
      <c r="W54" s="1">
        <v>21</v>
      </c>
      <c r="X54" s="1">
        <v>33</v>
      </c>
      <c r="Y54" s="1">
        <v>60</v>
      </c>
      <c r="Z54" s="1">
        <v>23</v>
      </c>
      <c r="AA54" s="1">
        <v>19</v>
      </c>
      <c r="AB54" s="1">
        <v>72</v>
      </c>
      <c r="AC54" s="1">
        <v>55</v>
      </c>
      <c r="AD54" s="1">
        <v>40</v>
      </c>
      <c r="AE54" s="1">
        <v>18</v>
      </c>
      <c r="AF54" s="18">
        <f t="shared" si="0"/>
        <v>39.633333333333333</v>
      </c>
    </row>
    <row r="55" spans="1:32" x14ac:dyDescent="0.35">
      <c r="A55" s="1" t="s">
        <v>38</v>
      </c>
      <c r="B55" s="1">
        <v>37</v>
      </c>
      <c r="C55" s="1">
        <v>30</v>
      </c>
      <c r="D55" s="1">
        <v>16</v>
      </c>
      <c r="E55" s="1">
        <v>40</v>
      </c>
      <c r="F55" s="1">
        <v>22</v>
      </c>
      <c r="G55" s="1">
        <v>42</v>
      </c>
      <c r="H55" s="1">
        <v>24</v>
      </c>
      <c r="I55" s="1">
        <v>264</v>
      </c>
      <c r="J55" s="1">
        <v>21</v>
      </c>
      <c r="K55" s="1">
        <v>42</v>
      </c>
      <c r="L55" s="1">
        <v>56</v>
      </c>
      <c r="M55" s="1">
        <v>52</v>
      </c>
      <c r="N55" s="1">
        <v>30</v>
      </c>
      <c r="O55" s="1">
        <v>12</v>
      </c>
      <c r="P55" s="1">
        <v>22</v>
      </c>
      <c r="Q55" s="1">
        <v>37</v>
      </c>
      <c r="R55" s="1">
        <v>73</v>
      </c>
      <c r="S55" s="1">
        <v>63</v>
      </c>
      <c r="T55" s="1">
        <v>15</v>
      </c>
      <c r="U55" s="1">
        <v>36</v>
      </c>
      <c r="V55" s="1">
        <v>43</v>
      </c>
      <c r="W55" s="1">
        <v>222</v>
      </c>
      <c r="X55" s="1">
        <v>12</v>
      </c>
      <c r="Y55" s="1">
        <v>167</v>
      </c>
      <c r="Z55" s="1">
        <v>26</v>
      </c>
      <c r="AA55" s="1">
        <v>18</v>
      </c>
      <c r="AB55" s="1">
        <v>58</v>
      </c>
      <c r="AC55" s="1">
        <v>34</v>
      </c>
      <c r="AD55" s="1">
        <v>55</v>
      </c>
      <c r="AE55" s="1">
        <v>37</v>
      </c>
      <c r="AF55" s="18">
        <f t="shared" si="0"/>
        <v>53.533333333333331</v>
      </c>
    </row>
    <row r="56" spans="1:32" x14ac:dyDescent="0.35">
      <c r="A56" s="1" t="s">
        <v>39</v>
      </c>
      <c r="B56" s="1">
        <v>18</v>
      </c>
      <c r="C56" s="1">
        <v>28</v>
      </c>
      <c r="D56" s="1">
        <v>17</v>
      </c>
      <c r="E56" s="1">
        <v>146</v>
      </c>
      <c r="F56" s="1">
        <v>17</v>
      </c>
      <c r="G56" s="1">
        <v>75</v>
      </c>
      <c r="H56" s="1">
        <v>100</v>
      </c>
      <c r="I56" s="1">
        <v>74</v>
      </c>
      <c r="J56" s="1">
        <v>31</v>
      </c>
      <c r="K56" s="1">
        <v>12</v>
      </c>
      <c r="L56" s="1">
        <v>27</v>
      </c>
      <c r="M56" s="1">
        <v>28</v>
      </c>
      <c r="N56" s="1">
        <v>33</v>
      </c>
      <c r="O56" s="1">
        <v>81</v>
      </c>
      <c r="P56" s="1">
        <v>46</v>
      </c>
      <c r="Q56" s="1">
        <v>71</v>
      </c>
      <c r="R56" s="1">
        <v>54</v>
      </c>
      <c r="S56" s="1">
        <v>38</v>
      </c>
      <c r="T56" s="1">
        <v>21</v>
      </c>
      <c r="U56" s="1">
        <v>27</v>
      </c>
      <c r="V56" s="1">
        <v>15</v>
      </c>
      <c r="W56" s="1">
        <v>171</v>
      </c>
      <c r="X56" s="1">
        <v>67</v>
      </c>
      <c r="Y56" s="1">
        <v>19</v>
      </c>
      <c r="Z56" s="1">
        <v>107</v>
      </c>
      <c r="AA56" s="1">
        <v>127</v>
      </c>
      <c r="AB56" s="1">
        <v>17</v>
      </c>
      <c r="AC56" s="1">
        <v>18</v>
      </c>
      <c r="AD56" s="1">
        <v>51</v>
      </c>
      <c r="AE56" s="1">
        <v>17</v>
      </c>
      <c r="AF56" s="18">
        <f t="shared" si="0"/>
        <v>51.766666666666666</v>
      </c>
    </row>
    <row r="57" spans="1:32" x14ac:dyDescent="0.35">
      <c r="A57" s="1" t="s">
        <v>176</v>
      </c>
      <c r="B57" s="1">
        <v>38</v>
      </c>
      <c r="C57" s="1">
        <v>80</v>
      </c>
      <c r="D57" s="1">
        <v>34</v>
      </c>
      <c r="E57" s="1">
        <v>23</v>
      </c>
      <c r="F57" s="1">
        <v>74</v>
      </c>
      <c r="G57" s="1">
        <v>87</v>
      </c>
      <c r="H57" s="1">
        <v>19</v>
      </c>
      <c r="I57" s="1">
        <v>21</v>
      </c>
      <c r="J57" s="1">
        <v>52</v>
      </c>
      <c r="K57" s="1">
        <v>13</v>
      </c>
      <c r="L57" s="1">
        <v>18</v>
      </c>
      <c r="M57" s="1">
        <v>104</v>
      </c>
      <c r="N57" s="1">
        <v>103</v>
      </c>
      <c r="O57" s="1">
        <v>72</v>
      </c>
      <c r="P57" s="1">
        <v>20</v>
      </c>
      <c r="Q57" s="1">
        <v>57</v>
      </c>
      <c r="R57" s="1">
        <v>88</v>
      </c>
      <c r="S57" s="1">
        <v>160</v>
      </c>
      <c r="T57" s="1">
        <v>34</v>
      </c>
      <c r="U57" s="1">
        <v>108</v>
      </c>
      <c r="V57" s="1">
        <v>35</v>
      </c>
      <c r="W57" s="1">
        <v>60</v>
      </c>
      <c r="X57" s="1">
        <v>154</v>
      </c>
      <c r="Y57" s="1">
        <v>53</v>
      </c>
      <c r="Z57" s="1">
        <v>31</v>
      </c>
      <c r="AA57" s="1">
        <v>29</v>
      </c>
      <c r="AB57" s="1">
        <v>34</v>
      </c>
      <c r="AC57" s="1">
        <v>93</v>
      </c>
      <c r="AD57" s="1">
        <v>21</v>
      </c>
      <c r="AE57" s="1">
        <v>25</v>
      </c>
      <c r="AF57" s="18">
        <f t="shared" si="0"/>
        <v>58</v>
      </c>
    </row>
    <row r="58" spans="1:32" x14ac:dyDescent="0.35">
      <c r="A58" s="1" t="s">
        <v>40</v>
      </c>
      <c r="B58" s="1">
        <v>80</v>
      </c>
      <c r="C58" s="1">
        <v>79</v>
      </c>
      <c r="D58" s="1">
        <v>34</v>
      </c>
      <c r="E58" s="1">
        <v>50</v>
      </c>
      <c r="F58" s="1">
        <v>33</v>
      </c>
      <c r="G58" s="1">
        <v>49</v>
      </c>
      <c r="H58" s="1">
        <v>44</v>
      </c>
      <c r="I58" s="1">
        <v>38</v>
      </c>
      <c r="J58" s="1">
        <v>33</v>
      </c>
      <c r="K58" s="1">
        <v>12</v>
      </c>
      <c r="L58" s="1">
        <v>98</v>
      </c>
      <c r="M58" s="1">
        <v>18</v>
      </c>
      <c r="N58" s="1">
        <v>49</v>
      </c>
      <c r="O58" s="1">
        <v>32</v>
      </c>
      <c r="P58" s="1">
        <v>114</v>
      </c>
      <c r="Q58" s="1">
        <v>112</v>
      </c>
      <c r="R58" s="1">
        <v>14</v>
      </c>
      <c r="S58" s="1">
        <v>13</v>
      </c>
      <c r="T58" s="1">
        <v>103</v>
      </c>
      <c r="U58" s="1">
        <v>12</v>
      </c>
      <c r="V58" s="1">
        <v>138</v>
      </c>
      <c r="W58" s="1">
        <v>68</v>
      </c>
      <c r="X58" s="1">
        <v>164</v>
      </c>
      <c r="Y58" s="1">
        <v>28</v>
      </c>
      <c r="Z58" s="1">
        <v>65</v>
      </c>
      <c r="AA58" s="1">
        <v>64</v>
      </c>
      <c r="AB58" s="1">
        <v>76</v>
      </c>
      <c r="AC58" s="1">
        <v>22</v>
      </c>
      <c r="AD58" s="1">
        <v>117</v>
      </c>
      <c r="AE58" s="1">
        <v>32</v>
      </c>
      <c r="AF58" s="18">
        <f t="shared" si="0"/>
        <v>59.7</v>
      </c>
    </row>
    <row r="59" spans="1:32" x14ac:dyDescent="0.35">
      <c r="A59" s="1" t="s">
        <v>41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8">
        <f t="shared" si="0"/>
        <v>0</v>
      </c>
    </row>
    <row r="60" spans="1:32" x14ac:dyDescent="0.35">
      <c r="A60" s="1" t="s">
        <v>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8">
        <f t="shared" si="0"/>
        <v>0</v>
      </c>
    </row>
    <row r="61" spans="1:32" x14ac:dyDescent="0.35">
      <c r="A61" s="1" t="s">
        <v>43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8">
        <f t="shared" si="0"/>
        <v>0</v>
      </c>
    </row>
    <row r="62" spans="1:32" x14ac:dyDescent="0.35">
      <c r="A62" s="1" t="s">
        <v>44</v>
      </c>
      <c r="B62" s="1">
        <v>92</v>
      </c>
      <c r="C62" s="1">
        <v>23</v>
      </c>
      <c r="D62" s="1">
        <v>17</v>
      </c>
      <c r="E62" s="1">
        <v>36</v>
      </c>
      <c r="F62" s="1">
        <v>36</v>
      </c>
      <c r="G62" s="1">
        <v>25</v>
      </c>
      <c r="H62" s="1">
        <v>97</v>
      </c>
      <c r="I62" s="1">
        <v>85</v>
      </c>
      <c r="J62" s="1">
        <v>19</v>
      </c>
      <c r="K62" s="1">
        <v>24</v>
      </c>
      <c r="L62" s="1">
        <v>167</v>
      </c>
      <c r="M62" s="1">
        <v>38</v>
      </c>
      <c r="N62" s="1">
        <v>82</v>
      </c>
      <c r="O62" s="1">
        <v>37</v>
      </c>
      <c r="P62" s="1">
        <v>23</v>
      </c>
      <c r="Q62" s="1">
        <v>13</v>
      </c>
      <c r="R62" s="1">
        <v>56</v>
      </c>
      <c r="S62" s="1">
        <v>66</v>
      </c>
      <c r="T62" s="1">
        <v>29</v>
      </c>
      <c r="U62" s="1">
        <v>36</v>
      </c>
      <c r="V62" s="1">
        <v>37</v>
      </c>
      <c r="W62" s="1">
        <v>120</v>
      </c>
      <c r="X62" s="1">
        <v>32</v>
      </c>
      <c r="Y62" s="1">
        <v>118</v>
      </c>
      <c r="Z62" s="1">
        <v>46</v>
      </c>
      <c r="AA62" s="1">
        <v>25</v>
      </c>
      <c r="AB62" s="1">
        <v>68</v>
      </c>
      <c r="AC62" s="1">
        <v>15</v>
      </c>
      <c r="AD62" s="1">
        <v>20</v>
      </c>
      <c r="AE62" s="1">
        <v>23</v>
      </c>
      <c r="AF62" s="18">
        <f t="shared" si="0"/>
        <v>50.166666666666664</v>
      </c>
    </row>
    <row r="63" spans="1:32" x14ac:dyDescent="0.35">
      <c r="A63" s="1" t="s">
        <v>177</v>
      </c>
      <c r="B63" s="1">
        <v>23</v>
      </c>
      <c r="C63" s="1">
        <v>24</v>
      </c>
      <c r="D63" s="1">
        <v>12</v>
      </c>
      <c r="E63" s="1">
        <v>50</v>
      </c>
      <c r="F63" s="1">
        <v>67</v>
      </c>
      <c r="G63" s="1">
        <v>17</v>
      </c>
      <c r="H63" s="1">
        <v>15</v>
      </c>
      <c r="I63" s="1">
        <v>13</v>
      </c>
      <c r="J63" s="1">
        <v>13</v>
      </c>
      <c r="K63" s="1">
        <v>15</v>
      </c>
      <c r="L63" s="1">
        <v>49</v>
      </c>
      <c r="M63" s="1">
        <v>59</v>
      </c>
      <c r="N63" s="1">
        <v>45</v>
      </c>
      <c r="O63" s="1">
        <v>51</v>
      </c>
      <c r="P63" s="1">
        <v>74</v>
      </c>
      <c r="Q63" s="1">
        <v>38</v>
      </c>
      <c r="R63" s="1">
        <v>31</v>
      </c>
      <c r="S63" s="1">
        <v>13</v>
      </c>
      <c r="T63" s="1">
        <v>89</v>
      </c>
      <c r="U63" s="1">
        <v>36</v>
      </c>
      <c r="V63" s="1">
        <v>63</v>
      </c>
      <c r="W63" s="1">
        <v>56</v>
      </c>
      <c r="X63" s="1">
        <v>25</v>
      </c>
      <c r="Y63" s="1">
        <v>15</v>
      </c>
      <c r="Z63" s="1">
        <v>46</v>
      </c>
      <c r="AA63" s="1">
        <v>18</v>
      </c>
      <c r="AB63" s="1">
        <v>14</v>
      </c>
      <c r="AC63" s="1">
        <v>21</v>
      </c>
      <c r="AD63" s="1">
        <v>26</v>
      </c>
      <c r="AE63" s="1">
        <v>52</v>
      </c>
      <c r="AF63" s="18">
        <f t="shared" si="0"/>
        <v>35.666666666666664</v>
      </c>
    </row>
    <row r="64" spans="1:32" x14ac:dyDescent="0.35">
      <c r="A64" s="1" t="s">
        <v>178</v>
      </c>
      <c r="B64" s="1">
        <v>57</v>
      </c>
      <c r="C64" s="1">
        <v>47</v>
      </c>
      <c r="D64" s="1">
        <v>16</v>
      </c>
      <c r="E64" s="1">
        <v>51</v>
      </c>
      <c r="F64" s="1">
        <v>74</v>
      </c>
      <c r="G64" s="1">
        <v>27</v>
      </c>
      <c r="H64" s="1">
        <v>70</v>
      </c>
      <c r="I64" s="1">
        <v>47</v>
      </c>
      <c r="J64" s="1">
        <v>13</v>
      </c>
      <c r="K64" s="1">
        <v>12</v>
      </c>
      <c r="L64" s="1">
        <v>20</v>
      </c>
      <c r="M64" s="1">
        <v>17</v>
      </c>
      <c r="N64" s="1">
        <v>52</v>
      </c>
      <c r="O64" s="1">
        <v>17</v>
      </c>
      <c r="P64" s="1">
        <v>17</v>
      </c>
      <c r="Q64" s="1">
        <v>18</v>
      </c>
      <c r="R64" s="1">
        <v>13</v>
      </c>
      <c r="S64" s="1">
        <v>12</v>
      </c>
      <c r="T64" s="1">
        <v>23</v>
      </c>
      <c r="U64" s="1">
        <v>37</v>
      </c>
      <c r="V64" s="1">
        <v>42</v>
      </c>
      <c r="W64" s="1">
        <v>111</v>
      </c>
      <c r="X64" s="1">
        <v>33</v>
      </c>
      <c r="Y64" s="1">
        <v>60</v>
      </c>
      <c r="Z64" s="1">
        <v>45</v>
      </c>
      <c r="AA64" s="1">
        <v>21</v>
      </c>
      <c r="AB64" s="1">
        <v>17</v>
      </c>
      <c r="AC64" s="1">
        <v>22</v>
      </c>
      <c r="AD64" s="1">
        <v>20</v>
      </c>
      <c r="AE64" s="1">
        <v>45</v>
      </c>
      <c r="AF64" s="18">
        <f t="shared" si="0"/>
        <v>35.200000000000003</v>
      </c>
    </row>
    <row r="65" spans="1:32" x14ac:dyDescent="0.35">
      <c r="A65" s="1" t="s">
        <v>45</v>
      </c>
      <c r="B65" s="1">
        <v>52</v>
      </c>
      <c r="C65" s="1">
        <v>61</v>
      </c>
      <c r="D65" s="1">
        <v>16</v>
      </c>
      <c r="E65" s="1">
        <v>65</v>
      </c>
      <c r="F65" s="1">
        <v>32</v>
      </c>
      <c r="G65" s="1">
        <v>45</v>
      </c>
      <c r="H65" s="1">
        <v>15</v>
      </c>
      <c r="I65" s="1">
        <v>118</v>
      </c>
      <c r="J65" s="1">
        <v>20</v>
      </c>
      <c r="K65" s="1">
        <v>32</v>
      </c>
      <c r="L65" s="1">
        <v>19</v>
      </c>
      <c r="M65" s="1">
        <v>25</v>
      </c>
      <c r="N65" s="1">
        <v>51</v>
      </c>
      <c r="O65" s="1">
        <v>17</v>
      </c>
      <c r="P65" s="1">
        <v>21</v>
      </c>
      <c r="Q65" s="1">
        <v>13</v>
      </c>
      <c r="R65" s="1">
        <v>49</v>
      </c>
      <c r="S65" s="1">
        <v>22</v>
      </c>
      <c r="T65" s="1">
        <v>12</v>
      </c>
      <c r="U65" s="1">
        <v>40</v>
      </c>
      <c r="V65" s="1">
        <v>92</v>
      </c>
      <c r="W65" s="1">
        <v>38</v>
      </c>
      <c r="X65" s="1">
        <v>92</v>
      </c>
      <c r="Y65" s="1">
        <v>30</v>
      </c>
      <c r="Z65" s="1">
        <v>91</v>
      </c>
      <c r="AA65" s="1">
        <v>15</v>
      </c>
      <c r="AB65" s="1">
        <v>15</v>
      </c>
      <c r="AC65" s="1">
        <v>21</v>
      </c>
      <c r="AD65" s="1">
        <v>54</v>
      </c>
      <c r="AE65" s="1">
        <v>19</v>
      </c>
      <c r="AF65" s="18">
        <f t="shared" si="0"/>
        <v>39.733333333333334</v>
      </c>
    </row>
    <row r="66" spans="1:32" x14ac:dyDescent="0.35">
      <c r="A66" s="1" t="s">
        <v>46</v>
      </c>
      <c r="B66" s="1">
        <v>52</v>
      </c>
      <c r="C66" s="1">
        <v>17</v>
      </c>
      <c r="D66" s="1">
        <v>66</v>
      </c>
      <c r="E66" s="1">
        <v>23</v>
      </c>
      <c r="F66" s="1">
        <v>90</v>
      </c>
      <c r="G66" s="1">
        <v>182</v>
      </c>
      <c r="H66" s="1">
        <v>20</v>
      </c>
      <c r="I66" s="1">
        <v>78</v>
      </c>
      <c r="J66" s="1">
        <v>20</v>
      </c>
      <c r="K66" s="1">
        <v>65</v>
      </c>
      <c r="L66" s="1">
        <v>85</v>
      </c>
      <c r="M66" s="1">
        <v>22</v>
      </c>
      <c r="N66" s="1">
        <v>55</v>
      </c>
      <c r="O66" s="1">
        <v>13</v>
      </c>
      <c r="P66" s="1">
        <v>103</v>
      </c>
      <c r="Q66" s="1">
        <v>38</v>
      </c>
      <c r="R66" s="1">
        <v>66</v>
      </c>
      <c r="S66" s="1">
        <v>287</v>
      </c>
      <c r="T66" s="1">
        <v>32</v>
      </c>
      <c r="U66" s="1">
        <v>37</v>
      </c>
      <c r="V66" s="1">
        <v>70</v>
      </c>
      <c r="W66" s="1">
        <v>51</v>
      </c>
      <c r="X66" s="1">
        <v>82</v>
      </c>
      <c r="Y66" s="1">
        <v>13</v>
      </c>
      <c r="Z66" s="1">
        <v>86</v>
      </c>
      <c r="AA66" s="1">
        <v>71</v>
      </c>
      <c r="AB66" s="1">
        <v>16</v>
      </c>
      <c r="AC66" s="1">
        <v>19</v>
      </c>
      <c r="AD66" s="1">
        <v>37</v>
      </c>
      <c r="AE66" s="1">
        <v>22</v>
      </c>
      <c r="AF66" s="18">
        <f t="shared" si="0"/>
        <v>60.6</v>
      </c>
    </row>
    <row r="67" spans="1:32" x14ac:dyDescent="0.35">
      <c r="A67" s="1" t="s">
        <v>47</v>
      </c>
      <c r="B67" s="1">
        <v>29</v>
      </c>
      <c r="C67" s="1">
        <v>72</v>
      </c>
      <c r="D67" s="1">
        <v>267</v>
      </c>
      <c r="E67" s="1">
        <v>38</v>
      </c>
      <c r="F67" s="1">
        <v>15</v>
      </c>
      <c r="G67" s="1">
        <v>15</v>
      </c>
      <c r="H67" s="1">
        <v>21</v>
      </c>
      <c r="I67" s="1">
        <v>61</v>
      </c>
      <c r="J67" s="1">
        <v>21</v>
      </c>
      <c r="K67" s="1">
        <v>16</v>
      </c>
      <c r="L67" s="1">
        <v>22</v>
      </c>
      <c r="M67" s="1">
        <v>68</v>
      </c>
      <c r="N67" s="1">
        <v>108</v>
      </c>
      <c r="O67" s="1">
        <v>58</v>
      </c>
      <c r="P67" s="1">
        <v>14</v>
      </c>
      <c r="Q67" s="1">
        <v>213</v>
      </c>
      <c r="R67" s="1">
        <v>52</v>
      </c>
      <c r="S67" s="1">
        <v>46</v>
      </c>
      <c r="T67" s="1">
        <v>33</v>
      </c>
      <c r="U67" s="1">
        <v>310</v>
      </c>
      <c r="V67" s="1">
        <v>20</v>
      </c>
      <c r="W67" s="1">
        <v>12</v>
      </c>
      <c r="X67" s="1">
        <v>24</v>
      </c>
      <c r="Y67" s="1">
        <v>179</v>
      </c>
      <c r="Z67" s="1">
        <v>45</v>
      </c>
      <c r="AA67" s="1">
        <v>106</v>
      </c>
      <c r="AB67" s="1">
        <v>150</v>
      </c>
      <c r="AC67" s="1">
        <v>120</v>
      </c>
      <c r="AD67" s="1">
        <v>33</v>
      </c>
      <c r="AE67" s="1">
        <v>23</v>
      </c>
      <c r="AF67" s="18">
        <f t="shared" si="0"/>
        <v>73.033333333333331</v>
      </c>
    </row>
    <row r="68" spans="1:32" x14ac:dyDescent="0.35">
      <c r="A68" s="1" t="s">
        <v>48</v>
      </c>
      <c r="B68" s="1">
        <v>26</v>
      </c>
      <c r="C68" s="1">
        <v>23</v>
      </c>
      <c r="D68" s="1">
        <v>88</v>
      </c>
      <c r="E68" s="1">
        <v>14</v>
      </c>
      <c r="F68" s="1">
        <v>174</v>
      </c>
      <c r="G68" s="1">
        <v>32</v>
      </c>
      <c r="H68" s="1">
        <v>46</v>
      </c>
      <c r="I68" s="1">
        <v>28</v>
      </c>
      <c r="J68" s="1">
        <v>13</v>
      </c>
      <c r="K68" s="1">
        <v>13</v>
      </c>
      <c r="L68" s="1">
        <v>64</v>
      </c>
      <c r="M68" s="1">
        <v>61</v>
      </c>
      <c r="N68" s="1">
        <v>40</v>
      </c>
      <c r="O68" s="1">
        <v>58</v>
      </c>
      <c r="P68" s="1">
        <v>65</v>
      </c>
      <c r="Q68" s="1">
        <v>103</v>
      </c>
      <c r="R68" s="1">
        <v>72</v>
      </c>
      <c r="S68" s="1">
        <v>48</v>
      </c>
      <c r="T68" s="1">
        <v>22</v>
      </c>
      <c r="U68" s="1">
        <v>54</v>
      </c>
      <c r="V68" s="1">
        <v>49</v>
      </c>
      <c r="W68" s="1">
        <v>57</v>
      </c>
      <c r="X68" s="1">
        <v>29</v>
      </c>
      <c r="Y68" s="1">
        <v>36</v>
      </c>
      <c r="Z68" s="1">
        <v>48</v>
      </c>
      <c r="AA68" s="1">
        <v>30</v>
      </c>
      <c r="AB68" s="1">
        <v>19</v>
      </c>
      <c r="AC68" s="1">
        <v>25</v>
      </c>
      <c r="AD68" s="1">
        <v>13</v>
      </c>
      <c r="AE68" s="1">
        <v>40</v>
      </c>
      <c r="AF68" s="18">
        <f t="shared" ref="AF68:AF131" si="1">AVERAGE(B68:AE68)</f>
        <v>46.333333333333336</v>
      </c>
    </row>
    <row r="69" spans="1:32" x14ac:dyDescent="0.35">
      <c r="A69" s="1" t="s">
        <v>179</v>
      </c>
      <c r="B69" s="1">
        <v>208</v>
      </c>
      <c r="C69" s="1">
        <v>18</v>
      </c>
      <c r="D69" s="1">
        <v>75</v>
      </c>
      <c r="E69" s="1">
        <v>30</v>
      </c>
      <c r="F69" s="1">
        <v>152</v>
      </c>
      <c r="G69" s="1">
        <v>19</v>
      </c>
      <c r="H69" s="1">
        <v>162</v>
      </c>
      <c r="I69" s="1">
        <v>17</v>
      </c>
      <c r="J69" s="1">
        <v>48</v>
      </c>
      <c r="K69" s="1">
        <v>98</v>
      </c>
      <c r="L69" s="1">
        <v>127</v>
      </c>
      <c r="M69" s="1">
        <v>56</v>
      </c>
      <c r="N69" s="1">
        <v>76</v>
      </c>
      <c r="O69" s="1">
        <v>20</v>
      </c>
      <c r="P69" s="1">
        <v>59</v>
      </c>
      <c r="Q69" s="1">
        <v>115</v>
      </c>
      <c r="R69" s="1">
        <v>28</v>
      </c>
      <c r="S69" s="1">
        <v>24</v>
      </c>
      <c r="T69" s="1">
        <v>51</v>
      </c>
      <c r="U69" s="1">
        <v>57</v>
      </c>
      <c r="V69" s="1">
        <v>15</v>
      </c>
      <c r="W69" s="1">
        <v>54</v>
      </c>
      <c r="X69" s="1">
        <v>87</v>
      </c>
      <c r="Y69" s="1">
        <v>18</v>
      </c>
      <c r="Z69" s="1">
        <v>48</v>
      </c>
      <c r="AA69" s="1">
        <v>32</v>
      </c>
      <c r="AB69" s="1">
        <v>18</v>
      </c>
      <c r="AC69" s="1">
        <v>23</v>
      </c>
      <c r="AD69" s="1">
        <v>177</v>
      </c>
      <c r="AE69" s="1">
        <v>53</v>
      </c>
      <c r="AF69" s="18">
        <f t="shared" si="1"/>
        <v>65.5</v>
      </c>
    </row>
    <row r="70" spans="1:32" x14ac:dyDescent="0.35">
      <c r="A70" s="1" t="s">
        <v>49</v>
      </c>
      <c r="B70" s="1">
        <v>111</v>
      </c>
      <c r="C70" s="1">
        <v>82</v>
      </c>
      <c r="D70" s="1">
        <v>42</v>
      </c>
      <c r="E70" s="1">
        <v>123</v>
      </c>
      <c r="F70" s="1">
        <v>24</v>
      </c>
      <c r="G70" s="1">
        <v>17</v>
      </c>
      <c r="H70" s="1">
        <v>44</v>
      </c>
      <c r="I70" s="1">
        <v>60</v>
      </c>
      <c r="J70" s="1">
        <v>25</v>
      </c>
      <c r="K70" s="1">
        <v>12</v>
      </c>
      <c r="L70" s="1">
        <v>53</v>
      </c>
      <c r="M70" s="1">
        <v>54</v>
      </c>
      <c r="N70" s="1">
        <v>21</v>
      </c>
      <c r="O70" s="1">
        <v>16</v>
      </c>
      <c r="P70" s="1">
        <v>54</v>
      </c>
      <c r="Q70" s="1">
        <v>31</v>
      </c>
      <c r="R70" s="1">
        <v>25</v>
      </c>
      <c r="S70" s="1">
        <v>24</v>
      </c>
      <c r="T70" s="1">
        <v>41</v>
      </c>
      <c r="U70" s="1">
        <v>51</v>
      </c>
      <c r="V70" s="1">
        <v>213</v>
      </c>
      <c r="W70" s="1">
        <v>56</v>
      </c>
      <c r="X70" s="1">
        <v>298</v>
      </c>
      <c r="Y70" s="1">
        <v>32</v>
      </c>
      <c r="Z70" s="1">
        <v>28</v>
      </c>
      <c r="AA70" s="1">
        <v>23</v>
      </c>
      <c r="AB70" s="1">
        <v>74</v>
      </c>
      <c r="AC70" s="1">
        <v>27</v>
      </c>
      <c r="AD70" s="1">
        <v>23</v>
      </c>
      <c r="AE70" s="1">
        <v>155</v>
      </c>
      <c r="AF70" s="18">
        <f t="shared" si="1"/>
        <v>61.3</v>
      </c>
    </row>
    <row r="71" spans="1:32" x14ac:dyDescent="0.35">
      <c r="A71" s="1" t="s">
        <v>50</v>
      </c>
      <c r="B71" s="1">
        <v>37</v>
      </c>
      <c r="C71" s="1">
        <v>42</v>
      </c>
      <c r="D71" s="1">
        <v>31</v>
      </c>
      <c r="E71" s="1">
        <v>34</v>
      </c>
      <c r="F71" s="1">
        <v>72</v>
      </c>
      <c r="G71" s="1">
        <v>37</v>
      </c>
      <c r="H71" s="1">
        <v>207</v>
      </c>
      <c r="I71" s="1">
        <v>65</v>
      </c>
      <c r="J71" s="1">
        <v>73</v>
      </c>
      <c r="K71" s="1">
        <v>30</v>
      </c>
      <c r="L71" s="1">
        <v>36</v>
      </c>
      <c r="M71" s="1">
        <v>34</v>
      </c>
      <c r="N71" s="1">
        <v>20</v>
      </c>
      <c r="O71" s="1">
        <v>38</v>
      </c>
      <c r="P71" s="1">
        <v>31</v>
      </c>
      <c r="Q71" s="1">
        <v>45</v>
      </c>
      <c r="R71" s="1">
        <v>12</v>
      </c>
      <c r="S71" s="1">
        <v>21</v>
      </c>
      <c r="T71" s="1">
        <v>73</v>
      </c>
      <c r="U71" s="1">
        <v>18</v>
      </c>
      <c r="V71" s="1">
        <v>17</v>
      </c>
      <c r="W71" s="1">
        <v>36</v>
      </c>
      <c r="X71" s="1">
        <v>29</v>
      </c>
      <c r="Y71" s="1">
        <v>25</v>
      </c>
      <c r="Z71" s="1">
        <v>31</v>
      </c>
      <c r="AA71" s="1">
        <v>56</v>
      </c>
      <c r="AB71" s="1">
        <v>22</v>
      </c>
      <c r="AC71" s="1">
        <v>69</v>
      </c>
      <c r="AD71" s="1">
        <v>20</v>
      </c>
      <c r="AE71" s="1">
        <v>45</v>
      </c>
      <c r="AF71" s="18">
        <f t="shared" si="1"/>
        <v>43.533333333333331</v>
      </c>
    </row>
    <row r="72" spans="1:32" x14ac:dyDescent="0.35">
      <c r="A72" s="1" t="s">
        <v>51</v>
      </c>
      <c r="B72" s="1">
        <v>62</v>
      </c>
      <c r="C72" s="1">
        <v>66</v>
      </c>
      <c r="D72" s="1">
        <v>40</v>
      </c>
      <c r="E72" s="1">
        <v>55</v>
      </c>
      <c r="F72" s="1">
        <v>61</v>
      </c>
      <c r="G72" s="1">
        <v>30</v>
      </c>
      <c r="H72" s="1">
        <v>13</v>
      </c>
      <c r="I72" s="1">
        <v>65</v>
      </c>
      <c r="J72" s="1">
        <v>71</v>
      </c>
      <c r="K72" s="1">
        <v>43</v>
      </c>
      <c r="L72" s="1">
        <v>21</v>
      </c>
      <c r="M72" s="1">
        <v>67</v>
      </c>
      <c r="N72" s="1">
        <v>90</v>
      </c>
      <c r="O72" s="1">
        <v>174</v>
      </c>
      <c r="P72" s="1">
        <v>13</v>
      </c>
      <c r="Q72" s="1">
        <v>31</v>
      </c>
      <c r="R72" s="1">
        <v>43</v>
      </c>
      <c r="S72" s="1">
        <v>52</v>
      </c>
      <c r="T72" s="1">
        <v>25</v>
      </c>
      <c r="U72" s="1">
        <v>94</v>
      </c>
      <c r="V72" s="1">
        <v>30</v>
      </c>
      <c r="W72" s="1">
        <v>16</v>
      </c>
      <c r="X72" s="1">
        <v>28</v>
      </c>
      <c r="Y72" s="1">
        <v>23</v>
      </c>
      <c r="Z72" s="1">
        <v>13</v>
      </c>
      <c r="AA72" s="1">
        <v>110</v>
      </c>
      <c r="AB72" s="1">
        <v>93</v>
      </c>
      <c r="AC72" s="1">
        <v>145</v>
      </c>
      <c r="AD72" s="1">
        <v>64</v>
      </c>
      <c r="AE72" s="1">
        <v>15</v>
      </c>
      <c r="AF72" s="18">
        <f t="shared" si="1"/>
        <v>55.1</v>
      </c>
    </row>
    <row r="73" spans="1:32" x14ac:dyDescent="0.35">
      <c r="A73" s="1" t="s">
        <v>52</v>
      </c>
      <c r="B73" s="1">
        <v>199</v>
      </c>
      <c r="C73" s="1">
        <v>131</v>
      </c>
      <c r="D73" s="1">
        <v>69</v>
      </c>
      <c r="E73" s="1">
        <v>12</v>
      </c>
      <c r="F73" s="1">
        <v>92</v>
      </c>
      <c r="G73" s="1">
        <v>22</v>
      </c>
      <c r="H73" s="1">
        <v>120</v>
      </c>
      <c r="I73" s="1">
        <v>295</v>
      </c>
      <c r="J73" s="1">
        <v>46</v>
      </c>
      <c r="K73" s="1">
        <v>51</v>
      </c>
      <c r="L73" s="1">
        <v>21</v>
      </c>
      <c r="M73" s="1">
        <v>17</v>
      </c>
      <c r="N73" s="1">
        <v>259</v>
      </c>
      <c r="O73" s="1">
        <v>47</v>
      </c>
      <c r="P73" s="1">
        <v>43</v>
      </c>
      <c r="Q73" s="1">
        <v>47</v>
      </c>
      <c r="R73" s="1">
        <v>21</v>
      </c>
      <c r="S73" s="1">
        <v>30</v>
      </c>
      <c r="T73" s="1">
        <v>75</v>
      </c>
      <c r="U73" s="1">
        <v>97</v>
      </c>
      <c r="V73" s="1">
        <v>54</v>
      </c>
      <c r="W73" s="1">
        <v>97</v>
      </c>
      <c r="X73" s="1">
        <v>67</v>
      </c>
      <c r="Y73" s="1">
        <v>156</v>
      </c>
      <c r="Z73" s="1">
        <v>91</v>
      </c>
      <c r="AA73" s="1">
        <v>19</v>
      </c>
      <c r="AB73" s="1">
        <v>84</v>
      </c>
      <c r="AC73" s="1">
        <v>12</v>
      </c>
      <c r="AD73" s="1">
        <v>105</v>
      </c>
      <c r="AE73" s="1">
        <v>121</v>
      </c>
      <c r="AF73" s="18">
        <f t="shared" si="1"/>
        <v>83.333333333333329</v>
      </c>
    </row>
    <row r="74" spans="1:32" x14ac:dyDescent="0.35">
      <c r="A74" s="1" t="s">
        <v>53</v>
      </c>
      <c r="B74" s="1">
        <v>115</v>
      </c>
      <c r="C74" s="1">
        <v>28</v>
      </c>
      <c r="D74" s="1">
        <v>76</v>
      </c>
      <c r="E74" s="1">
        <v>61</v>
      </c>
      <c r="F74" s="1">
        <v>59</v>
      </c>
      <c r="G74" s="1">
        <v>17</v>
      </c>
      <c r="H74" s="1">
        <v>81</v>
      </c>
      <c r="I74" s="1">
        <v>48</v>
      </c>
      <c r="J74" s="1">
        <v>17</v>
      </c>
      <c r="K74" s="1">
        <v>155</v>
      </c>
      <c r="L74" s="1">
        <v>35</v>
      </c>
      <c r="M74" s="1">
        <v>66</v>
      </c>
      <c r="N74" s="1">
        <v>27</v>
      </c>
      <c r="O74" s="1">
        <v>17</v>
      </c>
      <c r="P74" s="1">
        <v>93</v>
      </c>
      <c r="Q74" s="1">
        <v>50</v>
      </c>
      <c r="R74" s="1">
        <v>31</v>
      </c>
      <c r="S74" s="1">
        <v>16</v>
      </c>
      <c r="T74" s="1">
        <v>53</v>
      </c>
      <c r="U74" s="1">
        <v>34</v>
      </c>
      <c r="V74" s="1">
        <v>60</v>
      </c>
      <c r="W74" s="1">
        <v>23</v>
      </c>
      <c r="X74" s="1">
        <v>20</v>
      </c>
      <c r="Y74" s="1">
        <v>35</v>
      </c>
      <c r="Z74" s="1">
        <v>28</v>
      </c>
      <c r="AA74" s="1">
        <v>80</v>
      </c>
      <c r="AB74" s="1">
        <v>39</v>
      </c>
      <c r="AC74" s="1">
        <v>46</v>
      </c>
      <c r="AD74" s="1">
        <v>30</v>
      </c>
      <c r="AE74" s="1">
        <v>35</v>
      </c>
      <c r="AF74" s="18">
        <f t="shared" si="1"/>
        <v>49.166666666666664</v>
      </c>
    </row>
    <row r="75" spans="1:32" x14ac:dyDescent="0.35">
      <c r="A75" s="1" t="s">
        <v>54</v>
      </c>
      <c r="B75" s="1">
        <v>42</v>
      </c>
      <c r="C75" s="1">
        <v>48</v>
      </c>
      <c r="D75" s="1">
        <v>38</v>
      </c>
      <c r="E75" s="1">
        <v>16</v>
      </c>
      <c r="F75" s="1">
        <v>435</v>
      </c>
      <c r="G75" s="1">
        <v>52</v>
      </c>
      <c r="H75" s="1">
        <v>49</v>
      </c>
      <c r="I75" s="1">
        <v>39</v>
      </c>
      <c r="J75" s="1">
        <v>108</v>
      </c>
      <c r="K75" s="1">
        <v>88</v>
      </c>
      <c r="L75" s="1">
        <v>40</v>
      </c>
      <c r="M75" s="1">
        <v>50</v>
      </c>
      <c r="N75" s="1">
        <v>26</v>
      </c>
      <c r="O75" s="1">
        <v>48</v>
      </c>
      <c r="P75" s="1">
        <v>44</v>
      </c>
      <c r="Q75" s="1">
        <v>33</v>
      </c>
      <c r="R75" s="1">
        <v>46</v>
      </c>
      <c r="S75" s="1">
        <v>55</v>
      </c>
      <c r="T75" s="1">
        <v>106</v>
      </c>
      <c r="U75" s="1">
        <v>291</v>
      </c>
      <c r="V75" s="1">
        <v>30</v>
      </c>
      <c r="W75" s="1">
        <v>79</v>
      </c>
      <c r="X75" s="1">
        <v>96</v>
      </c>
      <c r="Y75" s="1">
        <v>79</v>
      </c>
      <c r="Z75" s="1">
        <v>13</v>
      </c>
      <c r="AA75" s="1">
        <v>18</v>
      </c>
      <c r="AB75" s="1">
        <v>64</v>
      </c>
      <c r="AC75" s="1">
        <v>117</v>
      </c>
      <c r="AD75" s="1">
        <v>156</v>
      </c>
      <c r="AE75" s="1">
        <v>45</v>
      </c>
      <c r="AF75" s="18">
        <f t="shared" si="1"/>
        <v>78.36666666666666</v>
      </c>
    </row>
    <row r="76" spans="1:32" x14ac:dyDescent="0.35">
      <c r="A76" s="1" t="s">
        <v>180</v>
      </c>
      <c r="B76" s="1">
        <v>86</v>
      </c>
      <c r="C76" s="1">
        <v>29</v>
      </c>
      <c r="D76" s="1">
        <v>14</v>
      </c>
      <c r="E76" s="1">
        <v>37</v>
      </c>
      <c r="F76" s="1">
        <v>13</v>
      </c>
      <c r="G76" s="1">
        <v>67</v>
      </c>
      <c r="H76" s="1">
        <v>123</v>
      </c>
      <c r="I76" s="1">
        <v>133</v>
      </c>
      <c r="J76" s="1">
        <v>14</v>
      </c>
      <c r="K76" s="1">
        <v>56</v>
      </c>
      <c r="L76" s="1">
        <v>39</v>
      </c>
      <c r="M76" s="1">
        <v>68</v>
      </c>
      <c r="N76" s="1">
        <v>22</v>
      </c>
      <c r="O76" s="1">
        <v>13</v>
      </c>
      <c r="P76" s="1">
        <v>131</v>
      </c>
      <c r="Q76" s="1">
        <v>45</v>
      </c>
      <c r="R76" s="1">
        <v>46</v>
      </c>
      <c r="S76" s="1">
        <v>34</v>
      </c>
      <c r="T76" s="1">
        <v>31</v>
      </c>
      <c r="U76" s="1">
        <v>148</v>
      </c>
      <c r="V76" s="1">
        <v>60</v>
      </c>
      <c r="W76" s="1">
        <v>54</v>
      </c>
      <c r="X76" s="1">
        <v>16</v>
      </c>
      <c r="Y76" s="1">
        <v>26</v>
      </c>
      <c r="Z76" s="1">
        <v>14</v>
      </c>
      <c r="AA76" s="1">
        <v>28</v>
      </c>
      <c r="AB76" s="1">
        <v>47</v>
      </c>
      <c r="AC76" s="1">
        <v>23</v>
      </c>
      <c r="AD76" s="1">
        <v>90</v>
      </c>
      <c r="AE76" s="1">
        <v>99</v>
      </c>
      <c r="AF76" s="18">
        <f t="shared" si="1"/>
        <v>53.533333333333331</v>
      </c>
    </row>
    <row r="77" spans="1:32" x14ac:dyDescent="0.35">
      <c r="A77" s="1" t="s">
        <v>55</v>
      </c>
      <c r="B77" s="1">
        <v>77</v>
      </c>
      <c r="C77" s="1">
        <v>132</v>
      </c>
      <c r="D77" s="1">
        <v>56</v>
      </c>
      <c r="E77" s="1">
        <v>52</v>
      </c>
      <c r="F77" s="1">
        <v>30</v>
      </c>
      <c r="G77" s="1">
        <v>24</v>
      </c>
      <c r="H77" s="1">
        <v>28</v>
      </c>
      <c r="I77" s="1">
        <v>69</v>
      </c>
      <c r="J77" s="1">
        <v>14</v>
      </c>
      <c r="K77" s="1">
        <v>42</v>
      </c>
      <c r="L77" s="1">
        <v>88</v>
      </c>
      <c r="M77" s="1">
        <v>68</v>
      </c>
      <c r="N77" s="1">
        <v>23</v>
      </c>
      <c r="O77" s="1">
        <v>12</v>
      </c>
      <c r="P77" s="1">
        <v>36</v>
      </c>
      <c r="Q77" s="1">
        <v>82</v>
      </c>
      <c r="R77" s="1">
        <v>46</v>
      </c>
      <c r="S77" s="1">
        <v>24</v>
      </c>
      <c r="T77" s="1">
        <v>27</v>
      </c>
      <c r="U77" s="1">
        <v>47</v>
      </c>
      <c r="V77" s="1">
        <v>46</v>
      </c>
      <c r="W77" s="1">
        <v>15</v>
      </c>
      <c r="X77" s="1">
        <v>12</v>
      </c>
      <c r="Y77" s="1">
        <v>29</v>
      </c>
      <c r="Z77" s="1">
        <v>78</v>
      </c>
      <c r="AA77" s="1">
        <v>33</v>
      </c>
      <c r="AB77" s="1">
        <v>21</v>
      </c>
      <c r="AC77" s="1">
        <v>15</v>
      </c>
      <c r="AD77" s="1">
        <v>15</v>
      </c>
      <c r="AE77" s="1">
        <v>117</v>
      </c>
      <c r="AF77" s="18">
        <f t="shared" si="1"/>
        <v>45.266666666666666</v>
      </c>
    </row>
    <row r="78" spans="1:32" x14ac:dyDescent="0.35">
      <c r="A78" s="1" t="s">
        <v>56</v>
      </c>
      <c r="B78" s="1">
        <v>28</v>
      </c>
      <c r="C78" s="1">
        <v>69</v>
      </c>
      <c r="D78" s="1">
        <v>28</v>
      </c>
      <c r="E78" s="1">
        <v>139</v>
      </c>
      <c r="F78" s="1">
        <v>30</v>
      </c>
      <c r="G78" s="1">
        <v>38</v>
      </c>
      <c r="H78" s="1">
        <v>221</v>
      </c>
      <c r="I78" s="1">
        <v>16</v>
      </c>
      <c r="J78" s="1">
        <v>18</v>
      </c>
      <c r="K78" s="1">
        <v>24</v>
      </c>
      <c r="L78" s="1">
        <v>70</v>
      </c>
      <c r="M78" s="1">
        <v>19</v>
      </c>
      <c r="N78" s="1">
        <v>34</v>
      </c>
      <c r="O78" s="1">
        <v>15</v>
      </c>
      <c r="P78" s="1">
        <v>100</v>
      </c>
      <c r="Q78" s="1">
        <v>16</v>
      </c>
      <c r="R78" s="1">
        <v>26</v>
      </c>
      <c r="S78" s="1">
        <v>121</v>
      </c>
      <c r="T78" s="1">
        <v>87</v>
      </c>
      <c r="U78" s="1">
        <v>173</v>
      </c>
      <c r="V78" s="1">
        <v>26</v>
      </c>
      <c r="W78" s="1">
        <v>13</v>
      </c>
      <c r="X78" s="1">
        <v>26</v>
      </c>
      <c r="Y78" s="1">
        <v>16</v>
      </c>
      <c r="Z78" s="1">
        <v>27</v>
      </c>
      <c r="AA78" s="1">
        <v>16</v>
      </c>
      <c r="AB78" s="1">
        <v>68</v>
      </c>
      <c r="AC78" s="1">
        <v>20</v>
      </c>
      <c r="AD78" s="1">
        <v>48</v>
      </c>
      <c r="AE78" s="1">
        <v>156</v>
      </c>
      <c r="AF78" s="18">
        <f t="shared" si="1"/>
        <v>56.266666666666666</v>
      </c>
    </row>
    <row r="79" spans="1:32" x14ac:dyDescent="0.35">
      <c r="A79" s="1" t="s">
        <v>57</v>
      </c>
      <c r="B79" s="1">
        <v>40</v>
      </c>
      <c r="C79" s="1">
        <v>53</v>
      </c>
      <c r="D79" s="1">
        <v>122</v>
      </c>
      <c r="E79" s="1">
        <v>254</v>
      </c>
      <c r="F79" s="1">
        <v>58</v>
      </c>
      <c r="G79" s="1">
        <v>37</v>
      </c>
      <c r="H79" s="1">
        <v>363</v>
      </c>
      <c r="I79" s="1">
        <v>138</v>
      </c>
      <c r="J79" s="1">
        <v>67</v>
      </c>
      <c r="K79" s="1">
        <v>18</v>
      </c>
      <c r="L79" s="1">
        <v>59</v>
      </c>
      <c r="M79" s="1">
        <v>84</v>
      </c>
      <c r="N79" s="1">
        <v>109</v>
      </c>
      <c r="O79" s="1">
        <v>39</v>
      </c>
      <c r="P79" s="1">
        <v>148</v>
      </c>
      <c r="Q79" s="1">
        <v>102</v>
      </c>
      <c r="R79" s="1">
        <v>94</v>
      </c>
      <c r="S79" s="1">
        <v>262</v>
      </c>
      <c r="T79" s="1">
        <v>84</v>
      </c>
      <c r="U79" s="1">
        <v>45</v>
      </c>
      <c r="V79" s="1">
        <v>84</v>
      </c>
      <c r="W79" s="1">
        <v>30</v>
      </c>
      <c r="X79" s="1">
        <v>103</v>
      </c>
      <c r="Y79" s="1">
        <v>162</v>
      </c>
      <c r="Z79" s="1">
        <v>29</v>
      </c>
      <c r="AA79" s="1">
        <v>18</v>
      </c>
      <c r="AB79" s="1">
        <v>108</v>
      </c>
      <c r="AC79" s="1">
        <v>40</v>
      </c>
      <c r="AD79" s="1">
        <v>110</v>
      </c>
      <c r="AE79" s="1">
        <v>18</v>
      </c>
      <c r="AF79" s="18">
        <f t="shared" si="1"/>
        <v>95.933333333333337</v>
      </c>
    </row>
    <row r="80" spans="1:32" x14ac:dyDescent="0.35">
      <c r="A80" s="1" t="s">
        <v>58</v>
      </c>
      <c r="B80" s="1">
        <v>33</v>
      </c>
      <c r="C80" s="1">
        <v>150</v>
      </c>
      <c r="D80" s="1">
        <v>89</v>
      </c>
      <c r="E80" s="1">
        <v>26</v>
      </c>
      <c r="F80" s="1">
        <v>32</v>
      </c>
      <c r="G80" s="1">
        <v>25</v>
      </c>
      <c r="H80" s="1">
        <v>39</v>
      </c>
      <c r="I80" s="1">
        <v>84</v>
      </c>
      <c r="J80" s="1">
        <v>26</v>
      </c>
      <c r="K80" s="1">
        <v>66</v>
      </c>
      <c r="L80" s="1">
        <v>33</v>
      </c>
      <c r="M80" s="1">
        <v>39</v>
      </c>
      <c r="N80" s="1">
        <v>25</v>
      </c>
      <c r="O80" s="1">
        <v>12</v>
      </c>
      <c r="P80" s="1">
        <v>32</v>
      </c>
      <c r="Q80" s="1">
        <v>81</v>
      </c>
      <c r="R80" s="1">
        <v>123</v>
      </c>
      <c r="S80" s="1">
        <v>55</v>
      </c>
      <c r="T80" s="1">
        <v>22</v>
      </c>
      <c r="U80" s="1">
        <v>31</v>
      </c>
      <c r="V80" s="1">
        <v>19</v>
      </c>
      <c r="W80" s="1">
        <v>20</v>
      </c>
      <c r="X80" s="1">
        <v>41</v>
      </c>
      <c r="Y80" s="1">
        <v>42</v>
      </c>
      <c r="Z80" s="1">
        <v>38</v>
      </c>
      <c r="AA80" s="1">
        <v>46</v>
      </c>
      <c r="AB80" s="1">
        <v>106</v>
      </c>
      <c r="AC80" s="1">
        <v>58</v>
      </c>
      <c r="AD80" s="1">
        <v>15</v>
      </c>
      <c r="AE80" s="1">
        <v>37</v>
      </c>
      <c r="AF80" s="18">
        <f t="shared" si="1"/>
        <v>48.166666666666664</v>
      </c>
    </row>
    <row r="81" spans="1:32" x14ac:dyDescent="0.35">
      <c r="A81" s="1" t="s">
        <v>59</v>
      </c>
      <c r="B81" s="1">
        <v>19</v>
      </c>
      <c r="C81" s="1">
        <v>44</v>
      </c>
      <c r="D81" s="1">
        <v>70</v>
      </c>
      <c r="E81" s="1">
        <v>12</v>
      </c>
      <c r="F81" s="1">
        <v>33</v>
      </c>
      <c r="G81" s="1">
        <v>41</v>
      </c>
      <c r="H81" s="1">
        <v>21</v>
      </c>
      <c r="I81" s="1">
        <v>16</v>
      </c>
      <c r="J81" s="1">
        <v>37</v>
      </c>
      <c r="K81" s="1">
        <v>33</v>
      </c>
      <c r="L81" s="1">
        <v>40</v>
      </c>
      <c r="M81" s="1">
        <v>67</v>
      </c>
      <c r="N81" s="1">
        <v>17</v>
      </c>
      <c r="O81" s="1">
        <v>49</v>
      </c>
      <c r="P81" s="1">
        <v>39</v>
      </c>
      <c r="Q81" s="1">
        <v>50</v>
      </c>
      <c r="R81" s="1">
        <v>33</v>
      </c>
      <c r="S81" s="1">
        <v>54</v>
      </c>
      <c r="T81" s="1">
        <v>138</v>
      </c>
      <c r="U81" s="1">
        <v>31</v>
      </c>
      <c r="V81" s="1">
        <v>35</v>
      </c>
      <c r="W81" s="1">
        <v>29</v>
      </c>
      <c r="X81" s="1">
        <v>19</v>
      </c>
      <c r="Y81" s="1">
        <v>14</v>
      </c>
      <c r="Z81" s="1">
        <v>19</v>
      </c>
      <c r="AA81" s="1">
        <v>13</v>
      </c>
      <c r="AB81" s="1">
        <v>28</v>
      </c>
      <c r="AC81" s="1">
        <v>41</v>
      </c>
      <c r="AD81" s="1">
        <v>23</v>
      </c>
      <c r="AE81" s="1">
        <v>23</v>
      </c>
      <c r="AF81" s="18">
        <f t="shared" si="1"/>
        <v>36.266666666666666</v>
      </c>
    </row>
    <row r="82" spans="1:32" x14ac:dyDescent="0.35">
      <c r="A82" s="1" t="s">
        <v>181</v>
      </c>
      <c r="B82" s="1">
        <v>14</v>
      </c>
      <c r="C82" s="1">
        <v>193</v>
      </c>
      <c r="D82" s="1">
        <v>20</v>
      </c>
      <c r="E82" s="1">
        <v>29</v>
      </c>
      <c r="F82" s="1">
        <v>58</v>
      </c>
      <c r="G82" s="1">
        <v>13</v>
      </c>
      <c r="H82" s="1">
        <v>110</v>
      </c>
      <c r="I82" s="1">
        <v>14</v>
      </c>
      <c r="J82" s="1">
        <v>87</v>
      </c>
      <c r="K82" s="1">
        <v>12</v>
      </c>
      <c r="L82" s="1">
        <v>68</v>
      </c>
      <c r="M82" s="1">
        <v>88</v>
      </c>
      <c r="N82" s="1">
        <v>43</v>
      </c>
      <c r="O82" s="1">
        <v>83</v>
      </c>
      <c r="P82" s="1">
        <v>228</v>
      </c>
      <c r="Q82" s="1">
        <v>107</v>
      </c>
      <c r="R82" s="1">
        <v>20</v>
      </c>
      <c r="S82" s="1">
        <v>72</v>
      </c>
      <c r="T82" s="1">
        <v>201</v>
      </c>
      <c r="U82" s="1">
        <v>31</v>
      </c>
      <c r="V82" s="1">
        <v>13</v>
      </c>
      <c r="W82" s="1">
        <v>79</v>
      </c>
      <c r="X82" s="1">
        <v>26</v>
      </c>
      <c r="Y82" s="1">
        <v>16</v>
      </c>
      <c r="Z82" s="1">
        <v>51</v>
      </c>
      <c r="AA82" s="1">
        <v>46</v>
      </c>
      <c r="AB82" s="1">
        <v>57</v>
      </c>
      <c r="AC82" s="1">
        <v>139</v>
      </c>
      <c r="AD82" s="1">
        <v>80</v>
      </c>
      <c r="AE82" s="1">
        <v>39</v>
      </c>
      <c r="AF82" s="18">
        <f t="shared" si="1"/>
        <v>67.900000000000006</v>
      </c>
    </row>
    <row r="83" spans="1:32" x14ac:dyDescent="0.35">
      <c r="A83" s="1" t="s">
        <v>60</v>
      </c>
      <c r="B83" s="1">
        <v>62</v>
      </c>
      <c r="C83" s="1">
        <v>82</v>
      </c>
      <c r="D83" s="1">
        <v>40</v>
      </c>
      <c r="E83" s="1">
        <v>64</v>
      </c>
      <c r="F83" s="1">
        <v>30</v>
      </c>
      <c r="G83" s="1">
        <v>13</v>
      </c>
      <c r="H83" s="1">
        <v>42</v>
      </c>
      <c r="I83" s="1">
        <v>19</v>
      </c>
      <c r="J83" s="1">
        <v>13</v>
      </c>
      <c r="K83" s="1">
        <v>18</v>
      </c>
      <c r="L83" s="1">
        <v>99</v>
      </c>
      <c r="M83" s="1">
        <v>58</v>
      </c>
      <c r="N83" s="1">
        <v>14</v>
      </c>
      <c r="O83" s="1">
        <v>197</v>
      </c>
      <c r="P83" s="1">
        <v>23</v>
      </c>
      <c r="Q83" s="1">
        <v>80</v>
      </c>
      <c r="R83" s="1">
        <v>119</v>
      </c>
      <c r="S83" s="1">
        <v>60</v>
      </c>
      <c r="T83" s="1">
        <v>42</v>
      </c>
      <c r="U83" s="1">
        <v>130</v>
      </c>
      <c r="V83" s="1">
        <v>59</v>
      </c>
      <c r="W83" s="1">
        <v>70</v>
      </c>
      <c r="X83" s="1">
        <v>94</v>
      </c>
      <c r="Y83" s="1">
        <v>19</v>
      </c>
      <c r="Z83" s="1">
        <v>34</v>
      </c>
      <c r="AA83" s="1">
        <v>19</v>
      </c>
      <c r="AB83" s="1">
        <v>174</v>
      </c>
      <c r="AC83" s="1">
        <v>40</v>
      </c>
      <c r="AD83" s="1">
        <v>22</v>
      </c>
      <c r="AE83" s="1">
        <v>31</v>
      </c>
      <c r="AF83" s="18">
        <f t="shared" si="1"/>
        <v>58.9</v>
      </c>
    </row>
    <row r="84" spans="1:32" x14ac:dyDescent="0.35">
      <c r="A84" s="1" t="s">
        <v>61</v>
      </c>
      <c r="B84" s="1">
        <v>36</v>
      </c>
      <c r="C84" s="1">
        <v>41</v>
      </c>
      <c r="D84" s="1">
        <v>66</v>
      </c>
      <c r="E84" s="1">
        <v>32</v>
      </c>
      <c r="F84" s="1">
        <v>107</v>
      </c>
      <c r="G84" s="1">
        <v>72</v>
      </c>
      <c r="H84" s="1">
        <v>21</v>
      </c>
      <c r="I84" s="1">
        <v>45</v>
      </c>
      <c r="J84" s="1">
        <v>60</v>
      </c>
      <c r="K84" s="1">
        <v>23</v>
      </c>
      <c r="L84" s="1">
        <v>17</v>
      </c>
      <c r="M84" s="1">
        <v>56</v>
      </c>
      <c r="N84" s="1">
        <v>146</v>
      </c>
      <c r="O84" s="1">
        <v>38</v>
      </c>
      <c r="P84" s="1">
        <v>12</v>
      </c>
      <c r="Q84" s="1">
        <v>62</v>
      </c>
      <c r="R84" s="1">
        <v>21</v>
      </c>
      <c r="S84" s="1">
        <v>13</v>
      </c>
      <c r="T84" s="1">
        <v>97</v>
      </c>
      <c r="U84" s="1">
        <v>18</v>
      </c>
      <c r="V84" s="1">
        <v>268</v>
      </c>
      <c r="W84" s="1">
        <v>44</v>
      </c>
      <c r="X84" s="1">
        <v>12</v>
      </c>
      <c r="Y84" s="1">
        <v>62</v>
      </c>
      <c r="Z84" s="1">
        <v>172</v>
      </c>
      <c r="AA84" s="1">
        <v>119</v>
      </c>
      <c r="AB84" s="1">
        <v>135</v>
      </c>
      <c r="AC84" s="1">
        <v>143</v>
      </c>
      <c r="AD84" s="1">
        <v>101</v>
      </c>
      <c r="AE84" s="1">
        <v>67</v>
      </c>
      <c r="AF84" s="18">
        <f t="shared" si="1"/>
        <v>70.2</v>
      </c>
    </row>
    <row r="85" spans="1:32" x14ac:dyDescent="0.35">
      <c r="A85" s="1" t="s">
        <v>62</v>
      </c>
      <c r="B85" s="1">
        <v>173</v>
      </c>
      <c r="C85" s="1">
        <v>41</v>
      </c>
      <c r="D85" s="1">
        <v>99</v>
      </c>
      <c r="E85" s="1">
        <v>51</v>
      </c>
      <c r="F85" s="1">
        <v>54</v>
      </c>
      <c r="G85" s="1">
        <v>48</v>
      </c>
      <c r="H85" s="1">
        <v>43</v>
      </c>
      <c r="I85" s="1">
        <v>12</v>
      </c>
      <c r="J85" s="1">
        <v>47</v>
      </c>
      <c r="K85" s="1">
        <v>29</v>
      </c>
      <c r="L85" s="1">
        <v>104</v>
      </c>
      <c r="M85" s="1">
        <v>65</v>
      </c>
      <c r="N85" s="1">
        <v>74</v>
      </c>
      <c r="O85" s="1">
        <v>126</v>
      </c>
      <c r="P85" s="1">
        <v>133</v>
      </c>
      <c r="Q85" s="1">
        <v>146</v>
      </c>
      <c r="R85" s="1">
        <v>44</v>
      </c>
      <c r="S85" s="1">
        <v>15</v>
      </c>
      <c r="T85" s="1">
        <v>38</v>
      </c>
      <c r="U85" s="1">
        <v>243</v>
      </c>
      <c r="V85" s="1">
        <v>49</v>
      </c>
      <c r="W85" s="1">
        <v>37</v>
      </c>
      <c r="X85" s="1">
        <v>33</v>
      </c>
      <c r="Y85" s="1">
        <v>223</v>
      </c>
      <c r="Z85" s="1">
        <v>49</v>
      </c>
      <c r="AA85" s="1">
        <v>35</v>
      </c>
      <c r="AB85" s="1">
        <v>42</v>
      </c>
      <c r="AC85" s="1">
        <v>24</v>
      </c>
      <c r="AD85" s="1">
        <v>28</v>
      </c>
      <c r="AE85" s="1">
        <v>133</v>
      </c>
      <c r="AF85" s="18">
        <f t="shared" si="1"/>
        <v>74.599999999999994</v>
      </c>
    </row>
    <row r="86" spans="1:32" x14ac:dyDescent="0.35">
      <c r="A86" s="1" t="s">
        <v>63</v>
      </c>
      <c r="B86" s="1">
        <v>57</v>
      </c>
      <c r="C86" s="1">
        <v>20</v>
      </c>
      <c r="D86" s="1">
        <v>17</v>
      </c>
      <c r="E86" s="1">
        <v>86</v>
      </c>
      <c r="F86" s="1">
        <v>34</v>
      </c>
      <c r="G86" s="1">
        <v>38</v>
      </c>
      <c r="H86" s="1">
        <v>53</v>
      </c>
      <c r="I86" s="1">
        <v>14</v>
      </c>
      <c r="J86" s="1">
        <v>25</v>
      </c>
      <c r="K86" s="1">
        <v>115</v>
      </c>
      <c r="L86" s="1">
        <v>179</v>
      </c>
      <c r="M86" s="1">
        <v>35</v>
      </c>
      <c r="N86" s="1">
        <v>18</v>
      </c>
      <c r="O86" s="1">
        <v>156</v>
      </c>
      <c r="P86" s="1">
        <v>21</v>
      </c>
      <c r="Q86" s="1">
        <v>108</v>
      </c>
      <c r="R86" s="1">
        <v>17</v>
      </c>
      <c r="S86" s="1">
        <v>16</v>
      </c>
      <c r="T86" s="1">
        <v>60</v>
      </c>
      <c r="U86" s="1">
        <v>21</v>
      </c>
      <c r="V86" s="1">
        <v>98</v>
      </c>
      <c r="W86" s="1">
        <v>113</v>
      </c>
      <c r="X86" s="1">
        <v>12</v>
      </c>
      <c r="Y86" s="1">
        <v>65</v>
      </c>
      <c r="Z86" s="1">
        <v>13</v>
      </c>
      <c r="AA86" s="1">
        <v>12</v>
      </c>
      <c r="AB86" s="1">
        <v>50</v>
      </c>
      <c r="AC86" s="1">
        <v>27</v>
      </c>
      <c r="AD86" s="1">
        <v>26</v>
      </c>
      <c r="AE86" s="1">
        <v>27</v>
      </c>
      <c r="AF86" s="18">
        <f t="shared" si="1"/>
        <v>51.1</v>
      </c>
    </row>
    <row r="87" spans="1:32" x14ac:dyDescent="0.35">
      <c r="A87" s="1" t="s">
        <v>64</v>
      </c>
      <c r="B87" s="1">
        <v>21</v>
      </c>
      <c r="C87" s="1">
        <v>142</v>
      </c>
      <c r="D87" s="1">
        <v>35</v>
      </c>
      <c r="E87" s="1">
        <v>16</v>
      </c>
      <c r="F87" s="1">
        <v>14</v>
      </c>
      <c r="G87" s="1">
        <v>50</v>
      </c>
      <c r="H87" s="1">
        <v>39</v>
      </c>
      <c r="I87" s="1">
        <v>17</v>
      </c>
      <c r="J87" s="1">
        <v>43</v>
      </c>
      <c r="K87" s="1">
        <v>53</v>
      </c>
      <c r="L87" s="1">
        <v>22</v>
      </c>
      <c r="M87" s="1">
        <v>41</v>
      </c>
      <c r="N87" s="1">
        <v>12</v>
      </c>
      <c r="O87" s="1">
        <v>148</v>
      </c>
      <c r="P87" s="1">
        <v>13</v>
      </c>
      <c r="Q87" s="1">
        <v>24</v>
      </c>
      <c r="R87" s="1">
        <v>95</v>
      </c>
      <c r="S87" s="1">
        <v>16</v>
      </c>
      <c r="T87" s="1">
        <v>27</v>
      </c>
      <c r="U87" s="1">
        <v>45</v>
      </c>
      <c r="V87" s="1">
        <v>43</v>
      </c>
      <c r="W87" s="1">
        <v>225</v>
      </c>
      <c r="X87" s="1">
        <v>17</v>
      </c>
      <c r="Y87" s="1">
        <v>71</v>
      </c>
      <c r="Z87" s="1">
        <v>58</v>
      </c>
      <c r="AA87" s="1">
        <v>32</v>
      </c>
      <c r="AB87" s="1">
        <v>75</v>
      </c>
      <c r="AC87" s="1">
        <v>25</v>
      </c>
      <c r="AD87" s="1">
        <v>93</v>
      </c>
      <c r="AE87" s="1">
        <v>21</v>
      </c>
      <c r="AF87" s="18">
        <f t="shared" si="1"/>
        <v>51.1</v>
      </c>
    </row>
    <row r="88" spans="1:32" x14ac:dyDescent="0.35">
      <c r="A88" s="1" t="s">
        <v>182</v>
      </c>
      <c r="B88" s="1">
        <v>76</v>
      </c>
      <c r="C88" s="1">
        <v>22</v>
      </c>
      <c r="D88" s="1">
        <v>37</v>
      </c>
      <c r="E88" s="1">
        <v>58</v>
      </c>
      <c r="F88" s="1">
        <v>43</v>
      </c>
      <c r="G88" s="1">
        <v>12</v>
      </c>
      <c r="H88" s="1">
        <v>15</v>
      </c>
      <c r="I88" s="1">
        <v>59</v>
      </c>
      <c r="J88" s="1">
        <v>34</v>
      </c>
      <c r="K88" s="1">
        <v>65</v>
      </c>
      <c r="L88" s="1">
        <v>35</v>
      </c>
      <c r="M88" s="1">
        <v>15</v>
      </c>
      <c r="N88" s="1">
        <v>31</v>
      </c>
      <c r="O88" s="1">
        <v>18</v>
      </c>
      <c r="P88" s="1">
        <v>83</v>
      </c>
      <c r="Q88" s="1">
        <v>46</v>
      </c>
      <c r="R88" s="1">
        <v>97</v>
      </c>
      <c r="S88" s="1">
        <v>23</v>
      </c>
      <c r="T88" s="1">
        <v>38</v>
      </c>
      <c r="U88" s="1">
        <v>17</v>
      </c>
      <c r="V88" s="1">
        <v>36</v>
      </c>
      <c r="W88" s="1">
        <v>82</v>
      </c>
      <c r="X88" s="1">
        <v>36</v>
      </c>
      <c r="Y88" s="1">
        <v>19</v>
      </c>
      <c r="Z88" s="1">
        <v>64</v>
      </c>
      <c r="AA88" s="1">
        <v>23</v>
      </c>
      <c r="AB88" s="1">
        <v>43</v>
      </c>
      <c r="AC88" s="1">
        <v>69</v>
      </c>
      <c r="AD88" s="1">
        <v>26</v>
      </c>
      <c r="AE88" s="1">
        <v>42</v>
      </c>
      <c r="AF88" s="18">
        <f t="shared" si="1"/>
        <v>42.133333333333333</v>
      </c>
    </row>
    <row r="89" spans="1:32" x14ac:dyDescent="0.35">
      <c r="A89" s="1" t="s">
        <v>65</v>
      </c>
      <c r="B89" s="1">
        <v>82</v>
      </c>
      <c r="C89" s="1">
        <v>17</v>
      </c>
      <c r="D89" s="1">
        <v>128</v>
      </c>
      <c r="E89" s="1">
        <v>39</v>
      </c>
      <c r="F89" s="1">
        <v>67</v>
      </c>
      <c r="G89" s="1">
        <v>29</v>
      </c>
      <c r="H89" s="1">
        <v>45</v>
      </c>
      <c r="I89" s="1">
        <v>142</v>
      </c>
      <c r="J89" s="1">
        <v>132</v>
      </c>
      <c r="K89" s="1">
        <v>35</v>
      </c>
      <c r="L89" s="1">
        <v>17</v>
      </c>
      <c r="M89" s="1">
        <v>143</v>
      </c>
      <c r="N89" s="1">
        <v>31</v>
      </c>
      <c r="O89" s="1">
        <v>51</v>
      </c>
      <c r="P89" s="1">
        <v>77</v>
      </c>
      <c r="Q89" s="1">
        <v>109</v>
      </c>
      <c r="R89" s="1">
        <v>106</v>
      </c>
      <c r="S89" s="1">
        <v>252</v>
      </c>
      <c r="T89" s="1">
        <v>62</v>
      </c>
      <c r="U89" s="1">
        <v>35</v>
      </c>
      <c r="V89" s="1">
        <v>30</v>
      </c>
      <c r="W89" s="1">
        <v>28</v>
      </c>
      <c r="X89" s="1">
        <v>24</v>
      </c>
      <c r="Y89" s="1">
        <v>21</v>
      </c>
      <c r="Z89" s="1">
        <v>94</v>
      </c>
      <c r="AA89" s="1">
        <v>64</v>
      </c>
      <c r="AB89" s="1">
        <v>112</v>
      </c>
      <c r="AC89" s="1">
        <v>40</v>
      </c>
      <c r="AD89" s="1">
        <v>38</v>
      </c>
      <c r="AE89" s="1">
        <v>137</v>
      </c>
      <c r="AF89" s="18">
        <f t="shared" si="1"/>
        <v>72.900000000000006</v>
      </c>
    </row>
    <row r="90" spans="1:32" x14ac:dyDescent="0.35">
      <c r="A90" s="1" t="s">
        <v>66</v>
      </c>
      <c r="B90" s="1">
        <v>49</v>
      </c>
      <c r="C90" s="1">
        <v>83</v>
      </c>
      <c r="D90" s="1">
        <v>29</v>
      </c>
      <c r="E90" s="1">
        <v>33</v>
      </c>
      <c r="F90" s="1">
        <v>18</v>
      </c>
      <c r="G90" s="1">
        <v>14</v>
      </c>
      <c r="H90" s="1">
        <v>103</v>
      </c>
      <c r="I90" s="1">
        <v>42</v>
      </c>
      <c r="J90" s="1">
        <v>27</v>
      </c>
      <c r="K90" s="1">
        <v>19</v>
      </c>
      <c r="L90" s="1">
        <v>33</v>
      </c>
      <c r="M90" s="1">
        <v>37</v>
      </c>
      <c r="N90" s="1">
        <v>21</v>
      </c>
      <c r="O90" s="1">
        <v>25</v>
      </c>
      <c r="P90" s="1">
        <v>66</v>
      </c>
      <c r="Q90" s="1">
        <v>35</v>
      </c>
      <c r="R90" s="1">
        <v>80</v>
      </c>
      <c r="S90" s="1">
        <v>46</v>
      </c>
      <c r="T90" s="1">
        <v>44</v>
      </c>
      <c r="U90" s="1">
        <v>21</v>
      </c>
      <c r="V90" s="1">
        <v>20</v>
      </c>
      <c r="W90" s="1">
        <v>52</v>
      </c>
      <c r="X90" s="1">
        <v>39</v>
      </c>
      <c r="Y90" s="1">
        <v>43</v>
      </c>
      <c r="Z90" s="1">
        <v>54</v>
      </c>
      <c r="AA90" s="1">
        <v>54</v>
      </c>
      <c r="AB90" s="1">
        <v>37</v>
      </c>
      <c r="AC90" s="1">
        <v>13</v>
      </c>
      <c r="AD90" s="1">
        <v>13</v>
      </c>
      <c r="AE90" s="1">
        <v>32</v>
      </c>
      <c r="AF90" s="18">
        <f t="shared" si="1"/>
        <v>39.4</v>
      </c>
    </row>
    <row r="91" spans="1:32" x14ac:dyDescent="0.35">
      <c r="A91" s="1" t="s">
        <v>67</v>
      </c>
      <c r="B91" s="1">
        <v>18</v>
      </c>
      <c r="C91" s="1">
        <v>37</v>
      </c>
      <c r="D91" s="1">
        <v>17</v>
      </c>
      <c r="E91" s="1">
        <v>56</v>
      </c>
      <c r="F91" s="1">
        <v>15</v>
      </c>
      <c r="G91" s="1">
        <v>13</v>
      </c>
      <c r="H91" s="1">
        <v>32</v>
      </c>
      <c r="I91" s="1">
        <v>23</v>
      </c>
      <c r="J91" s="1">
        <v>47</v>
      </c>
      <c r="K91" s="1">
        <v>20</v>
      </c>
      <c r="L91" s="1">
        <v>27</v>
      </c>
      <c r="M91" s="1">
        <v>97</v>
      </c>
      <c r="N91" s="1">
        <v>43</v>
      </c>
      <c r="O91" s="1">
        <v>34</v>
      </c>
      <c r="P91" s="1">
        <v>50</v>
      </c>
      <c r="Q91" s="1">
        <v>25</v>
      </c>
      <c r="R91" s="1">
        <v>113</v>
      </c>
      <c r="S91" s="1">
        <v>22</v>
      </c>
      <c r="T91" s="1">
        <v>17</v>
      </c>
      <c r="U91" s="1">
        <v>28</v>
      </c>
      <c r="V91" s="1">
        <v>35</v>
      </c>
      <c r="W91" s="1">
        <v>75</v>
      </c>
      <c r="X91" s="1">
        <v>58</v>
      </c>
      <c r="Y91" s="1">
        <v>45</v>
      </c>
      <c r="Z91" s="1">
        <v>88</v>
      </c>
      <c r="AA91" s="1">
        <v>83</v>
      </c>
      <c r="AB91" s="1">
        <v>30</v>
      </c>
      <c r="AC91" s="1">
        <v>23</v>
      </c>
      <c r="AD91" s="1">
        <v>59</v>
      </c>
      <c r="AE91" s="1">
        <v>42</v>
      </c>
      <c r="AF91" s="18">
        <f t="shared" si="1"/>
        <v>42.4</v>
      </c>
    </row>
    <row r="92" spans="1:32" x14ac:dyDescent="0.35">
      <c r="A92" s="1" t="s">
        <v>68</v>
      </c>
      <c r="B92" s="1">
        <v>24</v>
      </c>
      <c r="C92" s="1">
        <v>47</v>
      </c>
      <c r="D92" s="1">
        <v>62</v>
      </c>
      <c r="E92" s="1">
        <v>61</v>
      </c>
      <c r="F92" s="1">
        <v>37</v>
      </c>
      <c r="G92" s="1">
        <v>33</v>
      </c>
      <c r="H92" s="1">
        <v>18</v>
      </c>
      <c r="I92" s="1">
        <v>241</v>
      </c>
      <c r="J92" s="1">
        <v>60</v>
      </c>
      <c r="K92" s="1">
        <v>154</v>
      </c>
      <c r="L92" s="1">
        <v>123</v>
      </c>
      <c r="M92" s="1">
        <v>31</v>
      </c>
      <c r="N92" s="1">
        <v>41</v>
      </c>
      <c r="O92" s="1">
        <v>36</v>
      </c>
      <c r="P92" s="1">
        <v>25</v>
      </c>
      <c r="Q92" s="1">
        <v>61</v>
      </c>
      <c r="R92" s="1">
        <v>16</v>
      </c>
      <c r="S92" s="1">
        <v>33</v>
      </c>
      <c r="T92" s="1">
        <v>135</v>
      </c>
      <c r="U92" s="1">
        <v>29</v>
      </c>
      <c r="V92" s="1">
        <v>23</v>
      </c>
      <c r="W92" s="1">
        <v>92</v>
      </c>
      <c r="X92" s="1">
        <v>110</v>
      </c>
      <c r="Y92" s="1">
        <v>22</v>
      </c>
      <c r="Z92" s="1">
        <v>17</v>
      </c>
      <c r="AA92" s="1">
        <v>12</v>
      </c>
      <c r="AB92" s="1">
        <v>50</v>
      </c>
      <c r="AC92" s="1">
        <v>63</v>
      </c>
      <c r="AD92" s="1">
        <v>53</v>
      </c>
      <c r="AE92" s="1">
        <v>60</v>
      </c>
      <c r="AF92" s="18">
        <f t="shared" si="1"/>
        <v>58.966666666666669</v>
      </c>
    </row>
    <row r="93" spans="1:32" x14ac:dyDescent="0.35">
      <c r="A93" s="1" t="s">
        <v>69</v>
      </c>
      <c r="B93" s="1">
        <v>43</v>
      </c>
      <c r="C93" s="1">
        <v>12</v>
      </c>
      <c r="D93" s="1">
        <v>28</v>
      </c>
      <c r="E93" s="1">
        <v>38</v>
      </c>
      <c r="F93" s="1">
        <v>14</v>
      </c>
      <c r="G93" s="1">
        <v>23</v>
      </c>
      <c r="H93" s="1">
        <v>55</v>
      </c>
      <c r="I93" s="1">
        <v>66</v>
      </c>
      <c r="J93" s="1">
        <v>20</v>
      </c>
      <c r="K93" s="1">
        <v>38</v>
      </c>
      <c r="L93" s="1">
        <v>28</v>
      </c>
      <c r="M93" s="1">
        <v>38</v>
      </c>
      <c r="N93" s="1">
        <v>44</v>
      </c>
      <c r="O93" s="1">
        <v>57</v>
      </c>
      <c r="P93" s="1">
        <v>36</v>
      </c>
      <c r="Q93" s="1">
        <v>17</v>
      </c>
      <c r="R93" s="1">
        <v>27</v>
      </c>
      <c r="S93" s="1">
        <v>24</v>
      </c>
      <c r="T93" s="1">
        <v>24</v>
      </c>
      <c r="U93" s="1">
        <v>29</v>
      </c>
      <c r="V93" s="1">
        <v>20</v>
      </c>
      <c r="W93" s="1">
        <v>19</v>
      </c>
      <c r="X93" s="1">
        <v>18</v>
      </c>
      <c r="Y93" s="1">
        <v>29</v>
      </c>
      <c r="Z93" s="1">
        <v>14</v>
      </c>
      <c r="AA93" s="1">
        <v>18</v>
      </c>
      <c r="AB93" s="1">
        <v>20</v>
      </c>
      <c r="AC93" s="1">
        <v>32</v>
      </c>
      <c r="AD93" s="1">
        <v>18</v>
      </c>
      <c r="AE93" s="1">
        <v>122</v>
      </c>
      <c r="AF93" s="18">
        <f t="shared" si="1"/>
        <v>32.366666666666667</v>
      </c>
    </row>
    <row r="94" spans="1:32" x14ac:dyDescent="0.35">
      <c r="A94" s="1" t="s">
        <v>70</v>
      </c>
      <c r="B94" s="1">
        <v>13</v>
      </c>
      <c r="C94" s="1">
        <v>89</v>
      </c>
      <c r="D94" s="1">
        <v>89</v>
      </c>
      <c r="E94" s="1">
        <v>299</v>
      </c>
      <c r="F94" s="1">
        <v>122</v>
      </c>
      <c r="G94" s="1">
        <v>30</v>
      </c>
      <c r="H94" s="1">
        <v>52</v>
      </c>
      <c r="I94" s="1">
        <v>178</v>
      </c>
      <c r="J94" s="1">
        <v>68</v>
      </c>
      <c r="K94" s="1">
        <v>37</v>
      </c>
      <c r="L94" s="1">
        <v>221</v>
      </c>
      <c r="M94" s="1">
        <v>13</v>
      </c>
      <c r="N94" s="1">
        <v>175</v>
      </c>
      <c r="O94" s="1">
        <v>55</v>
      </c>
      <c r="P94" s="1">
        <v>64</v>
      </c>
      <c r="Q94" s="1">
        <v>13</v>
      </c>
      <c r="R94" s="1">
        <v>41</v>
      </c>
      <c r="S94" s="1">
        <v>153</v>
      </c>
      <c r="T94" s="1">
        <v>20</v>
      </c>
      <c r="U94" s="1">
        <v>71</v>
      </c>
      <c r="V94" s="1">
        <v>40</v>
      </c>
      <c r="W94" s="1">
        <v>100</v>
      </c>
      <c r="X94" s="1">
        <v>26</v>
      </c>
      <c r="Y94" s="1">
        <v>101</v>
      </c>
      <c r="Z94" s="1">
        <v>25</v>
      </c>
      <c r="AA94" s="1">
        <v>48</v>
      </c>
      <c r="AB94" s="1">
        <v>32</v>
      </c>
      <c r="AC94" s="1">
        <v>44</v>
      </c>
      <c r="AD94" s="1">
        <v>16</v>
      </c>
      <c r="AE94" s="1">
        <v>12</v>
      </c>
      <c r="AF94" s="18">
        <f t="shared" si="1"/>
        <v>74.900000000000006</v>
      </c>
    </row>
    <row r="95" spans="1:32" x14ac:dyDescent="0.35">
      <c r="A95" s="1" t="s">
        <v>71</v>
      </c>
      <c r="B95" s="1">
        <v>12</v>
      </c>
      <c r="C95" s="1">
        <v>12</v>
      </c>
      <c r="D95" s="1">
        <v>83</v>
      </c>
      <c r="E95" s="1">
        <v>229</v>
      </c>
      <c r="F95" s="1">
        <v>22</v>
      </c>
      <c r="G95" s="1">
        <v>90</v>
      </c>
      <c r="H95" s="1">
        <v>49</v>
      </c>
      <c r="I95" s="1">
        <v>15</v>
      </c>
      <c r="J95" s="1">
        <v>105</v>
      </c>
      <c r="K95" s="1">
        <v>175</v>
      </c>
      <c r="L95" s="1">
        <v>90</v>
      </c>
      <c r="M95" s="1">
        <v>20</v>
      </c>
      <c r="N95" s="1">
        <v>30</v>
      </c>
      <c r="O95" s="1">
        <v>83</v>
      </c>
      <c r="P95" s="1">
        <v>26</v>
      </c>
      <c r="Q95" s="1">
        <v>44</v>
      </c>
      <c r="R95" s="1">
        <v>18</v>
      </c>
      <c r="S95" s="1">
        <v>44</v>
      </c>
      <c r="T95" s="1">
        <v>93</v>
      </c>
      <c r="U95" s="1">
        <v>41</v>
      </c>
      <c r="V95" s="1">
        <v>21</v>
      </c>
      <c r="W95" s="1">
        <v>36</v>
      </c>
      <c r="X95" s="1">
        <v>50</v>
      </c>
      <c r="Y95" s="1">
        <v>46</v>
      </c>
      <c r="Z95" s="1">
        <v>42</v>
      </c>
      <c r="AA95" s="1">
        <v>32</v>
      </c>
      <c r="AB95" s="1">
        <v>66</v>
      </c>
      <c r="AC95" s="1">
        <v>145</v>
      </c>
      <c r="AD95" s="1">
        <v>43</v>
      </c>
      <c r="AE95" s="1">
        <v>42</v>
      </c>
      <c r="AF95" s="18">
        <f t="shared" si="1"/>
        <v>60.133333333333333</v>
      </c>
    </row>
    <row r="96" spans="1:32" x14ac:dyDescent="0.35">
      <c r="A96" s="1" t="s">
        <v>72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8">
        <f t="shared" si="1"/>
        <v>0</v>
      </c>
    </row>
    <row r="97" spans="1:32" x14ac:dyDescent="0.35">
      <c r="A97" s="1" t="s">
        <v>73</v>
      </c>
      <c r="B97" s="1">
        <v>33</v>
      </c>
      <c r="C97" s="1">
        <v>22</v>
      </c>
      <c r="D97" s="1">
        <v>51</v>
      </c>
      <c r="E97" s="1">
        <v>26</v>
      </c>
      <c r="F97" s="1">
        <v>42</v>
      </c>
      <c r="G97" s="1">
        <v>33</v>
      </c>
      <c r="H97" s="1">
        <v>13</v>
      </c>
      <c r="I97" s="1">
        <v>47</v>
      </c>
      <c r="J97" s="1">
        <v>32</v>
      </c>
      <c r="K97" s="1">
        <v>58</v>
      </c>
      <c r="L97" s="1">
        <v>48</v>
      </c>
      <c r="M97" s="1">
        <v>13</v>
      </c>
      <c r="N97" s="1">
        <v>79</v>
      </c>
      <c r="O97" s="1">
        <v>150</v>
      </c>
      <c r="P97" s="1">
        <v>129</v>
      </c>
      <c r="Q97" s="1">
        <v>40</v>
      </c>
      <c r="R97" s="1">
        <v>57</v>
      </c>
      <c r="S97" s="1">
        <v>16</v>
      </c>
      <c r="T97" s="1">
        <v>23</v>
      </c>
      <c r="U97" s="1">
        <v>40</v>
      </c>
      <c r="V97" s="1">
        <v>18</v>
      </c>
      <c r="W97" s="1">
        <v>44</v>
      </c>
      <c r="X97" s="1">
        <v>29</v>
      </c>
      <c r="Y97" s="1">
        <v>74</v>
      </c>
      <c r="Z97" s="1">
        <v>16</v>
      </c>
      <c r="AA97" s="1">
        <v>130</v>
      </c>
      <c r="AB97" s="1">
        <v>43</v>
      </c>
      <c r="AC97" s="1">
        <v>86</v>
      </c>
      <c r="AD97" s="1">
        <v>12</v>
      </c>
      <c r="AE97" s="1">
        <v>12</v>
      </c>
      <c r="AF97" s="18">
        <f t="shared" si="1"/>
        <v>47.2</v>
      </c>
    </row>
    <row r="98" spans="1:32" x14ac:dyDescent="0.35">
      <c r="A98" s="1" t="s">
        <v>74</v>
      </c>
      <c r="B98" s="1">
        <v>182</v>
      </c>
      <c r="C98" s="1">
        <v>69</v>
      </c>
      <c r="D98" s="1">
        <v>55</v>
      </c>
      <c r="E98" s="1">
        <v>22</v>
      </c>
      <c r="F98" s="1">
        <v>18</v>
      </c>
      <c r="G98" s="1">
        <v>78</v>
      </c>
      <c r="H98" s="1">
        <v>58</v>
      </c>
      <c r="I98" s="1">
        <v>13</v>
      </c>
      <c r="J98" s="1">
        <v>14</v>
      </c>
      <c r="K98" s="1">
        <v>64</v>
      </c>
      <c r="L98" s="1">
        <v>15</v>
      </c>
      <c r="M98" s="1">
        <v>80</v>
      </c>
      <c r="N98" s="1">
        <v>285</v>
      </c>
      <c r="O98" s="1">
        <v>172</v>
      </c>
      <c r="P98" s="1">
        <v>47</v>
      </c>
      <c r="Q98" s="1">
        <v>91</v>
      </c>
      <c r="R98" s="1">
        <v>35</v>
      </c>
      <c r="S98" s="1">
        <v>62</v>
      </c>
      <c r="T98" s="1">
        <v>64</v>
      </c>
      <c r="U98" s="1">
        <v>151</v>
      </c>
      <c r="V98" s="1">
        <v>126</v>
      </c>
      <c r="W98" s="1">
        <v>24</v>
      </c>
      <c r="X98" s="1">
        <v>18</v>
      </c>
      <c r="Y98" s="1">
        <v>347</v>
      </c>
      <c r="Z98" s="1">
        <v>62</v>
      </c>
      <c r="AA98" s="1">
        <v>54</v>
      </c>
      <c r="AB98" s="1">
        <v>100</v>
      </c>
      <c r="AC98" s="1">
        <v>268</v>
      </c>
      <c r="AD98" s="1">
        <v>40</v>
      </c>
      <c r="AE98" s="1">
        <v>370</v>
      </c>
      <c r="AF98" s="18">
        <f t="shared" si="1"/>
        <v>99.466666666666669</v>
      </c>
    </row>
    <row r="99" spans="1:32" x14ac:dyDescent="0.35">
      <c r="A99" s="1" t="s">
        <v>75</v>
      </c>
      <c r="B99" s="1">
        <v>39</v>
      </c>
      <c r="C99" s="1">
        <v>17</v>
      </c>
      <c r="D99" s="1">
        <v>63</v>
      </c>
      <c r="E99" s="1">
        <v>24</v>
      </c>
      <c r="F99" s="1">
        <v>22</v>
      </c>
      <c r="G99" s="1">
        <v>35</v>
      </c>
      <c r="H99" s="1">
        <v>18</v>
      </c>
      <c r="I99" s="1">
        <v>12</v>
      </c>
      <c r="J99" s="1">
        <v>45</v>
      </c>
      <c r="K99" s="1">
        <v>134</v>
      </c>
      <c r="L99" s="1">
        <v>24</v>
      </c>
      <c r="M99" s="1">
        <v>26</v>
      </c>
      <c r="N99" s="1">
        <v>53</v>
      </c>
      <c r="O99" s="1">
        <v>69</v>
      </c>
      <c r="P99" s="1">
        <v>27</v>
      </c>
      <c r="Q99" s="1">
        <v>16</v>
      </c>
      <c r="R99" s="1">
        <v>34</v>
      </c>
      <c r="S99" s="1">
        <v>15</v>
      </c>
      <c r="T99" s="1">
        <v>141</v>
      </c>
      <c r="U99" s="1">
        <v>83</v>
      </c>
      <c r="V99" s="1">
        <v>44</v>
      </c>
      <c r="W99" s="1">
        <v>14</v>
      </c>
      <c r="X99" s="1">
        <v>69</v>
      </c>
      <c r="Y99" s="1">
        <v>27</v>
      </c>
      <c r="Z99" s="1">
        <v>42</v>
      </c>
      <c r="AA99" s="1">
        <v>15</v>
      </c>
      <c r="AB99" s="1">
        <v>48</v>
      </c>
      <c r="AC99" s="1">
        <v>68</v>
      </c>
      <c r="AD99" s="1">
        <v>24</v>
      </c>
      <c r="AE99" s="1">
        <v>110</v>
      </c>
      <c r="AF99" s="18">
        <f t="shared" si="1"/>
        <v>45.266666666666666</v>
      </c>
    </row>
    <row r="100" spans="1:32" x14ac:dyDescent="0.35">
      <c r="A100" s="1" t="s">
        <v>76</v>
      </c>
      <c r="B100" s="1">
        <v>79</v>
      </c>
      <c r="C100" s="1">
        <v>35</v>
      </c>
      <c r="D100" s="1">
        <v>15</v>
      </c>
      <c r="E100" s="1">
        <v>111</v>
      </c>
      <c r="F100" s="1">
        <v>96</v>
      </c>
      <c r="G100" s="1">
        <v>55</v>
      </c>
      <c r="H100" s="1">
        <v>174</v>
      </c>
      <c r="I100" s="1">
        <v>85</v>
      </c>
      <c r="J100" s="1">
        <v>21</v>
      </c>
      <c r="K100" s="1">
        <v>22</v>
      </c>
      <c r="L100" s="1">
        <v>30</v>
      </c>
      <c r="M100" s="1">
        <v>15</v>
      </c>
      <c r="N100" s="1">
        <v>21</v>
      </c>
      <c r="O100" s="1">
        <v>75</v>
      </c>
      <c r="P100" s="1">
        <v>45</v>
      </c>
      <c r="Q100" s="1">
        <v>23</v>
      </c>
      <c r="R100" s="1">
        <v>60</v>
      </c>
      <c r="S100" s="1">
        <v>64</v>
      </c>
      <c r="T100" s="1">
        <v>16</v>
      </c>
      <c r="U100" s="1">
        <v>19</v>
      </c>
      <c r="V100" s="1">
        <v>32</v>
      </c>
      <c r="W100" s="1">
        <v>95</v>
      </c>
      <c r="X100" s="1">
        <v>167</v>
      </c>
      <c r="Y100" s="1">
        <v>27</v>
      </c>
      <c r="Z100" s="1">
        <v>54</v>
      </c>
      <c r="AA100" s="1">
        <v>31</v>
      </c>
      <c r="AB100" s="1">
        <v>56</v>
      </c>
      <c r="AC100" s="1">
        <v>88</v>
      </c>
      <c r="AD100" s="1">
        <v>40</v>
      </c>
      <c r="AE100" s="1">
        <v>19</v>
      </c>
      <c r="AF100" s="18">
        <f t="shared" si="1"/>
        <v>55.666666666666664</v>
      </c>
    </row>
    <row r="101" spans="1:32" x14ac:dyDescent="0.35">
      <c r="A101" s="1" t="s">
        <v>77</v>
      </c>
      <c r="B101" s="1">
        <v>48</v>
      </c>
      <c r="C101" s="1">
        <v>73</v>
      </c>
      <c r="D101" s="1">
        <v>18</v>
      </c>
      <c r="E101" s="1">
        <v>42</v>
      </c>
      <c r="F101" s="1">
        <v>63</v>
      </c>
      <c r="G101" s="1">
        <v>25</v>
      </c>
      <c r="H101" s="1">
        <v>20</v>
      </c>
      <c r="I101" s="1">
        <v>14</v>
      </c>
      <c r="J101" s="1">
        <v>68</v>
      </c>
      <c r="K101" s="1">
        <v>101</v>
      </c>
      <c r="L101" s="1">
        <v>18</v>
      </c>
      <c r="M101" s="1">
        <v>34</v>
      </c>
      <c r="N101" s="1">
        <v>54</v>
      </c>
      <c r="O101" s="1">
        <v>81</v>
      </c>
      <c r="P101" s="1">
        <v>85</v>
      </c>
      <c r="Q101" s="1">
        <v>76</v>
      </c>
      <c r="R101" s="1">
        <v>156</v>
      </c>
      <c r="S101" s="1">
        <v>25</v>
      </c>
      <c r="T101" s="1">
        <v>141</v>
      </c>
      <c r="U101" s="1">
        <v>51</v>
      </c>
      <c r="V101" s="1">
        <v>21</v>
      </c>
      <c r="W101" s="1">
        <v>188</v>
      </c>
      <c r="X101" s="1">
        <v>67</v>
      </c>
      <c r="Y101" s="1">
        <v>52</v>
      </c>
      <c r="Z101" s="1">
        <v>120</v>
      </c>
      <c r="AA101" s="1">
        <v>64</v>
      </c>
      <c r="AB101" s="1">
        <v>23</v>
      </c>
      <c r="AC101" s="1">
        <v>109</v>
      </c>
      <c r="AD101" s="1">
        <v>20</v>
      </c>
      <c r="AE101" s="1">
        <v>31</v>
      </c>
      <c r="AF101" s="18">
        <f t="shared" si="1"/>
        <v>62.93333333333333</v>
      </c>
    </row>
    <row r="102" spans="1:32" x14ac:dyDescent="0.35">
      <c r="A102" s="1" t="s">
        <v>78</v>
      </c>
      <c r="B102" s="1">
        <v>34</v>
      </c>
      <c r="C102" s="1">
        <v>51</v>
      </c>
      <c r="D102" s="1">
        <v>12</v>
      </c>
      <c r="E102" s="1">
        <v>155</v>
      </c>
      <c r="F102" s="1">
        <v>21</v>
      </c>
      <c r="G102" s="1">
        <v>32</v>
      </c>
      <c r="H102" s="1">
        <v>61</v>
      </c>
      <c r="I102" s="1">
        <v>27</v>
      </c>
      <c r="J102" s="1">
        <v>108</v>
      </c>
      <c r="K102" s="1">
        <v>39</v>
      </c>
      <c r="L102" s="1">
        <v>50</v>
      </c>
      <c r="M102" s="1">
        <v>70</v>
      </c>
      <c r="N102" s="1">
        <v>36</v>
      </c>
      <c r="O102" s="1">
        <v>13</v>
      </c>
      <c r="P102" s="1">
        <v>47</v>
      </c>
      <c r="Q102" s="1">
        <v>26</v>
      </c>
      <c r="R102" s="1">
        <v>24</v>
      </c>
      <c r="S102" s="1">
        <v>21</v>
      </c>
      <c r="T102" s="1">
        <v>50</v>
      </c>
      <c r="U102" s="1">
        <v>38</v>
      </c>
      <c r="V102" s="1">
        <v>23</v>
      </c>
      <c r="W102" s="1">
        <v>38</v>
      </c>
      <c r="X102" s="1">
        <v>72</v>
      </c>
      <c r="Y102" s="1">
        <v>48</v>
      </c>
      <c r="Z102" s="1">
        <v>29</v>
      </c>
      <c r="AA102" s="1">
        <v>15</v>
      </c>
      <c r="AB102" s="1">
        <v>58</v>
      </c>
      <c r="AC102" s="1">
        <v>24</v>
      </c>
      <c r="AD102" s="1">
        <v>25</v>
      </c>
      <c r="AE102" s="1">
        <v>65</v>
      </c>
      <c r="AF102" s="18">
        <f t="shared" si="1"/>
        <v>43.733333333333334</v>
      </c>
    </row>
    <row r="103" spans="1:32" x14ac:dyDescent="0.35">
      <c r="A103" s="1" t="s">
        <v>79</v>
      </c>
      <c r="B103" s="1">
        <v>15</v>
      </c>
      <c r="C103" s="1">
        <v>68</v>
      </c>
      <c r="D103" s="1">
        <v>17</v>
      </c>
      <c r="E103" s="1">
        <v>42</v>
      </c>
      <c r="F103" s="1">
        <v>27</v>
      </c>
      <c r="G103" s="1">
        <v>17</v>
      </c>
      <c r="H103" s="1">
        <v>62</v>
      </c>
      <c r="I103" s="1">
        <v>31</v>
      </c>
      <c r="J103" s="1">
        <v>16</v>
      </c>
      <c r="K103" s="1">
        <v>40</v>
      </c>
      <c r="L103" s="1">
        <v>71</v>
      </c>
      <c r="M103" s="1">
        <v>34</v>
      </c>
      <c r="N103" s="1">
        <v>17</v>
      </c>
      <c r="O103" s="1">
        <v>56</v>
      </c>
      <c r="P103" s="1">
        <v>114</v>
      </c>
      <c r="Q103" s="1">
        <v>54</v>
      </c>
      <c r="R103" s="1">
        <v>79</v>
      </c>
      <c r="S103" s="1">
        <v>15</v>
      </c>
      <c r="T103" s="1">
        <v>22</v>
      </c>
      <c r="U103" s="1">
        <v>24</v>
      </c>
      <c r="V103" s="1">
        <v>80</v>
      </c>
      <c r="W103" s="1">
        <v>20</v>
      </c>
      <c r="X103" s="1">
        <v>103</v>
      </c>
      <c r="Y103" s="1">
        <v>33</v>
      </c>
      <c r="Z103" s="1">
        <v>66</v>
      </c>
      <c r="AA103" s="1">
        <v>187</v>
      </c>
      <c r="AB103" s="1">
        <v>76</v>
      </c>
      <c r="AC103" s="1">
        <v>15</v>
      </c>
      <c r="AD103" s="1">
        <v>73</v>
      </c>
      <c r="AE103" s="1">
        <v>31</v>
      </c>
      <c r="AF103" s="18">
        <f t="shared" si="1"/>
        <v>50.166666666666664</v>
      </c>
    </row>
    <row r="104" spans="1:32" x14ac:dyDescent="0.35">
      <c r="A104" s="1" t="s">
        <v>183</v>
      </c>
      <c r="B104" s="1">
        <v>35</v>
      </c>
      <c r="C104" s="1">
        <v>155</v>
      </c>
      <c r="D104" s="1">
        <v>40</v>
      </c>
      <c r="E104" s="1">
        <v>45</v>
      </c>
      <c r="F104" s="1">
        <v>130</v>
      </c>
      <c r="G104" s="1">
        <v>37</v>
      </c>
      <c r="H104" s="1">
        <v>88</v>
      </c>
      <c r="I104" s="1">
        <v>47</v>
      </c>
      <c r="J104" s="1">
        <v>52</v>
      </c>
      <c r="K104" s="1">
        <v>144</v>
      </c>
      <c r="L104" s="1">
        <v>177</v>
      </c>
      <c r="M104" s="1">
        <v>47</v>
      </c>
      <c r="N104" s="1">
        <v>111</v>
      </c>
      <c r="O104" s="1">
        <v>28</v>
      </c>
      <c r="P104" s="1">
        <v>169</v>
      </c>
      <c r="Q104" s="1">
        <v>106</v>
      </c>
      <c r="R104" s="1">
        <v>129</v>
      </c>
      <c r="S104" s="1">
        <v>45</v>
      </c>
      <c r="T104" s="1">
        <v>102</v>
      </c>
      <c r="U104" s="1">
        <v>25</v>
      </c>
      <c r="V104" s="1">
        <v>37</v>
      </c>
      <c r="W104" s="1">
        <v>19</v>
      </c>
      <c r="X104" s="1">
        <v>67</v>
      </c>
      <c r="Y104" s="1">
        <v>130</v>
      </c>
      <c r="Z104" s="1">
        <v>69</v>
      </c>
      <c r="AA104" s="1">
        <v>19</v>
      </c>
      <c r="AB104" s="1">
        <v>49</v>
      </c>
      <c r="AC104" s="1">
        <v>75</v>
      </c>
      <c r="AD104" s="1">
        <v>187</v>
      </c>
      <c r="AE104" s="1">
        <v>21</v>
      </c>
      <c r="AF104" s="18">
        <f t="shared" si="1"/>
        <v>79.5</v>
      </c>
    </row>
    <row r="105" spans="1:32" x14ac:dyDescent="0.35">
      <c r="A105" s="1" t="s">
        <v>80</v>
      </c>
      <c r="B105" s="1">
        <v>88</v>
      </c>
      <c r="C105" s="1">
        <v>59</v>
      </c>
      <c r="D105" s="1">
        <v>106</v>
      </c>
      <c r="E105" s="1">
        <v>126</v>
      </c>
      <c r="F105" s="1">
        <v>26</v>
      </c>
      <c r="G105" s="1">
        <v>17</v>
      </c>
      <c r="H105" s="1">
        <v>195</v>
      </c>
      <c r="I105" s="1">
        <v>13</v>
      </c>
      <c r="J105" s="1">
        <v>138</v>
      </c>
      <c r="K105" s="1">
        <v>39</v>
      </c>
      <c r="L105" s="1">
        <v>78</v>
      </c>
      <c r="M105" s="1">
        <v>52</v>
      </c>
      <c r="N105" s="1">
        <v>21</v>
      </c>
      <c r="O105" s="1">
        <v>13</v>
      </c>
      <c r="P105" s="1">
        <v>25</v>
      </c>
      <c r="Q105" s="1">
        <v>75</v>
      </c>
      <c r="R105" s="1">
        <v>51</v>
      </c>
      <c r="S105" s="1">
        <v>35</v>
      </c>
      <c r="T105" s="1">
        <v>64</v>
      </c>
      <c r="U105" s="1">
        <v>31</v>
      </c>
      <c r="V105" s="1">
        <v>106</v>
      </c>
      <c r="W105" s="1">
        <v>91</v>
      </c>
      <c r="X105" s="1">
        <v>95</v>
      </c>
      <c r="Y105" s="1">
        <v>31</v>
      </c>
      <c r="Z105" s="1">
        <v>48</v>
      </c>
      <c r="AA105" s="1">
        <v>64</v>
      </c>
      <c r="AB105" s="1">
        <v>55</v>
      </c>
      <c r="AC105" s="1">
        <v>30</v>
      </c>
      <c r="AD105" s="1">
        <v>194</v>
      </c>
      <c r="AE105" s="1">
        <v>14</v>
      </c>
      <c r="AF105" s="18">
        <f t="shared" si="1"/>
        <v>66</v>
      </c>
    </row>
    <row r="106" spans="1:32" x14ac:dyDescent="0.35">
      <c r="A106" s="1" t="s">
        <v>81</v>
      </c>
      <c r="B106" s="1">
        <v>35</v>
      </c>
      <c r="C106" s="1">
        <v>13</v>
      </c>
      <c r="D106" s="1">
        <v>68</v>
      </c>
      <c r="E106" s="1">
        <v>29</v>
      </c>
      <c r="F106" s="1">
        <v>41</v>
      </c>
      <c r="G106" s="1">
        <v>16</v>
      </c>
      <c r="H106" s="1">
        <v>125</v>
      </c>
      <c r="I106" s="1">
        <v>132</v>
      </c>
      <c r="J106" s="1">
        <v>56</v>
      </c>
      <c r="K106" s="1">
        <v>129</v>
      </c>
      <c r="L106" s="1">
        <v>73</v>
      </c>
      <c r="M106" s="1">
        <v>72</v>
      </c>
      <c r="N106" s="1">
        <v>111</v>
      </c>
      <c r="O106" s="1">
        <v>29</v>
      </c>
      <c r="P106" s="1">
        <v>66</v>
      </c>
      <c r="Q106" s="1">
        <v>136</v>
      </c>
      <c r="R106" s="1">
        <v>25</v>
      </c>
      <c r="S106" s="1">
        <v>27</v>
      </c>
      <c r="T106" s="1">
        <v>57</v>
      </c>
      <c r="U106" s="1">
        <v>23</v>
      </c>
      <c r="V106" s="1">
        <v>65</v>
      </c>
      <c r="W106" s="1">
        <v>31</v>
      </c>
      <c r="X106" s="1">
        <v>66</v>
      </c>
      <c r="Y106" s="1">
        <v>29</v>
      </c>
      <c r="Z106" s="1">
        <v>131</v>
      </c>
      <c r="AA106" s="1">
        <v>86</v>
      </c>
      <c r="AB106" s="1">
        <v>127</v>
      </c>
      <c r="AC106" s="1">
        <v>26</v>
      </c>
      <c r="AD106" s="1">
        <v>52</v>
      </c>
      <c r="AE106" s="1">
        <v>28</v>
      </c>
      <c r="AF106" s="18">
        <f t="shared" si="1"/>
        <v>63.466666666666669</v>
      </c>
    </row>
    <row r="107" spans="1:32" x14ac:dyDescent="0.35">
      <c r="A107" s="1" t="s">
        <v>82</v>
      </c>
      <c r="B107" s="1">
        <v>16</v>
      </c>
      <c r="C107" s="1">
        <v>41</v>
      </c>
      <c r="D107" s="1">
        <v>73</v>
      </c>
      <c r="E107" s="1">
        <v>119</v>
      </c>
      <c r="F107" s="1">
        <v>189</v>
      </c>
      <c r="G107" s="1">
        <v>42</v>
      </c>
      <c r="H107" s="1">
        <v>25</v>
      </c>
      <c r="I107" s="1">
        <v>84</v>
      </c>
      <c r="J107" s="1">
        <v>24</v>
      </c>
      <c r="K107" s="1">
        <v>52</v>
      </c>
      <c r="L107" s="1">
        <v>184</v>
      </c>
      <c r="M107" s="1">
        <v>28</v>
      </c>
      <c r="N107" s="1">
        <v>234</v>
      </c>
      <c r="O107" s="1">
        <v>59</v>
      </c>
      <c r="P107" s="1">
        <v>94</v>
      </c>
      <c r="Q107" s="1">
        <v>50</v>
      </c>
      <c r="R107" s="1">
        <v>53</v>
      </c>
      <c r="S107" s="1">
        <v>24</v>
      </c>
      <c r="T107" s="1">
        <v>25</v>
      </c>
      <c r="U107" s="1">
        <v>16</v>
      </c>
      <c r="V107" s="1">
        <v>78</v>
      </c>
      <c r="W107" s="1">
        <v>34</v>
      </c>
      <c r="X107" s="1">
        <v>135</v>
      </c>
      <c r="Y107" s="1">
        <v>24</v>
      </c>
      <c r="Z107" s="1">
        <v>25</v>
      </c>
      <c r="AA107" s="1">
        <v>25</v>
      </c>
      <c r="AB107" s="1">
        <v>20</v>
      </c>
      <c r="AC107" s="1">
        <v>36</v>
      </c>
      <c r="AD107" s="1">
        <v>18</v>
      </c>
      <c r="AE107" s="1">
        <v>15</v>
      </c>
      <c r="AF107" s="18">
        <f t="shared" si="1"/>
        <v>61.4</v>
      </c>
    </row>
    <row r="108" spans="1:32" x14ac:dyDescent="0.35">
      <c r="A108" s="1" t="s">
        <v>83</v>
      </c>
      <c r="B108" s="1">
        <v>67</v>
      </c>
      <c r="C108" s="1">
        <v>20</v>
      </c>
      <c r="D108" s="1">
        <v>23</v>
      </c>
      <c r="E108" s="1">
        <v>132</v>
      </c>
      <c r="F108" s="1">
        <v>40</v>
      </c>
      <c r="G108" s="1">
        <v>47</v>
      </c>
      <c r="H108" s="1">
        <v>113</v>
      </c>
      <c r="I108" s="1">
        <v>36</v>
      </c>
      <c r="J108" s="1">
        <v>14</v>
      </c>
      <c r="K108" s="1">
        <v>13</v>
      </c>
      <c r="L108" s="1">
        <v>73</v>
      </c>
      <c r="M108" s="1">
        <v>230</v>
      </c>
      <c r="N108" s="1">
        <v>14</v>
      </c>
      <c r="O108" s="1">
        <v>100</v>
      </c>
      <c r="P108" s="1">
        <v>25</v>
      </c>
      <c r="Q108" s="1">
        <v>119</v>
      </c>
      <c r="R108" s="1">
        <v>105</v>
      </c>
      <c r="S108" s="1">
        <v>14</v>
      </c>
      <c r="T108" s="1">
        <v>20</v>
      </c>
      <c r="U108" s="1">
        <v>27</v>
      </c>
      <c r="V108" s="1">
        <v>101</v>
      </c>
      <c r="W108" s="1">
        <v>31</v>
      </c>
      <c r="X108" s="1">
        <v>99</v>
      </c>
      <c r="Y108" s="1">
        <v>72</v>
      </c>
      <c r="Z108" s="1">
        <v>15</v>
      </c>
      <c r="AA108" s="1">
        <v>51</v>
      </c>
      <c r="AB108" s="1">
        <v>64</v>
      </c>
      <c r="AC108" s="1">
        <v>77</v>
      </c>
      <c r="AD108" s="1">
        <v>131</v>
      </c>
      <c r="AE108" s="1">
        <v>150</v>
      </c>
      <c r="AF108" s="18">
        <f t="shared" si="1"/>
        <v>67.433333333333337</v>
      </c>
    </row>
    <row r="109" spans="1:32" x14ac:dyDescent="0.35">
      <c r="A109" s="1" t="s">
        <v>84</v>
      </c>
      <c r="B109" s="1">
        <v>51</v>
      </c>
      <c r="C109" s="1">
        <v>88</v>
      </c>
      <c r="D109" s="1">
        <v>31</v>
      </c>
      <c r="E109" s="1">
        <v>142</v>
      </c>
      <c r="F109" s="1">
        <v>164</v>
      </c>
      <c r="G109" s="1">
        <v>12</v>
      </c>
      <c r="H109" s="1">
        <v>53</v>
      </c>
      <c r="I109" s="1">
        <v>22</v>
      </c>
      <c r="J109" s="1">
        <v>52</v>
      </c>
      <c r="K109" s="1">
        <v>37</v>
      </c>
      <c r="L109" s="1">
        <v>22</v>
      </c>
      <c r="M109" s="1">
        <v>71</v>
      </c>
      <c r="N109" s="1">
        <v>46</v>
      </c>
      <c r="O109" s="1">
        <v>16</v>
      </c>
      <c r="P109" s="1">
        <v>141</v>
      </c>
      <c r="Q109" s="1">
        <v>68</v>
      </c>
      <c r="R109" s="1">
        <v>90</v>
      </c>
      <c r="S109" s="1">
        <v>16</v>
      </c>
      <c r="T109" s="1">
        <v>99</v>
      </c>
      <c r="U109" s="1">
        <v>29</v>
      </c>
      <c r="V109" s="1">
        <v>84</v>
      </c>
      <c r="W109" s="1">
        <v>62</v>
      </c>
      <c r="X109" s="1">
        <v>65</v>
      </c>
      <c r="Y109" s="1">
        <v>46</v>
      </c>
      <c r="Z109" s="1">
        <v>16</v>
      </c>
      <c r="AA109" s="1">
        <v>27</v>
      </c>
      <c r="AB109" s="1">
        <v>38</v>
      </c>
      <c r="AC109" s="1">
        <v>52</v>
      </c>
      <c r="AD109" s="1">
        <v>18</v>
      </c>
      <c r="AE109" s="1">
        <v>39</v>
      </c>
      <c r="AF109" s="18">
        <f t="shared" si="1"/>
        <v>56.56666666666667</v>
      </c>
    </row>
    <row r="110" spans="1:32" x14ac:dyDescent="0.35">
      <c r="A110" s="1" t="s">
        <v>85</v>
      </c>
      <c r="B110" s="1">
        <v>15</v>
      </c>
      <c r="C110" s="1">
        <v>42</v>
      </c>
      <c r="D110" s="1">
        <v>58</v>
      </c>
      <c r="E110" s="1">
        <v>34</v>
      </c>
      <c r="F110" s="1">
        <v>24</v>
      </c>
      <c r="G110" s="1">
        <v>28</v>
      </c>
      <c r="H110" s="1">
        <v>42</v>
      </c>
      <c r="I110" s="1">
        <v>155</v>
      </c>
      <c r="J110" s="1">
        <v>19</v>
      </c>
      <c r="K110" s="1">
        <v>16</v>
      </c>
      <c r="L110" s="1">
        <v>13</v>
      </c>
      <c r="M110" s="1">
        <v>25</v>
      </c>
      <c r="N110" s="1">
        <v>48</v>
      </c>
      <c r="O110" s="1">
        <v>28</v>
      </c>
      <c r="P110" s="1">
        <v>90</v>
      </c>
      <c r="Q110" s="1">
        <v>139</v>
      </c>
      <c r="R110" s="1">
        <v>35</v>
      </c>
      <c r="S110" s="1">
        <v>16</v>
      </c>
      <c r="T110" s="1">
        <v>20</v>
      </c>
      <c r="U110" s="1">
        <v>213</v>
      </c>
      <c r="V110" s="1">
        <v>43</v>
      </c>
      <c r="W110" s="1">
        <v>16</v>
      </c>
      <c r="X110" s="1">
        <v>31</v>
      </c>
      <c r="Y110" s="1">
        <v>17</v>
      </c>
      <c r="Z110" s="1">
        <v>16</v>
      </c>
      <c r="AA110" s="1">
        <v>69</v>
      </c>
      <c r="AB110" s="1">
        <v>27</v>
      </c>
      <c r="AC110" s="1">
        <v>63</v>
      </c>
      <c r="AD110" s="1">
        <v>18</v>
      </c>
      <c r="AE110" s="1">
        <v>50</v>
      </c>
      <c r="AF110" s="18">
        <f t="shared" si="1"/>
        <v>47</v>
      </c>
    </row>
    <row r="111" spans="1:32" x14ac:dyDescent="0.35">
      <c r="A111" s="1" t="s">
        <v>86</v>
      </c>
      <c r="B111" s="1">
        <v>13</v>
      </c>
      <c r="C111" s="1">
        <v>184</v>
      </c>
      <c r="D111" s="1">
        <v>252</v>
      </c>
      <c r="E111" s="1">
        <v>37</v>
      </c>
      <c r="F111" s="1">
        <v>30</v>
      </c>
      <c r="G111" s="1">
        <v>50</v>
      </c>
      <c r="H111" s="1">
        <v>25</v>
      </c>
      <c r="I111" s="1">
        <v>51</v>
      </c>
      <c r="J111" s="1">
        <v>92</v>
      </c>
      <c r="K111" s="1">
        <v>57</v>
      </c>
      <c r="L111" s="1">
        <v>32</v>
      </c>
      <c r="M111" s="1">
        <v>61</v>
      </c>
      <c r="N111" s="1">
        <v>23</v>
      </c>
      <c r="O111" s="1">
        <v>114</v>
      </c>
      <c r="P111" s="1">
        <v>150</v>
      </c>
      <c r="Q111" s="1">
        <v>23</v>
      </c>
      <c r="R111" s="1">
        <v>59</v>
      </c>
      <c r="S111" s="1">
        <v>68</v>
      </c>
      <c r="T111" s="1">
        <v>74</v>
      </c>
      <c r="U111" s="1">
        <v>145</v>
      </c>
      <c r="V111" s="1">
        <v>20</v>
      </c>
      <c r="W111" s="1">
        <v>150</v>
      </c>
      <c r="X111" s="1">
        <v>82</v>
      </c>
      <c r="Y111" s="1">
        <v>72</v>
      </c>
      <c r="Z111" s="1">
        <v>33</v>
      </c>
      <c r="AA111" s="1">
        <v>192</v>
      </c>
      <c r="AB111" s="1">
        <v>81</v>
      </c>
      <c r="AC111" s="1">
        <v>24</v>
      </c>
      <c r="AD111" s="1">
        <v>128</v>
      </c>
      <c r="AE111" s="1">
        <v>33</v>
      </c>
      <c r="AF111" s="18">
        <f t="shared" si="1"/>
        <v>78.5</v>
      </c>
    </row>
    <row r="112" spans="1:32" x14ac:dyDescent="0.35">
      <c r="A112" s="1" t="s">
        <v>87</v>
      </c>
      <c r="B112" s="1">
        <v>25</v>
      </c>
      <c r="C112" s="1">
        <v>81</v>
      </c>
      <c r="D112" s="1">
        <v>52</v>
      </c>
      <c r="E112" s="1">
        <v>32</v>
      </c>
      <c r="F112" s="1">
        <v>24</v>
      </c>
      <c r="G112" s="1">
        <v>24</v>
      </c>
      <c r="H112" s="1">
        <v>38</v>
      </c>
      <c r="I112" s="1">
        <v>157</v>
      </c>
      <c r="J112" s="1">
        <v>30</v>
      </c>
      <c r="K112" s="1">
        <v>150</v>
      </c>
      <c r="L112" s="1">
        <v>193</v>
      </c>
      <c r="M112" s="1">
        <v>37</v>
      </c>
      <c r="N112" s="1">
        <v>162</v>
      </c>
      <c r="O112" s="1">
        <v>96</v>
      </c>
      <c r="P112" s="1">
        <v>27</v>
      </c>
      <c r="Q112" s="1">
        <v>58</v>
      </c>
      <c r="R112" s="1">
        <v>39</v>
      </c>
      <c r="S112" s="1">
        <v>23</v>
      </c>
      <c r="T112" s="1">
        <v>259</v>
      </c>
      <c r="U112" s="1">
        <v>52</v>
      </c>
      <c r="V112" s="1">
        <v>45</v>
      </c>
      <c r="W112" s="1">
        <v>61</v>
      </c>
      <c r="X112" s="1">
        <v>54</v>
      </c>
      <c r="Y112" s="1">
        <v>48</v>
      </c>
      <c r="Z112" s="1">
        <v>17</v>
      </c>
      <c r="AA112" s="1">
        <v>44</v>
      </c>
      <c r="AB112" s="1">
        <v>26</v>
      </c>
      <c r="AC112" s="1">
        <v>51</v>
      </c>
      <c r="AD112" s="1">
        <v>34</v>
      </c>
      <c r="AE112" s="1">
        <v>61</v>
      </c>
      <c r="AF112" s="18">
        <f t="shared" si="1"/>
        <v>66.666666666666671</v>
      </c>
    </row>
    <row r="113" spans="1:32" x14ac:dyDescent="0.35">
      <c r="A113" s="1" t="s">
        <v>88</v>
      </c>
      <c r="B113" s="1">
        <v>164</v>
      </c>
      <c r="C113" s="1">
        <v>18</v>
      </c>
      <c r="D113" s="1">
        <v>119</v>
      </c>
      <c r="E113" s="1">
        <v>26</v>
      </c>
      <c r="F113" s="1">
        <v>15</v>
      </c>
      <c r="G113" s="1">
        <v>43</v>
      </c>
      <c r="H113" s="1">
        <v>68</v>
      </c>
      <c r="I113" s="1">
        <v>100</v>
      </c>
      <c r="J113" s="1">
        <v>51</v>
      </c>
      <c r="K113" s="1">
        <v>23</v>
      </c>
      <c r="L113" s="1">
        <v>66</v>
      </c>
      <c r="M113" s="1">
        <v>24</v>
      </c>
      <c r="N113" s="1">
        <v>176</v>
      </c>
      <c r="O113" s="1">
        <v>27</v>
      </c>
      <c r="P113" s="1">
        <v>55</v>
      </c>
      <c r="Q113" s="1">
        <v>42</v>
      </c>
      <c r="R113" s="1">
        <v>12</v>
      </c>
      <c r="S113" s="1">
        <v>21</v>
      </c>
      <c r="T113" s="1">
        <v>75</v>
      </c>
      <c r="U113" s="1">
        <v>77</v>
      </c>
      <c r="V113" s="1">
        <v>40</v>
      </c>
      <c r="W113" s="1">
        <v>91</v>
      </c>
      <c r="X113" s="1">
        <v>73</v>
      </c>
      <c r="Y113" s="1">
        <v>17</v>
      </c>
      <c r="Z113" s="1">
        <v>127</v>
      </c>
      <c r="AA113" s="1">
        <v>68</v>
      </c>
      <c r="AB113" s="1">
        <v>56</v>
      </c>
      <c r="AC113" s="1">
        <v>21</v>
      </c>
      <c r="AD113" s="1">
        <v>34</v>
      </c>
      <c r="AE113" s="1">
        <v>32</v>
      </c>
      <c r="AF113" s="18">
        <f t="shared" si="1"/>
        <v>58.7</v>
      </c>
    </row>
    <row r="114" spans="1:32" x14ac:dyDescent="0.35">
      <c r="A114" s="1" t="s">
        <v>89</v>
      </c>
      <c r="B114" s="1">
        <v>22</v>
      </c>
      <c r="C114" s="1">
        <v>122</v>
      </c>
      <c r="D114" s="1">
        <v>66</v>
      </c>
      <c r="E114" s="1">
        <v>68</v>
      </c>
      <c r="F114" s="1">
        <v>42</v>
      </c>
      <c r="G114" s="1">
        <v>17</v>
      </c>
      <c r="H114" s="1">
        <v>33</v>
      </c>
      <c r="I114" s="1">
        <v>214</v>
      </c>
      <c r="J114" s="1">
        <v>83</v>
      </c>
      <c r="K114" s="1">
        <v>88</v>
      </c>
      <c r="L114" s="1">
        <v>101</v>
      </c>
      <c r="M114" s="1">
        <v>48</v>
      </c>
      <c r="N114" s="1">
        <v>23</v>
      </c>
      <c r="O114" s="1">
        <v>93</v>
      </c>
      <c r="P114" s="1">
        <v>37</v>
      </c>
      <c r="Q114" s="1">
        <v>37</v>
      </c>
      <c r="R114" s="1">
        <v>201</v>
      </c>
      <c r="S114" s="1">
        <v>35</v>
      </c>
      <c r="T114" s="1">
        <v>34</v>
      </c>
      <c r="U114" s="1">
        <v>93</v>
      </c>
      <c r="V114" s="1">
        <v>46</v>
      </c>
      <c r="W114" s="1">
        <v>61</v>
      </c>
      <c r="X114" s="1">
        <v>67</v>
      </c>
      <c r="Y114" s="1">
        <v>60</v>
      </c>
      <c r="Z114" s="1">
        <v>37</v>
      </c>
      <c r="AA114" s="1">
        <v>133</v>
      </c>
      <c r="AB114" s="1">
        <v>60</v>
      </c>
      <c r="AC114" s="1">
        <v>17</v>
      </c>
      <c r="AD114" s="1">
        <v>64</v>
      </c>
      <c r="AE114" s="1">
        <v>67</v>
      </c>
      <c r="AF114" s="18">
        <f t="shared" si="1"/>
        <v>68.966666666666669</v>
      </c>
    </row>
    <row r="115" spans="1:32" x14ac:dyDescent="0.35">
      <c r="A115" s="1" t="s">
        <v>196</v>
      </c>
      <c r="B115" s="1">
        <v>15</v>
      </c>
      <c r="C115" s="1">
        <v>19</v>
      </c>
      <c r="D115" s="1">
        <v>113</v>
      </c>
      <c r="E115" s="1">
        <v>62</v>
      </c>
      <c r="F115" s="1">
        <v>20</v>
      </c>
      <c r="G115" s="1">
        <v>79</v>
      </c>
      <c r="H115" s="1">
        <v>29</v>
      </c>
      <c r="I115" s="1">
        <v>49</v>
      </c>
      <c r="J115" s="1">
        <v>82</v>
      </c>
      <c r="K115" s="1">
        <v>140</v>
      </c>
      <c r="L115" s="1">
        <v>15</v>
      </c>
      <c r="M115" s="1">
        <v>109</v>
      </c>
      <c r="N115" s="1">
        <v>112</v>
      </c>
      <c r="O115" s="1">
        <v>21</v>
      </c>
      <c r="P115" s="1">
        <v>72</v>
      </c>
      <c r="Q115" s="1">
        <v>32</v>
      </c>
      <c r="R115" s="1">
        <v>38</v>
      </c>
      <c r="S115" s="1">
        <v>70</v>
      </c>
      <c r="T115" s="1">
        <v>52</v>
      </c>
      <c r="U115" s="1">
        <v>13</v>
      </c>
      <c r="V115" s="1">
        <v>59</v>
      </c>
      <c r="W115" s="1">
        <v>60</v>
      </c>
      <c r="X115" s="1">
        <v>47</v>
      </c>
      <c r="Y115" s="1">
        <v>35</v>
      </c>
      <c r="Z115" s="1">
        <v>12</v>
      </c>
      <c r="AA115" s="1">
        <v>15</v>
      </c>
      <c r="AB115" s="1">
        <v>87</v>
      </c>
      <c r="AC115" s="1">
        <v>46</v>
      </c>
      <c r="AD115" s="1">
        <v>168</v>
      </c>
      <c r="AE115" s="1">
        <v>59</v>
      </c>
      <c r="AF115" s="18">
        <f t="shared" si="1"/>
        <v>57.666666666666664</v>
      </c>
    </row>
    <row r="116" spans="1:32" x14ac:dyDescent="0.35">
      <c r="A116" s="1" t="s">
        <v>90</v>
      </c>
      <c r="B116" s="1">
        <v>23</v>
      </c>
      <c r="C116" s="1">
        <v>52</v>
      </c>
      <c r="D116" s="1">
        <v>73</v>
      </c>
      <c r="E116" s="1">
        <v>117</v>
      </c>
      <c r="F116" s="1">
        <v>38</v>
      </c>
      <c r="G116" s="1">
        <v>22</v>
      </c>
      <c r="H116" s="1">
        <v>27</v>
      </c>
      <c r="I116" s="1">
        <v>31</v>
      </c>
      <c r="J116" s="1">
        <v>17</v>
      </c>
      <c r="K116" s="1">
        <v>30</v>
      </c>
      <c r="L116" s="1">
        <v>34</v>
      </c>
      <c r="M116" s="1">
        <v>55</v>
      </c>
      <c r="N116" s="1">
        <v>153</v>
      </c>
      <c r="O116" s="1">
        <v>20</v>
      </c>
      <c r="P116" s="1">
        <v>60</v>
      </c>
      <c r="Q116" s="1">
        <v>22</v>
      </c>
      <c r="R116" s="1">
        <v>44</v>
      </c>
      <c r="S116" s="1">
        <v>23</v>
      </c>
      <c r="T116" s="1">
        <v>87</v>
      </c>
      <c r="U116" s="1">
        <v>50</v>
      </c>
      <c r="V116" s="1">
        <v>51</v>
      </c>
      <c r="W116" s="1">
        <v>90</v>
      </c>
      <c r="X116" s="1">
        <v>49</v>
      </c>
      <c r="Y116" s="1">
        <v>29</v>
      </c>
      <c r="Z116" s="1">
        <v>32</v>
      </c>
      <c r="AA116" s="1">
        <v>27</v>
      </c>
      <c r="AB116" s="1">
        <v>17</v>
      </c>
      <c r="AC116" s="1">
        <v>22</v>
      </c>
      <c r="AD116" s="1">
        <v>44</v>
      </c>
      <c r="AE116" s="1">
        <v>33</v>
      </c>
      <c r="AF116" s="18">
        <f t="shared" si="1"/>
        <v>45.733333333333334</v>
      </c>
    </row>
    <row r="117" spans="1:32" x14ac:dyDescent="0.35">
      <c r="A117" s="1" t="s">
        <v>91</v>
      </c>
      <c r="B117" s="1">
        <v>22</v>
      </c>
      <c r="C117" s="1">
        <v>139</v>
      </c>
      <c r="D117" s="1">
        <v>17</v>
      </c>
      <c r="E117" s="1">
        <v>34</v>
      </c>
      <c r="F117" s="1">
        <v>78</v>
      </c>
      <c r="G117" s="1">
        <v>143</v>
      </c>
      <c r="H117" s="1">
        <v>109</v>
      </c>
      <c r="I117" s="1">
        <v>14</v>
      </c>
      <c r="J117" s="1">
        <v>101</v>
      </c>
      <c r="K117" s="1">
        <v>300</v>
      </c>
      <c r="L117" s="1">
        <v>207</v>
      </c>
      <c r="M117" s="1">
        <v>118</v>
      </c>
      <c r="N117" s="1">
        <v>23</v>
      </c>
      <c r="O117" s="1">
        <v>72</v>
      </c>
      <c r="P117" s="1">
        <v>38</v>
      </c>
      <c r="Q117" s="1">
        <v>31</v>
      </c>
      <c r="R117" s="1">
        <v>158</v>
      </c>
      <c r="S117" s="1">
        <v>56</v>
      </c>
      <c r="T117" s="1">
        <v>250</v>
      </c>
      <c r="U117" s="1">
        <v>141</v>
      </c>
      <c r="V117" s="1">
        <v>27</v>
      </c>
      <c r="W117" s="1">
        <v>157</v>
      </c>
      <c r="X117" s="1">
        <v>43</v>
      </c>
      <c r="Y117" s="1">
        <v>34</v>
      </c>
      <c r="Z117" s="1">
        <v>514</v>
      </c>
      <c r="AA117" s="1">
        <v>82</v>
      </c>
      <c r="AB117" s="1">
        <v>21</v>
      </c>
      <c r="AC117" s="1">
        <v>197</v>
      </c>
      <c r="AD117" s="1">
        <v>31</v>
      </c>
      <c r="AE117" s="1">
        <v>79</v>
      </c>
      <c r="AF117" s="18">
        <f t="shared" si="1"/>
        <v>107.86666666666666</v>
      </c>
    </row>
    <row r="118" spans="1:32" x14ac:dyDescent="0.35">
      <c r="A118" s="1" t="s">
        <v>92</v>
      </c>
      <c r="B118" s="1">
        <v>69</v>
      </c>
      <c r="C118" s="1">
        <v>19</v>
      </c>
      <c r="D118" s="1">
        <v>22</v>
      </c>
      <c r="E118" s="1">
        <v>14</v>
      </c>
      <c r="F118" s="1">
        <v>109</v>
      </c>
      <c r="G118" s="1">
        <v>34</v>
      </c>
      <c r="H118" s="1">
        <v>81</v>
      </c>
      <c r="I118" s="1">
        <v>89</v>
      </c>
      <c r="J118" s="1">
        <v>50</v>
      </c>
      <c r="K118" s="1">
        <v>99</v>
      </c>
      <c r="L118" s="1">
        <v>15</v>
      </c>
      <c r="M118" s="1">
        <v>23</v>
      </c>
      <c r="N118" s="1">
        <v>119</v>
      </c>
      <c r="O118" s="1">
        <v>66</v>
      </c>
      <c r="P118" s="1">
        <v>59</v>
      </c>
      <c r="Q118" s="1">
        <v>35</v>
      </c>
      <c r="R118" s="1">
        <v>126</v>
      </c>
      <c r="S118" s="1">
        <v>106</v>
      </c>
      <c r="T118" s="1">
        <v>12</v>
      </c>
      <c r="U118" s="1">
        <v>67</v>
      </c>
      <c r="V118" s="1">
        <v>37</v>
      </c>
      <c r="W118" s="1">
        <v>34</v>
      </c>
      <c r="X118" s="1">
        <v>53</v>
      </c>
      <c r="Y118" s="1">
        <v>203</v>
      </c>
      <c r="Z118" s="1">
        <v>50</v>
      </c>
      <c r="AA118" s="1">
        <v>16</v>
      </c>
      <c r="AB118" s="1">
        <v>12</v>
      </c>
      <c r="AC118" s="1">
        <v>14</v>
      </c>
      <c r="AD118" s="1">
        <v>62</v>
      </c>
      <c r="AE118" s="1">
        <v>53</v>
      </c>
      <c r="AF118" s="18">
        <f t="shared" si="1"/>
        <v>58.266666666666666</v>
      </c>
    </row>
    <row r="119" spans="1:32" x14ac:dyDescent="0.35">
      <c r="A119" s="1" t="s">
        <v>93</v>
      </c>
      <c r="B119" s="1">
        <v>22</v>
      </c>
      <c r="C119" s="1">
        <v>14</v>
      </c>
      <c r="D119" s="1">
        <v>22</v>
      </c>
      <c r="E119" s="1">
        <v>14</v>
      </c>
      <c r="F119" s="1">
        <v>131</v>
      </c>
      <c r="G119" s="1">
        <v>14</v>
      </c>
      <c r="H119" s="1">
        <v>113</v>
      </c>
      <c r="I119" s="1">
        <v>33</v>
      </c>
      <c r="J119" s="1">
        <v>18</v>
      </c>
      <c r="K119" s="1">
        <v>25</v>
      </c>
      <c r="L119" s="1">
        <v>36</v>
      </c>
      <c r="M119" s="1">
        <v>18</v>
      </c>
      <c r="N119" s="1">
        <v>43</v>
      </c>
      <c r="O119" s="1">
        <v>62</v>
      </c>
      <c r="P119" s="1">
        <v>17</v>
      </c>
      <c r="Q119" s="1">
        <v>15</v>
      </c>
      <c r="R119" s="1">
        <v>54</v>
      </c>
      <c r="S119" s="1">
        <v>32</v>
      </c>
      <c r="T119" s="1">
        <v>74</v>
      </c>
      <c r="U119" s="1">
        <v>54</v>
      </c>
      <c r="V119" s="1">
        <v>50</v>
      </c>
      <c r="W119" s="1">
        <v>79</v>
      </c>
      <c r="X119" s="1">
        <v>13</v>
      </c>
      <c r="Y119" s="1">
        <v>40</v>
      </c>
      <c r="Z119" s="1">
        <v>72</v>
      </c>
      <c r="AA119" s="1">
        <v>26</v>
      </c>
      <c r="AB119" s="1">
        <v>17</v>
      </c>
      <c r="AC119" s="1">
        <v>51</v>
      </c>
      <c r="AD119" s="1">
        <v>33</v>
      </c>
      <c r="AE119" s="1">
        <v>16</v>
      </c>
      <c r="AF119" s="18">
        <f t="shared" si="1"/>
        <v>40.266666666666666</v>
      </c>
    </row>
    <row r="120" spans="1:32" x14ac:dyDescent="0.35">
      <c r="A120" s="1" t="s">
        <v>94</v>
      </c>
      <c r="B120" s="1">
        <v>13</v>
      </c>
      <c r="C120" s="1">
        <v>33</v>
      </c>
      <c r="D120" s="1">
        <v>44</v>
      </c>
      <c r="E120" s="1">
        <v>80</v>
      </c>
      <c r="F120" s="1">
        <v>113</v>
      </c>
      <c r="G120" s="1">
        <v>36</v>
      </c>
      <c r="H120" s="1">
        <v>83</v>
      </c>
      <c r="I120" s="1">
        <v>59</v>
      </c>
      <c r="J120" s="1">
        <v>30</v>
      </c>
      <c r="K120" s="1">
        <v>15</v>
      </c>
      <c r="L120" s="1">
        <v>20</v>
      </c>
      <c r="M120" s="1">
        <v>53</v>
      </c>
      <c r="N120" s="1">
        <v>121</v>
      </c>
      <c r="O120" s="1">
        <v>133</v>
      </c>
      <c r="P120" s="1">
        <v>18</v>
      </c>
      <c r="Q120" s="1">
        <v>132</v>
      </c>
      <c r="R120" s="1">
        <v>30</v>
      </c>
      <c r="S120" s="1">
        <v>70</v>
      </c>
      <c r="T120" s="1">
        <v>52</v>
      </c>
      <c r="U120" s="1">
        <v>64</v>
      </c>
      <c r="V120" s="1">
        <v>39</v>
      </c>
      <c r="W120" s="1">
        <v>21</v>
      </c>
      <c r="X120" s="1">
        <v>150</v>
      </c>
      <c r="Y120" s="1">
        <v>89</v>
      </c>
      <c r="Z120" s="1">
        <v>50</v>
      </c>
      <c r="AA120" s="1">
        <v>55</v>
      </c>
      <c r="AB120" s="1">
        <v>46</v>
      </c>
      <c r="AC120" s="1">
        <v>76</v>
      </c>
      <c r="AD120" s="1">
        <v>42</v>
      </c>
      <c r="AE120" s="1">
        <v>66</v>
      </c>
      <c r="AF120" s="18">
        <f t="shared" si="1"/>
        <v>61.1</v>
      </c>
    </row>
    <row r="121" spans="1:32" x14ac:dyDescent="0.35">
      <c r="A121" s="1" t="s">
        <v>95</v>
      </c>
      <c r="B121" s="1">
        <v>81</v>
      </c>
      <c r="C121" s="1">
        <v>205</v>
      </c>
      <c r="D121" s="1">
        <v>98</v>
      </c>
      <c r="E121" s="1">
        <v>100</v>
      </c>
      <c r="F121" s="1">
        <v>139</v>
      </c>
      <c r="G121" s="1">
        <v>37</v>
      </c>
      <c r="H121" s="1">
        <v>24</v>
      </c>
      <c r="I121" s="1">
        <v>50</v>
      </c>
      <c r="J121" s="1">
        <v>15</v>
      </c>
      <c r="K121" s="1">
        <v>13</v>
      </c>
      <c r="L121" s="1">
        <v>31</v>
      </c>
      <c r="M121" s="1">
        <v>81</v>
      </c>
      <c r="N121" s="1">
        <v>12</v>
      </c>
      <c r="O121" s="1">
        <v>174</v>
      </c>
      <c r="P121" s="1">
        <v>13</v>
      </c>
      <c r="Q121" s="1">
        <v>21</v>
      </c>
      <c r="R121" s="1">
        <v>61</v>
      </c>
      <c r="S121" s="1">
        <v>16</v>
      </c>
      <c r="T121" s="1">
        <v>33</v>
      </c>
      <c r="U121" s="1">
        <v>120</v>
      </c>
      <c r="V121" s="1">
        <v>35</v>
      </c>
      <c r="W121" s="1">
        <v>20</v>
      </c>
      <c r="X121" s="1">
        <v>18</v>
      </c>
      <c r="Y121" s="1">
        <v>28</v>
      </c>
      <c r="Z121" s="1">
        <v>30</v>
      </c>
      <c r="AA121" s="1">
        <v>45</v>
      </c>
      <c r="AB121" s="1">
        <v>122</v>
      </c>
      <c r="AC121" s="1">
        <v>29</v>
      </c>
      <c r="AD121" s="1">
        <v>17</v>
      </c>
      <c r="AE121" s="1">
        <v>26</v>
      </c>
      <c r="AF121" s="18">
        <f t="shared" si="1"/>
        <v>56.466666666666669</v>
      </c>
    </row>
    <row r="122" spans="1:32" x14ac:dyDescent="0.35">
      <c r="A122" s="1" t="s">
        <v>96</v>
      </c>
      <c r="B122" s="1">
        <v>33</v>
      </c>
      <c r="C122" s="1">
        <v>35</v>
      </c>
      <c r="D122" s="1">
        <v>51</v>
      </c>
      <c r="E122" s="1">
        <v>16</v>
      </c>
      <c r="F122" s="1">
        <v>12</v>
      </c>
      <c r="G122" s="1">
        <v>65</v>
      </c>
      <c r="H122" s="1">
        <v>12</v>
      </c>
      <c r="I122" s="1">
        <v>51</v>
      </c>
      <c r="J122" s="1">
        <v>17</v>
      </c>
      <c r="K122" s="1">
        <v>254</v>
      </c>
      <c r="L122" s="1">
        <v>50</v>
      </c>
      <c r="M122" s="1">
        <v>26</v>
      </c>
      <c r="N122" s="1">
        <v>64</v>
      </c>
      <c r="O122" s="1">
        <v>22</v>
      </c>
      <c r="P122" s="1">
        <v>64</v>
      </c>
      <c r="Q122" s="1">
        <v>82</v>
      </c>
      <c r="R122" s="1">
        <v>63</v>
      </c>
      <c r="S122" s="1">
        <v>67</v>
      </c>
      <c r="T122" s="1">
        <v>58</v>
      </c>
      <c r="U122" s="1">
        <v>14</v>
      </c>
      <c r="V122" s="1">
        <v>24</v>
      </c>
      <c r="W122" s="1">
        <v>29</v>
      </c>
      <c r="X122" s="1">
        <v>93</v>
      </c>
      <c r="Y122" s="1">
        <v>14</v>
      </c>
      <c r="Z122" s="1">
        <v>87</v>
      </c>
      <c r="AA122" s="1">
        <v>33</v>
      </c>
      <c r="AB122" s="1">
        <v>19</v>
      </c>
      <c r="AC122" s="1">
        <v>52</v>
      </c>
      <c r="AD122" s="1">
        <v>64</v>
      </c>
      <c r="AE122" s="1">
        <v>33</v>
      </c>
      <c r="AF122" s="18">
        <f t="shared" si="1"/>
        <v>50.133333333333333</v>
      </c>
    </row>
    <row r="123" spans="1:32" x14ac:dyDescent="0.35">
      <c r="A123" s="1" t="s">
        <v>97</v>
      </c>
      <c r="B123" s="1">
        <v>291</v>
      </c>
      <c r="C123" s="1">
        <v>36</v>
      </c>
      <c r="D123" s="1">
        <v>31</v>
      </c>
      <c r="E123" s="1">
        <v>57</v>
      </c>
      <c r="F123" s="1">
        <v>18</v>
      </c>
      <c r="G123" s="1">
        <v>15</v>
      </c>
      <c r="H123" s="1">
        <v>31</v>
      </c>
      <c r="I123" s="1">
        <v>77</v>
      </c>
      <c r="J123" s="1">
        <v>76</v>
      </c>
      <c r="K123" s="1">
        <v>37</v>
      </c>
      <c r="L123" s="1">
        <v>47</v>
      </c>
      <c r="M123" s="1">
        <v>28</v>
      </c>
      <c r="N123" s="1">
        <v>29</v>
      </c>
      <c r="O123" s="1">
        <v>46</v>
      </c>
      <c r="P123" s="1">
        <v>31</v>
      </c>
      <c r="Q123" s="1">
        <v>19</v>
      </c>
      <c r="R123" s="1">
        <v>52</v>
      </c>
      <c r="S123" s="1">
        <v>14</v>
      </c>
      <c r="T123" s="1">
        <v>247</v>
      </c>
      <c r="U123" s="1">
        <v>18</v>
      </c>
      <c r="V123" s="1">
        <v>117</v>
      </c>
      <c r="W123" s="1">
        <v>18</v>
      </c>
      <c r="X123" s="1">
        <v>27</v>
      </c>
      <c r="Y123" s="1">
        <v>28</v>
      </c>
      <c r="Z123" s="1">
        <v>16</v>
      </c>
      <c r="AA123" s="1">
        <v>92</v>
      </c>
      <c r="AB123" s="1">
        <v>80</v>
      </c>
      <c r="AC123" s="1">
        <v>65</v>
      </c>
      <c r="AD123" s="1">
        <v>25</v>
      </c>
      <c r="AE123" s="1">
        <v>20</v>
      </c>
      <c r="AF123" s="18">
        <f t="shared" si="1"/>
        <v>56.266666666666666</v>
      </c>
    </row>
    <row r="124" spans="1:32" x14ac:dyDescent="0.35">
      <c r="A124" s="1" t="s">
        <v>98</v>
      </c>
      <c r="B124" s="1">
        <v>40</v>
      </c>
      <c r="C124" s="1">
        <v>79</v>
      </c>
      <c r="D124" s="1">
        <v>13</v>
      </c>
      <c r="E124" s="1">
        <v>23</v>
      </c>
      <c r="F124" s="1">
        <v>67</v>
      </c>
      <c r="G124" s="1">
        <v>27</v>
      </c>
      <c r="H124" s="1">
        <v>67</v>
      </c>
      <c r="I124" s="1">
        <v>37</v>
      </c>
      <c r="J124" s="1">
        <v>35</v>
      </c>
      <c r="K124" s="1">
        <v>49</v>
      </c>
      <c r="L124" s="1">
        <v>120</v>
      </c>
      <c r="M124" s="1">
        <v>47</v>
      </c>
      <c r="N124" s="1">
        <v>189</v>
      </c>
      <c r="O124" s="1">
        <v>16</v>
      </c>
      <c r="P124" s="1">
        <v>67</v>
      </c>
      <c r="Q124" s="1">
        <v>55</v>
      </c>
      <c r="R124" s="1">
        <v>71</v>
      </c>
      <c r="S124" s="1">
        <v>232</v>
      </c>
      <c r="T124" s="1">
        <v>95</v>
      </c>
      <c r="U124" s="1">
        <v>60</v>
      </c>
      <c r="V124" s="1">
        <v>68</v>
      </c>
      <c r="W124" s="1">
        <v>22</v>
      </c>
      <c r="X124" s="1">
        <v>103</v>
      </c>
      <c r="Y124" s="1">
        <v>60</v>
      </c>
      <c r="Z124" s="1">
        <v>20</v>
      </c>
      <c r="AA124" s="1">
        <v>338</v>
      </c>
      <c r="AB124" s="1">
        <v>18</v>
      </c>
      <c r="AC124" s="1">
        <v>92</v>
      </c>
      <c r="AD124" s="1">
        <v>32</v>
      </c>
      <c r="AE124" s="1">
        <v>71</v>
      </c>
      <c r="AF124" s="18">
        <f t="shared" si="1"/>
        <v>73.766666666666666</v>
      </c>
    </row>
    <row r="125" spans="1:32" x14ac:dyDescent="0.35">
      <c r="A125" s="1" t="s">
        <v>184</v>
      </c>
      <c r="B125" s="1">
        <v>13</v>
      </c>
      <c r="C125" s="1">
        <v>21</v>
      </c>
      <c r="D125" s="1">
        <v>94</v>
      </c>
      <c r="E125" s="1">
        <v>65</v>
      </c>
      <c r="F125" s="1">
        <v>15</v>
      </c>
      <c r="G125" s="1">
        <v>19</v>
      </c>
      <c r="H125" s="1">
        <v>14</v>
      </c>
      <c r="I125" s="1">
        <v>38</v>
      </c>
      <c r="J125" s="1">
        <v>47</v>
      </c>
      <c r="K125" s="1">
        <v>85</v>
      </c>
      <c r="L125" s="1">
        <v>21</v>
      </c>
      <c r="M125" s="1">
        <v>28</v>
      </c>
      <c r="N125" s="1">
        <v>24</v>
      </c>
      <c r="O125" s="1">
        <v>118</v>
      </c>
      <c r="P125" s="1">
        <v>26</v>
      </c>
      <c r="Q125" s="1">
        <v>38</v>
      </c>
      <c r="R125" s="1">
        <v>23</v>
      </c>
      <c r="S125" s="1">
        <v>18</v>
      </c>
      <c r="T125" s="1">
        <v>127</v>
      </c>
      <c r="U125" s="1">
        <v>22</v>
      </c>
      <c r="V125" s="1">
        <v>32</v>
      </c>
      <c r="W125" s="1">
        <v>154</v>
      </c>
      <c r="X125" s="1">
        <v>17</v>
      </c>
      <c r="Y125" s="1">
        <v>89</v>
      </c>
      <c r="Z125" s="1">
        <v>19</v>
      </c>
      <c r="AA125" s="1">
        <v>80</v>
      </c>
      <c r="AB125" s="1">
        <v>36</v>
      </c>
      <c r="AC125" s="1">
        <v>53</v>
      </c>
      <c r="AD125" s="1">
        <v>20</v>
      </c>
      <c r="AE125" s="1">
        <v>40</v>
      </c>
      <c r="AF125" s="18">
        <f t="shared" si="1"/>
        <v>46.533333333333331</v>
      </c>
    </row>
    <row r="126" spans="1:32" x14ac:dyDescent="0.35">
      <c r="A126" s="1" t="s">
        <v>99</v>
      </c>
      <c r="B126" s="1">
        <v>26</v>
      </c>
      <c r="C126" s="1">
        <v>59</v>
      </c>
      <c r="D126" s="1">
        <v>36</v>
      </c>
      <c r="E126" s="1">
        <v>44</v>
      </c>
      <c r="F126" s="1">
        <v>47</v>
      </c>
      <c r="G126" s="1">
        <v>36</v>
      </c>
      <c r="H126" s="1">
        <v>27</v>
      </c>
      <c r="I126" s="1">
        <v>93</v>
      </c>
      <c r="J126" s="1">
        <v>69</v>
      </c>
      <c r="K126" s="1">
        <v>88</v>
      </c>
      <c r="L126" s="1">
        <v>28</v>
      </c>
      <c r="M126" s="1">
        <v>70</v>
      </c>
      <c r="N126" s="1">
        <v>51</v>
      </c>
      <c r="O126" s="1">
        <v>18</v>
      </c>
      <c r="P126" s="1">
        <v>31</v>
      </c>
      <c r="Q126" s="1">
        <v>48</v>
      </c>
      <c r="R126" s="1">
        <v>68</v>
      </c>
      <c r="S126" s="1">
        <v>94</v>
      </c>
      <c r="T126" s="1">
        <v>12</v>
      </c>
      <c r="U126" s="1">
        <v>39</v>
      </c>
      <c r="V126" s="1">
        <v>16</v>
      </c>
      <c r="W126" s="1">
        <v>36</v>
      </c>
      <c r="X126" s="1">
        <v>13</v>
      </c>
      <c r="Y126" s="1">
        <v>42</v>
      </c>
      <c r="Z126" s="1">
        <v>14</v>
      </c>
      <c r="AA126" s="1">
        <v>16</v>
      </c>
      <c r="AB126" s="1">
        <v>48</v>
      </c>
      <c r="AC126" s="1">
        <v>61</v>
      </c>
      <c r="AD126" s="1">
        <v>36</v>
      </c>
      <c r="AE126" s="1">
        <v>46</v>
      </c>
      <c r="AF126" s="18">
        <f t="shared" si="1"/>
        <v>43.733333333333334</v>
      </c>
    </row>
    <row r="127" spans="1:32" x14ac:dyDescent="0.35">
      <c r="A127" s="1" t="s">
        <v>100</v>
      </c>
      <c r="B127" s="1">
        <v>62</v>
      </c>
      <c r="C127" s="1">
        <v>32</v>
      </c>
      <c r="D127" s="1">
        <v>20</v>
      </c>
      <c r="E127" s="1">
        <v>23</v>
      </c>
      <c r="F127" s="1">
        <v>29</v>
      </c>
      <c r="G127" s="1">
        <v>83</v>
      </c>
      <c r="H127" s="1">
        <v>32</v>
      </c>
      <c r="I127" s="1">
        <v>14</v>
      </c>
      <c r="J127" s="1">
        <v>17</v>
      </c>
      <c r="K127" s="1">
        <v>85</v>
      </c>
      <c r="L127" s="1">
        <v>35</v>
      </c>
      <c r="M127" s="1">
        <v>13</v>
      </c>
      <c r="N127" s="1">
        <v>36</v>
      </c>
      <c r="O127" s="1">
        <v>12</v>
      </c>
      <c r="P127" s="1">
        <v>50</v>
      </c>
      <c r="Q127" s="1">
        <v>38</v>
      </c>
      <c r="R127" s="1">
        <v>39</v>
      </c>
      <c r="S127" s="1">
        <v>47</v>
      </c>
      <c r="T127" s="1">
        <v>83</v>
      </c>
      <c r="U127" s="1">
        <v>27</v>
      </c>
      <c r="V127" s="1">
        <v>21</v>
      </c>
      <c r="W127" s="1">
        <v>36</v>
      </c>
      <c r="X127" s="1">
        <v>24</v>
      </c>
      <c r="Y127" s="1">
        <v>28</v>
      </c>
      <c r="Z127" s="1">
        <v>79</v>
      </c>
      <c r="AA127" s="1">
        <v>36</v>
      </c>
      <c r="AB127" s="1">
        <v>156</v>
      </c>
      <c r="AC127" s="1">
        <v>72</v>
      </c>
      <c r="AD127" s="1">
        <v>61</v>
      </c>
      <c r="AE127" s="1">
        <v>41</v>
      </c>
      <c r="AF127" s="18">
        <f t="shared" si="1"/>
        <v>44.366666666666667</v>
      </c>
    </row>
    <row r="128" spans="1:32" x14ac:dyDescent="0.35">
      <c r="A128" s="1" t="s">
        <v>101</v>
      </c>
      <c r="B128" s="1">
        <v>56</v>
      </c>
      <c r="C128" s="1">
        <v>22</v>
      </c>
      <c r="D128" s="1">
        <v>54</v>
      </c>
      <c r="E128" s="1">
        <v>42</v>
      </c>
      <c r="F128" s="1">
        <v>53</v>
      </c>
      <c r="G128" s="1">
        <v>32</v>
      </c>
      <c r="H128" s="1">
        <v>56</v>
      </c>
      <c r="I128" s="1">
        <v>34</v>
      </c>
      <c r="J128" s="1">
        <v>25</v>
      </c>
      <c r="K128" s="1">
        <v>14</v>
      </c>
      <c r="L128" s="1">
        <v>46</v>
      </c>
      <c r="M128" s="1">
        <v>83</v>
      </c>
      <c r="N128" s="1">
        <v>76</v>
      </c>
      <c r="O128" s="1">
        <v>53</v>
      </c>
      <c r="P128" s="1">
        <v>41</v>
      </c>
      <c r="Q128" s="1">
        <v>29</v>
      </c>
      <c r="R128" s="1">
        <v>56</v>
      </c>
      <c r="S128" s="1">
        <v>95</v>
      </c>
      <c r="T128" s="1">
        <v>20</v>
      </c>
      <c r="U128" s="1">
        <v>52</v>
      </c>
      <c r="V128" s="1">
        <v>18</v>
      </c>
      <c r="W128" s="1">
        <v>26</v>
      </c>
      <c r="X128" s="1">
        <v>15</v>
      </c>
      <c r="Y128" s="1">
        <v>41</v>
      </c>
      <c r="Z128" s="1">
        <v>23</v>
      </c>
      <c r="AA128" s="1">
        <v>64</v>
      </c>
      <c r="AB128" s="1">
        <v>41</v>
      </c>
      <c r="AC128" s="1">
        <v>28</v>
      </c>
      <c r="AD128" s="1">
        <v>27</v>
      </c>
      <c r="AE128" s="1">
        <v>29</v>
      </c>
      <c r="AF128" s="18">
        <f t="shared" si="1"/>
        <v>41.7</v>
      </c>
    </row>
    <row r="129" spans="1:32" x14ac:dyDescent="0.35">
      <c r="A129" s="1" t="s">
        <v>185</v>
      </c>
      <c r="B129" s="1">
        <v>24</v>
      </c>
      <c r="C129" s="1">
        <v>48</v>
      </c>
      <c r="D129" s="1">
        <v>18</v>
      </c>
      <c r="E129" s="1">
        <v>69</v>
      </c>
      <c r="F129" s="1">
        <v>154</v>
      </c>
      <c r="G129" s="1">
        <v>43</v>
      </c>
      <c r="H129" s="1">
        <v>133</v>
      </c>
      <c r="I129" s="1">
        <v>115</v>
      </c>
      <c r="J129" s="1">
        <v>13</v>
      </c>
      <c r="K129" s="1">
        <v>22</v>
      </c>
      <c r="L129" s="1">
        <v>122</v>
      </c>
      <c r="M129" s="1">
        <v>12</v>
      </c>
      <c r="N129" s="1">
        <v>19</v>
      </c>
      <c r="O129" s="1">
        <v>283</v>
      </c>
      <c r="P129" s="1">
        <v>37</v>
      </c>
      <c r="Q129" s="1">
        <v>45</v>
      </c>
      <c r="R129" s="1">
        <v>26</v>
      </c>
      <c r="S129" s="1">
        <v>68</v>
      </c>
      <c r="T129" s="1">
        <v>38</v>
      </c>
      <c r="U129" s="1">
        <v>31</v>
      </c>
      <c r="V129" s="1">
        <v>89</v>
      </c>
      <c r="W129" s="1">
        <v>16</v>
      </c>
      <c r="X129" s="1">
        <v>28</v>
      </c>
      <c r="Y129" s="1">
        <v>151</v>
      </c>
      <c r="Z129" s="1">
        <v>191</v>
      </c>
      <c r="AA129" s="1">
        <v>76</v>
      </c>
      <c r="AB129" s="1">
        <v>16</v>
      </c>
      <c r="AC129" s="1">
        <v>136</v>
      </c>
      <c r="AD129" s="1">
        <v>23</v>
      </c>
      <c r="AE129" s="1">
        <v>13</v>
      </c>
      <c r="AF129" s="18">
        <f t="shared" si="1"/>
        <v>68.63333333333334</v>
      </c>
    </row>
    <row r="130" spans="1:32" x14ac:dyDescent="0.35">
      <c r="A130" s="1" t="s">
        <v>102</v>
      </c>
      <c r="B130" s="1">
        <v>49</v>
      </c>
      <c r="C130" s="1">
        <v>25</v>
      </c>
      <c r="D130" s="1">
        <v>90</v>
      </c>
      <c r="E130" s="1">
        <v>29</v>
      </c>
      <c r="F130" s="1">
        <v>13</v>
      </c>
      <c r="G130" s="1">
        <v>53</v>
      </c>
      <c r="H130" s="1">
        <v>62</v>
      </c>
      <c r="I130" s="1">
        <v>32</v>
      </c>
      <c r="J130" s="1">
        <v>103</v>
      </c>
      <c r="K130" s="1">
        <v>12</v>
      </c>
      <c r="L130" s="1">
        <v>42</v>
      </c>
      <c r="M130" s="1">
        <v>18</v>
      </c>
      <c r="N130" s="1">
        <v>26</v>
      </c>
      <c r="O130" s="1">
        <v>13</v>
      </c>
      <c r="P130" s="1">
        <v>51</v>
      </c>
      <c r="Q130" s="1">
        <v>12</v>
      </c>
      <c r="R130" s="1">
        <v>168</v>
      </c>
      <c r="S130" s="1">
        <v>74</v>
      </c>
      <c r="T130" s="1">
        <v>13</v>
      </c>
      <c r="U130" s="1">
        <v>67</v>
      </c>
      <c r="V130" s="1">
        <v>26</v>
      </c>
      <c r="W130" s="1">
        <v>27</v>
      </c>
      <c r="X130" s="1">
        <v>113</v>
      </c>
      <c r="Y130" s="1">
        <v>111</v>
      </c>
      <c r="Z130" s="1">
        <v>38</v>
      </c>
      <c r="AA130" s="1">
        <v>15</v>
      </c>
      <c r="AB130" s="1">
        <v>12</v>
      </c>
      <c r="AC130" s="1">
        <v>32</v>
      </c>
      <c r="AD130" s="1">
        <v>51</v>
      </c>
      <c r="AE130" s="1">
        <v>46</v>
      </c>
      <c r="AF130" s="18">
        <f t="shared" si="1"/>
        <v>47.43333333333333</v>
      </c>
    </row>
    <row r="131" spans="1:32" x14ac:dyDescent="0.35">
      <c r="A131" s="1" t="s">
        <v>103</v>
      </c>
      <c r="B131" s="1">
        <v>63</v>
      </c>
      <c r="C131" s="1">
        <v>79</v>
      </c>
      <c r="D131" s="1">
        <v>29</v>
      </c>
      <c r="E131" s="1">
        <v>45</v>
      </c>
      <c r="F131" s="1">
        <v>28</v>
      </c>
      <c r="G131" s="1">
        <v>69</v>
      </c>
      <c r="H131" s="1">
        <v>39</v>
      </c>
      <c r="I131" s="1">
        <v>52</v>
      </c>
      <c r="J131" s="1">
        <v>26</v>
      </c>
      <c r="K131" s="1">
        <v>29</v>
      </c>
      <c r="L131" s="1">
        <v>30</v>
      </c>
      <c r="M131" s="1">
        <v>78</v>
      </c>
      <c r="N131" s="1">
        <v>32</v>
      </c>
      <c r="O131" s="1">
        <v>112</v>
      </c>
      <c r="P131" s="1">
        <v>38</v>
      </c>
      <c r="Q131" s="1">
        <v>78</v>
      </c>
      <c r="R131" s="1">
        <v>25</v>
      </c>
      <c r="S131" s="1">
        <v>39</v>
      </c>
      <c r="T131" s="1">
        <v>41</v>
      </c>
      <c r="U131" s="1">
        <v>37</v>
      </c>
      <c r="V131" s="1">
        <v>46</v>
      </c>
      <c r="W131" s="1">
        <v>123</v>
      </c>
      <c r="X131" s="1">
        <v>50</v>
      </c>
      <c r="Y131" s="1">
        <v>13</v>
      </c>
      <c r="Z131" s="1">
        <v>58</v>
      </c>
      <c r="AA131" s="1">
        <v>79</v>
      </c>
      <c r="AB131" s="1">
        <v>22</v>
      </c>
      <c r="AC131" s="1">
        <v>222</v>
      </c>
      <c r="AD131" s="1">
        <v>30</v>
      </c>
      <c r="AE131" s="1">
        <v>14</v>
      </c>
      <c r="AF131" s="18">
        <f t="shared" si="1"/>
        <v>54.2</v>
      </c>
    </row>
    <row r="132" spans="1:32" x14ac:dyDescent="0.35">
      <c r="A132" s="1" t="s">
        <v>186</v>
      </c>
      <c r="B132" s="1">
        <v>13</v>
      </c>
      <c r="C132" s="1">
        <v>26</v>
      </c>
      <c r="D132" s="1">
        <v>49</v>
      </c>
      <c r="E132" s="1">
        <v>123</v>
      </c>
      <c r="F132" s="1">
        <v>37</v>
      </c>
      <c r="G132" s="1">
        <v>53</v>
      </c>
      <c r="H132" s="1">
        <v>48</v>
      </c>
      <c r="I132" s="1">
        <v>14</v>
      </c>
      <c r="J132" s="1">
        <v>54</v>
      </c>
      <c r="K132" s="1">
        <v>24</v>
      </c>
      <c r="L132" s="1">
        <v>30</v>
      </c>
      <c r="M132" s="1">
        <v>96</v>
      </c>
      <c r="N132" s="1">
        <v>48</v>
      </c>
      <c r="O132" s="1">
        <v>15</v>
      </c>
      <c r="P132" s="1">
        <v>46</v>
      </c>
      <c r="Q132" s="1">
        <v>15</v>
      </c>
      <c r="R132" s="1">
        <v>28</v>
      </c>
      <c r="S132" s="1">
        <v>80</v>
      </c>
      <c r="T132" s="1">
        <v>31</v>
      </c>
      <c r="U132" s="1">
        <v>37</v>
      </c>
      <c r="V132" s="1">
        <v>51</v>
      </c>
      <c r="W132" s="1">
        <v>34</v>
      </c>
      <c r="X132" s="1">
        <v>15</v>
      </c>
      <c r="Y132" s="1">
        <v>14</v>
      </c>
      <c r="Z132" s="1">
        <v>17</v>
      </c>
      <c r="AA132" s="1">
        <v>31</v>
      </c>
      <c r="AB132" s="1">
        <v>91</v>
      </c>
      <c r="AC132" s="1">
        <v>19</v>
      </c>
      <c r="AD132" s="1">
        <v>28</v>
      </c>
      <c r="AE132" s="1">
        <v>57</v>
      </c>
      <c r="AF132" s="18">
        <f t="shared" ref="AF132:AF195" si="2">AVERAGE(B132:AE132)</f>
        <v>40.799999999999997</v>
      </c>
    </row>
    <row r="133" spans="1:32" x14ac:dyDescent="0.35">
      <c r="A133" s="1" t="s">
        <v>104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8">
        <f t="shared" si="2"/>
        <v>0</v>
      </c>
    </row>
    <row r="134" spans="1:32" x14ac:dyDescent="0.35">
      <c r="A134" s="1" t="s">
        <v>187</v>
      </c>
      <c r="B134" s="1">
        <v>45</v>
      </c>
      <c r="C134" s="1">
        <v>90</v>
      </c>
      <c r="D134" s="1">
        <v>54</v>
      </c>
      <c r="E134" s="1">
        <v>14</v>
      </c>
      <c r="F134" s="1">
        <v>69</v>
      </c>
      <c r="G134" s="1">
        <v>97</v>
      </c>
      <c r="H134" s="1">
        <v>13</v>
      </c>
      <c r="I134" s="1">
        <v>36</v>
      </c>
      <c r="J134" s="1">
        <v>32</v>
      </c>
      <c r="K134" s="1">
        <v>60</v>
      </c>
      <c r="L134" s="1">
        <v>223</v>
      </c>
      <c r="M134" s="1">
        <v>90</v>
      </c>
      <c r="N134" s="1">
        <v>235</v>
      </c>
      <c r="O134" s="1">
        <v>92</v>
      </c>
      <c r="P134" s="1">
        <v>14</v>
      </c>
      <c r="Q134" s="1">
        <v>19</v>
      </c>
      <c r="R134" s="1">
        <v>12</v>
      </c>
      <c r="S134" s="1">
        <v>166</v>
      </c>
      <c r="T134" s="1">
        <v>47</v>
      </c>
      <c r="U134" s="1">
        <v>22</v>
      </c>
      <c r="V134" s="1">
        <v>15</v>
      </c>
      <c r="W134" s="1">
        <v>56</v>
      </c>
      <c r="X134" s="1">
        <v>93</v>
      </c>
      <c r="Y134" s="1">
        <v>140</v>
      </c>
      <c r="Z134" s="1">
        <v>24</v>
      </c>
      <c r="AA134" s="1">
        <v>79</v>
      </c>
      <c r="AB134" s="1">
        <v>53</v>
      </c>
      <c r="AC134" s="1">
        <v>89</v>
      </c>
      <c r="AD134" s="1">
        <v>16</v>
      </c>
      <c r="AE134" s="1">
        <v>69</v>
      </c>
      <c r="AF134" s="18">
        <f t="shared" si="2"/>
        <v>68.8</v>
      </c>
    </row>
    <row r="135" spans="1:32" x14ac:dyDescent="0.35">
      <c r="A135" s="1" t="s">
        <v>160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8">
        <f t="shared" si="2"/>
        <v>0</v>
      </c>
    </row>
    <row r="136" spans="1:32" x14ac:dyDescent="0.35">
      <c r="A136" s="1" t="s">
        <v>105</v>
      </c>
      <c r="B136" s="1">
        <v>24</v>
      </c>
      <c r="C136" s="1">
        <v>46</v>
      </c>
      <c r="D136" s="1">
        <v>19</v>
      </c>
      <c r="E136" s="1">
        <v>41</v>
      </c>
      <c r="F136" s="1">
        <v>22</v>
      </c>
      <c r="G136" s="1">
        <v>104</v>
      </c>
      <c r="H136" s="1">
        <v>66</v>
      </c>
      <c r="I136" s="1">
        <v>43</v>
      </c>
      <c r="J136" s="1">
        <v>75</v>
      </c>
      <c r="K136" s="1">
        <v>20</v>
      </c>
      <c r="L136" s="1">
        <v>113</v>
      </c>
      <c r="M136" s="1">
        <v>75</v>
      </c>
      <c r="N136" s="1">
        <v>13</v>
      </c>
      <c r="O136" s="1">
        <v>45</v>
      </c>
      <c r="P136" s="1">
        <v>12</v>
      </c>
      <c r="Q136" s="1">
        <v>29</v>
      </c>
      <c r="R136" s="1">
        <v>14</v>
      </c>
      <c r="S136" s="1">
        <v>29</v>
      </c>
      <c r="T136" s="1">
        <v>13</v>
      </c>
      <c r="U136" s="1">
        <v>14</v>
      </c>
      <c r="V136" s="1">
        <v>43</v>
      </c>
      <c r="W136" s="1">
        <v>101</v>
      </c>
      <c r="X136" s="1">
        <v>16</v>
      </c>
      <c r="Y136" s="1">
        <v>20</v>
      </c>
      <c r="Z136" s="1">
        <v>49</v>
      </c>
      <c r="AA136" s="1">
        <v>34</v>
      </c>
      <c r="AB136" s="1">
        <v>46</v>
      </c>
      <c r="AC136" s="1">
        <v>96</v>
      </c>
      <c r="AD136" s="1">
        <v>75</v>
      </c>
      <c r="AE136" s="1">
        <v>37</v>
      </c>
      <c r="AF136" s="18">
        <f t="shared" si="2"/>
        <v>44.466666666666669</v>
      </c>
    </row>
    <row r="137" spans="1:32" x14ac:dyDescent="0.35">
      <c r="A137" s="1" t="s">
        <v>106</v>
      </c>
      <c r="B137" s="1">
        <v>32</v>
      </c>
      <c r="C137" s="1">
        <v>149</v>
      </c>
      <c r="D137" s="1">
        <v>16</v>
      </c>
      <c r="E137" s="1">
        <v>21</v>
      </c>
      <c r="F137" s="1">
        <v>15</v>
      </c>
      <c r="G137" s="1">
        <v>19</v>
      </c>
      <c r="H137" s="1">
        <v>84</v>
      </c>
      <c r="I137" s="1">
        <v>22</v>
      </c>
      <c r="J137" s="1">
        <v>22</v>
      </c>
      <c r="K137" s="1">
        <v>13</v>
      </c>
      <c r="L137" s="1">
        <v>38</v>
      </c>
      <c r="M137" s="1">
        <v>33</v>
      </c>
      <c r="N137" s="1">
        <v>30</v>
      </c>
      <c r="O137" s="1">
        <v>15</v>
      </c>
      <c r="P137" s="1">
        <v>16</v>
      </c>
      <c r="Q137" s="1">
        <v>43</v>
      </c>
      <c r="R137" s="1">
        <v>38</v>
      </c>
      <c r="S137" s="1">
        <v>24</v>
      </c>
      <c r="T137" s="1">
        <v>21</v>
      </c>
      <c r="U137" s="1">
        <v>16</v>
      </c>
      <c r="V137" s="1">
        <v>18</v>
      </c>
      <c r="W137" s="1">
        <v>22</v>
      </c>
      <c r="X137" s="1">
        <v>36</v>
      </c>
      <c r="Y137" s="1">
        <v>31</v>
      </c>
      <c r="Z137" s="1">
        <v>49</v>
      </c>
      <c r="AA137" s="1">
        <v>28</v>
      </c>
      <c r="AB137" s="1">
        <v>22</v>
      </c>
      <c r="AC137" s="1">
        <v>50</v>
      </c>
      <c r="AD137" s="1">
        <v>93</v>
      </c>
      <c r="AE137" s="1">
        <v>45</v>
      </c>
      <c r="AF137" s="18">
        <f t="shared" si="2"/>
        <v>35.366666666666667</v>
      </c>
    </row>
    <row r="138" spans="1:32" x14ac:dyDescent="0.35">
      <c r="A138" s="1" t="s">
        <v>188</v>
      </c>
      <c r="B138" s="1">
        <v>21</v>
      </c>
      <c r="C138" s="1">
        <v>70</v>
      </c>
      <c r="D138" s="1">
        <v>52</v>
      </c>
      <c r="E138" s="1">
        <v>86</v>
      </c>
      <c r="F138" s="1">
        <v>74</v>
      </c>
      <c r="G138" s="1">
        <v>21</v>
      </c>
      <c r="H138" s="1">
        <v>24</v>
      </c>
      <c r="I138" s="1">
        <v>42</v>
      </c>
      <c r="J138" s="1">
        <v>46</v>
      </c>
      <c r="K138" s="1">
        <v>118</v>
      </c>
      <c r="L138" s="1">
        <v>115</v>
      </c>
      <c r="M138" s="1">
        <v>29</v>
      </c>
      <c r="N138" s="1">
        <v>48</v>
      </c>
      <c r="O138" s="1">
        <v>16</v>
      </c>
      <c r="P138" s="1">
        <v>36</v>
      </c>
      <c r="Q138" s="1">
        <v>52</v>
      </c>
      <c r="R138" s="1">
        <v>45</v>
      </c>
      <c r="S138" s="1">
        <v>59</v>
      </c>
      <c r="T138" s="1">
        <v>40</v>
      </c>
      <c r="U138" s="1">
        <v>54</v>
      </c>
      <c r="V138" s="1">
        <v>45</v>
      </c>
      <c r="W138" s="1">
        <v>26</v>
      </c>
      <c r="X138" s="1">
        <v>101</v>
      </c>
      <c r="Y138" s="1">
        <v>63</v>
      </c>
      <c r="Z138" s="1">
        <v>20</v>
      </c>
      <c r="AA138" s="1">
        <v>17</v>
      </c>
      <c r="AB138" s="1">
        <v>59</v>
      </c>
      <c r="AC138" s="1">
        <v>33</v>
      </c>
      <c r="AD138" s="1">
        <v>14</v>
      </c>
      <c r="AE138" s="1">
        <v>78</v>
      </c>
      <c r="AF138" s="18">
        <f t="shared" si="2"/>
        <v>50.133333333333333</v>
      </c>
    </row>
    <row r="139" spans="1:32" x14ac:dyDescent="0.35">
      <c r="A139" s="1" t="s">
        <v>107</v>
      </c>
      <c r="B139" s="1">
        <v>13</v>
      </c>
      <c r="C139" s="1">
        <v>71</v>
      </c>
      <c r="D139" s="1">
        <v>16</v>
      </c>
      <c r="E139" s="1">
        <v>43</v>
      </c>
      <c r="F139" s="1">
        <v>79</v>
      </c>
      <c r="G139" s="1">
        <v>17</v>
      </c>
      <c r="H139" s="1">
        <v>33</v>
      </c>
      <c r="I139" s="1">
        <v>58</v>
      </c>
      <c r="J139" s="1">
        <v>17</v>
      </c>
      <c r="K139" s="1">
        <v>93</v>
      </c>
      <c r="L139" s="1">
        <v>14</v>
      </c>
      <c r="M139" s="1">
        <v>77</v>
      </c>
      <c r="N139" s="1">
        <v>66</v>
      </c>
      <c r="O139" s="1">
        <v>71</v>
      </c>
      <c r="P139" s="1">
        <v>13</v>
      </c>
      <c r="Q139" s="1">
        <v>65</v>
      </c>
      <c r="R139" s="1">
        <v>18</v>
      </c>
      <c r="S139" s="1">
        <v>28</v>
      </c>
      <c r="T139" s="1">
        <v>36</v>
      </c>
      <c r="U139" s="1">
        <v>23</v>
      </c>
      <c r="V139" s="1">
        <v>63</v>
      </c>
      <c r="W139" s="1">
        <v>36</v>
      </c>
      <c r="X139" s="1">
        <v>111</v>
      </c>
      <c r="Y139" s="1">
        <v>42</v>
      </c>
      <c r="Z139" s="1">
        <v>12</v>
      </c>
      <c r="AA139" s="1">
        <v>49</v>
      </c>
      <c r="AB139" s="1">
        <v>44</v>
      </c>
      <c r="AC139" s="1">
        <v>24</v>
      </c>
      <c r="AD139" s="1">
        <v>19</v>
      </c>
      <c r="AE139" s="1">
        <v>156</v>
      </c>
      <c r="AF139" s="18">
        <f t="shared" si="2"/>
        <v>46.9</v>
      </c>
    </row>
    <row r="140" spans="1:32" x14ac:dyDescent="0.35">
      <c r="A140" s="1" t="s">
        <v>108</v>
      </c>
      <c r="B140" s="1">
        <v>24</v>
      </c>
      <c r="C140" s="1">
        <v>33</v>
      </c>
      <c r="D140" s="1">
        <v>23</v>
      </c>
      <c r="E140" s="1">
        <v>42</v>
      </c>
      <c r="F140" s="1">
        <v>299</v>
      </c>
      <c r="G140" s="1">
        <v>24</v>
      </c>
      <c r="H140" s="1">
        <v>31</v>
      </c>
      <c r="I140" s="1">
        <v>30</v>
      </c>
      <c r="J140" s="1">
        <v>38</v>
      </c>
      <c r="K140" s="1">
        <v>17</v>
      </c>
      <c r="L140" s="1">
        <v>39</v>
      </c>
      <c r="M140" s="1">
        <v>23</v>
      </c>
      <c r="N140" s="1">
        <v>23</v>
      </c>
      <c r="O140" s="1">
        <v>38</v>
      </c>
      <c r="P140" s="1">
        <v>72</v>
      </c>
      <c r="Q140" s="1">
        <v>43</v>
      </c>
      <c r="R140" s="1">
        <v>144</v>
      </c>
      <c r="S140" s="1">
        <v>90</v>
      </c>
      <c r="T140" s="1">
        <v>164</v>
      </c>
      <c r="U140" s="1">
        <v>41</v>
      </c>
      <c r="V140" s="1">
        <v>20</v>
      </c>
      <c r="W140" s="1">
        <v>41</v>
      </c>
      <c r="X140" s="1">
        <v>17</v>
      </c>
      <c r="Y140" s="1">
        <v>60</v>
      </c>
      <c r="Z140" s="1">
        <v>74</v>
      </c>
      <c r="AA140" s="1">
        <v>16</v>
      </c>
      <c r="AB140" s="1">
        <v>176</v>
      </c>
      <c r="AC140" s="1">
        <v>200</v>
      </c>
      <c r="AD140" s="1">
        <v>35</v>
      </c>
      <c r="AE140" s="1">
        <v>133</v>
      </c>
      <c r="AF140" s="18">
        <f t="shared" si="2"/>
        <v>67</v>
      </c>
    </row>
    <row r="141" spans="1:32" x14ac:dyDescent="0.35">
      <c r="A141" s="1" t="s">
        <v>109</v>
      </c>
      <c r="B141" s="1">
        <v>17</v>
      </c>
      <c r="C141" s="1">
        <v>20</v>
      </c>
      <c r="D141" s="1">
        <v>62</v>
      </c>
      <c r="E141" s="1">
        <v>46</v>
      </c>
      <c r="F141" s="1">
        <v>60</v>
      </c>
      <c r="G141" s="1">
        <v>51</v>
      </c>
      <c r="H141" s="1">
        <v>49</v>
      </c>
      <c r="I141" s="1">
        <v>17</v>
      </c>
      <c r="J141" s="1">
        <v>52</v>
      </c>
      <c r="K141" s="1">
        <v>64</v>
      </c>
      <c r="L141" s="1">
        <v>64</v>
      </c>
      <c r="M141" s="1">
        <v>106</v>
      </c>
      <c r="N141" s="1">
        <v>23</v>
      </c>
      <c r="O141" s="1">
        <v>23</v>
      </c>
      <c r="P141" s="1">
        <v>26</v>
      </c>
      <c r="Q141" s="1">
        <v>55</v>
      </c>
      <c r="R141" s="1">
        <v>16</v>
      </c>
      <c r="S141" s="1">
        <v>38</v>
      </c>
      <c r="T141" s="1">
        <v>44</v>
      </c>
      <c r="U141" s="1">
        <v>15</v>
      </c>
      <c r="V141" s="1">
        <v>32</v>
      </c>
      <c r="W141" s="1">
        <v>61</v>
      </c>
      <c r="X141" s="1">
        <v>47</v>
      </c>
      <c r="Y141" s="1">
        <v>63</v>
      </c>
      <c r="Z141" s="1">
        <v>15</v>
      </c>
      <c r="AA141" s="1">
        <v>16</v>
      </c>
      <c r="AB141" s="1">
        <v>34</v>
      </c>
      <c r="AC141" s="1">
        <v>81</v>
      </c>
      <c r="AD141" s="1">
        <v>16</v>
      </c>
      <c r="AE141" s="1">
        <v>68</v>
      </c>
      <c r="AF141" s="18">
        <f t="shared" si="2"/>
        <v>42.7</v>
      </c>
    </row>
    <row r="142" spans="1:32" x14ac:dyDescent="0.35">
      <c r="A142" s="1" t="s">
        <v>189</v>
      </c>
      <c r="B142" s="1">
        <v>16</v>
      </c>
      <c r="C142" s="1">
        <v>13</v>
      </c>
      <c r="D142" s="1">
        <v>15</v>
      </c>
      <c r="E142" s="1">
        <v>18</v>
      </c>
      <c r="F142" s="1">
        <v>22</v>
      </c>
      <c r="G142" s="1">
        <v>22</v>
      </c>
      <c r="H142" s="1">
        <v>19</v>
      </c>
      <c r="I142" s="1">
        <v>43</v>
      </c>
      <c r="J142" s="1">
        <v>61</v>
      </c>
      <c r="K142" s="1">
        <v>53</v>
      </c>
      <c r="L142" s="1">
        <v>18</v>
      </c>
      <c r="M142" s="1">
        <v>27</v>
      </c>
      <c r="N142" s="1">
        <v>15</v>
      </c>
      <c r="O142" s="1">
        <v>21</v>
      </c>
      <c r="P142" s="1">
        <v>30</v>
      </c>
      <c r="Q142" s="1">
        <v>17</v>
      </c>
      <c r="R142" s="1">
        <v>40</v>
      </c>
      <c r="S142" s="1">
        <v>17</v>
      </c>
      <c r="T142" s="1">
        <v>23</v>
      </c>
      <c r="U142" s="1">
        <v>24</v>
      </c>
      <c r="V142" s="1">
        <v>21</v>
      </c>
      <c r="W142" s="1">
        <v>33</v>
      </c>
      <c r="X142" s="1">
        <v>42</v>
      </c>
      <c r="Y142" s="1">
        <v>55</v>
      </c>
      <c r="Z142" s="1">
        <v>65</v>
      </c>
      <c r="AA142" s="1">
        <v>94</v>
      </c>
      <c r="AB142" s="1">
        <v>41</v>
      </c>
      <c r="AC142" s="1">
        <v>40</v>
      </c>
      <c r="AD142" s="1">
        <v>43</v>
      </c>
      <c r="AE142" s="1">
        <v>27</v>
      </c>
      <c r="AF142" s="18">
        <f t="shared" si="2"/>
        <v>32.5</v>
      </c>
    </row>
    <row r="143" spans="1:32" x14ac:dyDescent="0.35">
      <c r="A143" s="1" t="s">
        <v>110</v>
      </c>
      <c r="B143" s="1">
        <v>32</v>
      </c>
      <c r="C143" s="1">
        <v>46</v>
      </c>
      <c r="D143" s="1">
        <v>35</v>
      </c>
      <c r="E143" s="1">
        <v>12</v>
      </c>
      <c r="F143" s="1">
        <v>23</v>
      </c>
      <c r="G143" s="1">
        <v>13</v>
      </c>
      <c r="H143" s="1">
        <v>65</v>
      </c>
      <c r="I143" s="1">
        <v>61</v>
      </c>
      <c r="J143" s="1">
        <v>17</v>
      </c>
      <c r="K143" s="1">
        <v>32</v>
      </c>
      <c r="L143" s="1">
        <v>52</v>
      </c>
      <c r="M143" s="1">
        <v>35</v>
      </c>
      <c r="N143" s="1">
        <v>39</v>
      </c>
      <c r="O143" s="1">
        <v>16</v>
      </c>
      <c r="P143" s="1">
        <v>36</v>
      </c>
      <c r="Q143" s="1">
        <v>62</v>
      </c>
      <c r="R143" s="1">
        <v>36</v>
      </c>
      <c r="S143" s="1">
        <v>34</v>
      </c>
      <c r="T143" s="1">
        <v>20</v>
      </c>
      <c r="U143" s="1">
        <v>138</v>
      </c>
      <c r="V143" s="1">
        <v>41</v>
      </c>
      <c r="W143" s="1">
        <v>37</v>
      </c>
      <c r="X143" s="1">
        <v>14</v>
      </c>
      <c r="Y143" s="1">
        <v>28</v>
      </c>
      <c r="Z143" s="1">
        <v>41</v>
      </c>
      <c r="AA143" s="1">
        <v>27</v>
      </c>
      <c r="AB143" s="1">
        <v>124</v>
      </c>
      <c r="AC143" s="1">
        <v>45</v>
      </c>
      <c r="AD143" s="1">
        <v>45</v>
      </c>
      <c r="AE143" s="1">
        <v>39</v>
      </c>
      <c r="AF143" s="18">
        <f t="shared" si="2"/>
        <v>41.5</v>
      </c>
    </row>
    <row r="144" spans="1:32" x14ac:dyDescent="0.35">
      <c r="A144" s="1" t="s">
        <v>111</v>
      </c>
      <c r="B144" s="1">
        <v>26</v>
      </c>
      <c r="C144" s="1">
        <v>64</v>
      </c>
      <c r="D144" s="1">
        <v>71</v>
      </c>
      <c r="E144" s="1">
        <v>13</v>
      </c>
      <c r="F144" s="1">
        <v>190</v>
      </c>
      <c r="G144" s="1">
        <v>17</v>
      </c>
      <c r="H144" s="1">
        <v>84</v>
      </c>
      <c r="I144" s="1">
        <v>47</v>
      </c>
      <c r="J144" s="1">
        <v>33</v>
      </c>
      <c r="K144" s="1">
        <v>68</v>
      </c>
      <c r="L144" s="1">
        <v>25</v>
      </c>
      <c r="M144" s="1">
        <v>84</v>
      </c>
      <c r="N144" s="1">
        <v>16</v>
      </c>
      <c r="O144" s="1">
        <v>39</v>
      </c>
      <c r="P144" s="1">
        <v>83</v>
      </c>
      <c r="Q144" s="1">
        <v>45</v>
      </c>
      <c r="R144" s="1">
        <v>128</v>
      </c>
      <c r="S144" s="1">
        <v>63</v>
      </c>
      <c r="T144" s="1">
        <v>19</v>
      </c>
      <c r="U144" s="1">
        <v>14</v>
      </c>
      <c r="V144" s="1">
        <v>46</v>
      </c>
      <c r="W144" s="1">
        <v>39</v>
      </c>
      <c r="X144" s="1">
        <v>73</v>
      </c>
      <c r="Y144" s="1">
        <v>35</v>
      </c>
      <c r="Z144" s="1">
        <v>185</v>
      </c>
      <c r="AA144" s="1">
        <v>17</v>
      </c>
      <c r="AB144" s="1">
        <v>66</v>
      </c>
      <c r="AC144" s="1">
        <v>171</v>
      </c>
      <c r="AD144" s="1">
        <v>210</v>
      </c>
      <c r="AE144" s="1">
        <v>55</v>
      </c>
      <c r="AF144" s="18">
        <f t="shared" si="2"/>
        <v>67.533333333333331</v>
      </c>
    </row>
    <row r="145" spans="1:32" x14ac:dyDescent="0.35">
      <c r="A145" s="1" t="s">
        <v>112</v>
      </c>
      <c r="B145" s="1">
        <v>39</v>
      </c>
      <c r="C145" s="1">
        <v>19</v>
      </c>
      <c r="D145" s="1">
        <v>30</v>
      </c>
      <c r="E145" s="1">
        <v>59</v>
      </c>
      <c r="F145" s="1">
        <v>12</v>
      </c>
      <c r="G145" s="1">
        <v>115</v>
      </c>
      <c r="H145" s="1">
        <v>14</v>
      </c>
      <c r="I145" s="1">
        <v>52</v>
      </c>
      <c r="J145" s="1">
        <v>40</v>
      </c>
      <c r="K145" s="1">
        <v>105</v>
      </c>
      <c r="L145" s="1">
        <v>113</v>
      </c>
      <c r="M145" s="1">
        <v>35</v>
      </c>
      <c r="N145" s="1">
        <v>96</v>
      </c>
      <c r="O145" s="1">
        <v>127</v>
      </c>
      <c r="P145" s="1">
        <v>25</v>
      </c>
      <c r="Q145" s="1">
        <v>33</v>
      </c>
      <c r="R145" s="1">
        <v>24</v>
      </c>
      <c r="S145" s="1">
        <v>103</v>
      </c>
      <c r="T145" s="1">
        <v>31</v>
      </c>
      <c r="U145" s="1">
        <v>25</v>
      </c>
      <c r="V145" s="1">
        <v>104</v>
      </c>
      <c r="W145" s="1">
        <v>40</v>
      </c>
      <c r="X145" s="1">
        <v>37</v>
      </c>
      <c r="Y145" s="1">
        <v>99</v>
      </c>
      <c r="Z145" s="1">
        <v>17</v>
      </c>
      <c r="AA145" s="1">
        <v>83</v>
      </c>
      <c r="AB145" s="1">
        <v>104</v>
      </c>
      <c r="AC145" s="1">
        <v>39</v>
      </c>
      <c r="AD145" s="1">
        <v>18</v>
      </c>
      <c r="AE145" s="1">
        <v>67</v>
      </c>
      <c r="AF145" s="18">
        <f t="shared" si="2"/>
        <v>56.833333333333336</v>
      </c>
    </row>
    <row r="146" spans="1:32" x14ac:dyDescent="0.35">
      <c r="A146" s="1" t="s">
        <v>113</v>
      </c>
      <c r="B146" s="1">
        <v>14</v>
      </c>
      <c r="C146" s="1">
        <v>80</v>
      </c>
      <c r="D146" s="1">
        <v>38</v>
      </c>
      <c r="E146" s="1">
        <v>45</v>
      </c>
      <c r="F146" s="1">
        <v>20</v>
      </c>
      <c r="G146" s="1">
        <v>226</v>
      </c>
      <c r="H146" s="1">
        <v>263</v>
      </c>
      <c r="I146" s="1">
        <v>24</v>
      </c>
      <c r="J146" s="1">
        <v>106</v>
      </c>
      <c r="K146" s="1">
        <v>16</v>
      </c>
      <c r="L146" s="1">
        <v>91</v>
      </c>
      <c r="M146" s="1">
        <v>60</v>
      </c>
      <c r="N146" s="1">
        <v>72</v>
      </c>
      <c r="O146" s="1">
        <v>17</v>
      </c>
      <c r="P146" s="1">
        <v>17</v>
      </c>
      <c r="Q146" s="1">
        <v>21</v>
      </c>
      <c r="R146" s="1">
        <v>39</v>
      </c>
      <c r="S146" s="1">
        <v>135</v>
      </c>
      <c r="T146" s="1">
        <v>16</v>
      </c>
      <c r="U146" s="1">
        <v>78</v>
      </c>
      <c r="V146" s="1">
        <v>91</v>
      </c>
      <c r="W146" s="1">
        <v>21</v>
      </c>
      <c r="X146" s="1">
        <v>87</v>
      </c>
      <c r="Y146" s="1">
        <v>61</v>
      </c>
      <c r="Z146" s="1">
        <v>19</v>
      </c>
      <c r="AA146" s="1">
        <v>16</v>
      </c>
      <c r="AB146" s="1">
        <v>65</v>
      </c>
      <c r="AC146" s="1">
        <v>64</v>
      </c>
      <c r="AD146" s="1">
        <v>27</v>
      </c>
      <c r="AE146" s="1">
        <v>32</v>
      </c>
      <c r="AF146" s="18">
        <f t="shared" si="2"/>
        <v>62.033333333333331</v>
      </c>
    </row>
    <row r="147" spans="1:32" x14ac:dyDescent="0.35">
      <c r="A147" s="1" t="s">
        <v>114</v>
      </c>
      <c r="B147" s="1">
        <v>107</v>
      </c>
      <c r="C147" s="1">
        <v>43</v>
      </c>
      <c r="D147" s="1">
        <v>41</v>
      </c>
      <c r="E147" s="1">
        <v>41</v>
      </c>
      <c r="F147" s="1">
        <v>27</v>
      </c>
      <c r="G147" s="1">
        <v>59</v>
      </c>
      <c r="H147" s="1">
        <v>22</v>
      </c>
      <c r="I147" s="1">
        <v>13</v>
      </c>
      <c r="J147" s="1">
        <v>22</v>
      </c>
      <c r="K147" s="1">
        <v>30</v>
      </c>
      <c r="L147" s="1">
        <v>36</v>
      </c>
      <c r="M147" s="1">
        <v>71</v>
      </c>
      <c r="N147" s="1">
        <v>106</v>
      </c>
      <c r="O147" s="1">
        <v>31</v>
      </c>
      <c r="P147" s="1">
        <v>49</v>
      </c>
      <c r="Q147" s="1">
        <v>69</v>
      </c>
      <c r="R147" s="1">
        <v>214</v>
      </c>
      <c r="S147" s="1">
        <v>31</v>
      </c>
      <c r="T147" s="1">
        <v>146</v>
      </c>
      <c r="U147" s="1">
        <v>116</v>
      </c>
      <c r="V147" s="1">
        <v>33</v>
      </c>
      <c r="W147" s="1">
        <v>22</v>
      </c>
      <c r="X147" s="1">
        <v>12</v>
      </c>
      <c r="Y147" s="1">
        <v>54</v>
      </c>
      <c r="Z147" s="1">
        <v>70</v>
      </c>
      <c r="AA147" s="1">
        <v>20</v>
      </c>
      <c r="AB147" s="1">
        <v>25</v>
      </c>
      <c r="AC147" s="1">
        <v>58</v>
      </c>
      <c r="AD147" s="1">
        <v>109</v>
      </c>
      <c r="AE147" s="1">
        <v>42</v>
      </c>
      <c r="AF147" s="18">
        <f t="shared" si="2"/>
        <v>57.3</v>
      </c>
    </row>
    <row r="148" spans="1:32" x14ac:dyDescent="0.35">
      <c r="A148" s="1" t="s">
        <v>115</v>
      </c>
      <c r="B148" s="1">
        <v>25</v>
      </c>
      <c r="C148" s="1">
        <v>46</v>
      </c>
      <c r="D148" s="1">
        <v>109</v>
      </c>
      <c r="E148" s="1">
        <v>27</v>
      </c>
      <c r="F148" s="1">
        <v>22</v>
      </c>
      <c r="G148" s="1">
        <v>21</v>
      </c>
      <c r="H148" s="1">
        <v>35</v>
      </c>
      <c r="I148" s="1">
        <v>31</v>
      </c>
      <c r="J148" s="1">
        <v>22</v>
      </c>
      <c r="K148" s="1">
        <v>61</v>
      </c>
      <c r="L148" s="1">
        <v>30</v>
      </c>
      <c r="M148" s="1">
        <v>50</v>
      </c>
      <c r="N148" s="1">
        <v>122</v>
      </c>
      <c r="O148" s="1">
        <v>19</v>
      </c>
      <c r="P148" s="1">
        <v>27</v>
      </c>
      <c r="Q148" s="1">
        <v>102</v>
      </c>
      <c r="R148" s="1">
        <v>29</v>
      </c>
      <c r="S148" s="1">
        <v>110</v>
      </c>
      <c r="T148" s="1">
        <v>34</v>
      </c>
      <c r="U148" s="1">
        <v>122</v>
      </c>
      <c r="V148" s="1">
        <v>26</v>
      </c>
      <c r="W148" s="1">
        <v>14</v>
      </c>
      <c r="X148" s="1">
        <v>77</v>
      </c>
      <c r="Y148" s="1">
        <v>59</v>
      </c>
      <c r="Z148" s="1">
        <v>85</v>
      </c>
      <c r="AA148" s="1">
        <v>25</v>
      </c>
      <c r="AB148" s="1">
        <v>116</v>
      </c>
      <c r="AC148" s="1">
        <v>41</v>
      </c>
      <c r="AD148" s="1">
        <v>117</v>
      </c>
      <c r="AE148" s="1">
        <v>14</v>
      </c>
      <c r="AF148" s="18">
        <f t="shared" si="2"/>
        <v>53.93333333333333</v>
      </c>
    </row>
    <row r="149" spans="1:32" x14ac:dyDescent="0.35">
      <c r="A149" s="1" t="s">
        <v>190</v>
      </c>
      <c r="B149" s="1">
        <v>76</v>
      </c>
      <c r="C149" s="1">
        <v>94</v>
      </c>
      <c r="D149" s="1">
        <v>100</v>
      </c>
      <c r="E149" s="1">
        <v>48</v>
      </c>
      <c r="F149" s="1">
        <v>26</v>
      </c>
      <c r="G149" s="1">
        <v>85</v>
      </c>
      <c r="H149" s="1">
        <v>58</v>
      </c>
      <c r="I149" s="1">
        <v>106</v>
      </c>
      <c r="J149" s="1">
        <v>13</v>
      </c>
      <c r="K149" s="1">
        <v>65</v>
      </c>
      <c r="L149" s="1">
        <v>44</v>
      </c>
      <c r="M149" s="1">
        <v>71</v>
      </c>
      <c r="N149" s="1">
        <v>89</v>
      </c>
      <c r="O149" s="1">
        <v>130</v>
      </c>
      <c r="P149" s="1">
        <v>21</v>
      </c>
      <c r="Q149" s="1">
        <v>79</v>
      </c>
      <c r="R149" s="1">
        <v>27</v>
      </c>
      <c r="S149" s="1">
        <v>23</v>
      </c>
      <c r="T149" s="1">
        <v>36</v>
      </c>
      <c r="U149" s="1">
        <v>77</v>
      </c>
      <c r="V149" s="1">
        <v>54</v>
      </c>
      <c r="W149" s="1">
        <v>36</v>
      </c>
      <c r="X149" s="1">
        <v>54</v>
      </c>
      <c r="Y149" s="1">
        <v>31</v>
      </c>
      <c r="Z149" s="1">
        <v>42</v>
      </c>
      <c r="AA149" s="1">
        <v>132</v>
      </c>
      <c r="AB149" s="1">
        <v>36</v>
      </c>
      <c r="AC149" s="1">
        <v>44</v>
      </c>
      <c r="AD149" s="1">
        <v>87</v>
      </c>
      <c r="AE149" s="1">
        <v>139</v>
      </c>
      <c r="AF149" s="18">
        <f t="shared" si="2"/>
        <v>64.099999999999994</v>
      </c>
    </row>
    <row r="150" spans="1:32" x14ac:dyDescent="0.35">
      <c r="A150" s="1" t="s">
        <v>116</v>
      </c>
      <c r="B150" s="1">
        <v>47</v>
      </c>
      <c r="C150" s="1">
        <v>13</v>
      </c>
      <c r="D150" s="1">
        <v>15</v>
      </c>
      <c r="E150" s="1">
        <v>21</v>
      </c>
      <c r="F150" s="1">
        <v>16</v>
      </c>
      <c r="G150" s="1">
        <v>116</v>
      </c>
      <c r="H150" s="1">
        <v>58</v>
      </c>
      <c r="I150" s="1">
        <v>33</v>
      </c>
      <c r="J150" s="1">
        <v>36</v>
      </c>
      <c r="K150" s="1">
        <v>277</v>
      </c>
      <c r="L150" s="1">
        <v>65</v>
      </c>
      <c r="M150" s="1">
        <v>139</v>
      </c>
      <c r="N150" s="1">
        <v>69</v>
      </c>
      <c r="O150" s="1">
        <v>52</v>
      </c>
      <c r="P150" s="1">
        <v>14</v>
      </c>
      <c r="Q150" s="1">
        <v>116</v>
      </c>
      <c r="R150" s="1">
        <v>28</v>
      </c>
      <c r="S150" s="1">
        <v>50</v>
      </c>
      <c r="T150" s="1">
        <v>50</v>
      </c>
      <c r="U150" s="1">
        <v>26</v>
      </c>
      <c r="V150" s="1">
        <v>62</v>
      </c>
      <c r="W150" s="1">
        <v>33</v>
      </c>
      <c r="X150" s="1">
        <v>30</v>
      </c>
      <c r="Y150" s="1">
        <v>75</v>
      </c>
      <c r="Z150" s="1">
        <v>19</v>
      </c>
      <c r="AA150" s="1">
        <v>41</v>
      </c>
      <c r="AB150" s="1">
        <v>51</v>
      </c>
      <c r="AC150" s="1">
        <v>13</v>
      </c>
      <c r="AD150" s="1">
        <v>59</v>
      </c>
      <c r="AE150" s="1">
        <v>62</v>
      </c>
      <c r="AF150" s="18">
        <f t="shared" si="2"/>
        <v>56.2</v>
      </c>
    </row>
    <row r="151" spans="1:32" x14ac:dyDescent="0.35">
      <c r="A151" s="1" t="s">
        <v>197</v>
      </c>
      <c r="B151" s="1">
        <v>33</v>
      </c>
      <c r="C151" s="1">
        <v>29</v>
      </c>
      <c r="D151" s="1">
        <v>22</v>
      </c>
      <c r="E151" s="1">
        <v>140</v>
      </c>
      <c r="F151" s="1">
        <v>110</v>
      </c>
      <c r="G151" s="1">
        <v>148</v>
      </c>
      <c r="H151" s="1">
        <v>93</v>
      </c>
      <c r="I151" s="1">
        <v>21</v>
      </c>
      <c r="J151" s="1">
        <v>30</v>
      </c>
      <c r="K151" s="1">
        <v>25</v>
      </c>
      <c r="L151" s="1">
        <v>17</v>
      </c>
      <c r="M151" s="1">
        <v>31</v>
      </c>
      <c r="N151" s="1">
        <v>19</v>
      </c>
      <c r="O151" s="1">
        <v>127</v>
      </c>
      <c r="P151" s="1">
        <v>52</v>
      </c>
      <c r="Q151" s="1">
        <v>148</v>
      </c>
      <c r="R151" s="1">
        <v>31</v>
      </c>
      <c r="S151" s="1">
        <v>61</v>
      </c>
      <c r="T151" s="1">
        <v>28</v>
      </c>
      <c r="U151" s="1">
        <v>63</v>
      </c>
      <c r="V151" s="1">
        <v>48</v>
      </c>
      <c r="W151" s="1">
        <v>69</v>
      </c>
      <c r="X151" s="1">
        <v>53</v>
      </c>
      <c r="Y151" s="1">
        <v>168</v>
      </c>
      <c r="Z151" s="1">
        <v>150</v>
      </c>
      <c r="AA151" s="1">
        <v>140</v>
      </c>
      <c r="AB151" s="1">
        <v>43</v>
      </c>
      <c r="AC151" s="1">
        <v>39</v>
      </c>
      <c r="AD151" s="1">
        <v>101</v>
      </c>
      <c r="AE151" s="1">
        <v>213</v>
      </c>
      <c r="AF151" s="18">
        <f t="shared" si="2"/>
        <v>75.066666666666663</v>
      </c>
    </row>
    <row r="152" spans="1:32" x14ac:dyDescent="0.35">
      <c r="A152" s="1" t="s">
        <v>117</v>
      </c>
      <c r="B152" s="1">
        <v>58</v>
      </c>
      <c r="C152" s="1">
        <v>40</v>
      </c>
      <c r="D152" s="1">
        <v>17</v>
      </c>
      <c r="E152" s="1">
        <v>34</v>
      </c>
      <c r="F152" s="1">
        <v>35</v>
      </c>
      <c r="G152" s="1">
        <v>55</v>
      </c>
      <c r="H152" s="1">
        <v>46</v>
      </c>
      <c r="I152" s="1">
        <v>64</v>
      </c>
      <c r="J152" s="1">
        <v>105</v>
      </c>
      <c r="K152" s="1">
        <v>39</v>
      </c>
      <c r="L152" s="1">
        <v>54</v>
      </c>
      <c r="M152" s="1">
        <v>80</v>
      </c>
      <c r="N152" s="1">
        <v>99</v>
      </c>
      <c r="O152" s="1">
        <v>23</v>
      </c>
      <c r="P152" s="1">
        <v>13</v>
      </c>
      <c r="Q152" s="1">
        <v>16</v>
      </c>
      <c r="R152" s="1">
        <v>15</v>
      </c>
      <c r="S152" s="1">
        <v>23</v>
      </c>
      <c r="T152" s="1">
        <v>65</v>
      </c>
      <c r="U152" s="1">
        <v>78</v>
      </c>
      <c r="V152" s="1">
        <v>37</v>
      </c>
      <c r="W152" s="1">
        <v>34</v>
      </c>
      <c r="X152" s="1">
        <v>16</v>
      </c>
      <c r="Y152" s="1">
        <v>30</v>
      </c>
      <c r="Z152" s="1">
        <v>64</v>
      </c>
      <c r="AA152" s="1">
        <v>103</v>
      </c>
      <c r="AB152" s="1">
        <v>20</v>
      </c>
      <c r="AC152" s="1">
        <v>105</v>
      </c>
      <c r="AD152" s="1">
        <v>26</v>
      </c>
      <c r="AE152" s="1">
        <v>12</v>
      </c>
      <c r="AF152" s="18">
        <f t="shared" si="2"/>
        <v>46.866666666666667</v>
      </c>
    </row>
    <row r="153" spans="1:32" x14ac:dyDescent="0.35">
      <c r="A153" s="1" t="s">
        <v>198</v>
      </c>
      <c r="B153" s="1">
        <v>16</v>
      </c>
      <c r="C153" s="1">
        <v>53</v>
      </c>
      <c r="D153" s="1">
        <v>117</v>
      </c>
      <c r="E153" s="1">
        <v>26</v>
      </c>
      <c r="F153" s="1">
        <v>36</v>
      </c>
      <c r="G153" s="1">
        <v>30</v>
      </c>
      <c r="H153" s="1">
        <v>49</v>
      </c>
      <c r="I153" s="1">
        <v>12</v>
      </c>
      <c r="J153" s="1">
        <v>35</v>
      </c>
      <c r="K153" s="1">
        <v>12</v>
      </c>
      <c r="L153" s="1">
        <v>29</v>
      </c>
      <c r="M153" s="1">
        <v>46</v>
      </c>
      <c r="N153" s="1">
        <v>33</v>
      </c>
      <c r="O153" s="1">
        <v>23</v>
      </c>
      <c r="P153" s="1">
        <v>42</v>
      </c>
      <c r="Q153" s="1">
        <v>82</v>
      </c>
      <c r="R153" s="1">
        <v>57</v>
      </c>
      <c r="S153" s="1">
        <v>25</v>
      </c>
      <c r="T153" s="1">
        <v>15</v>
      </c>
      <c r="U153" s="1">
        <v>16</v>
      </c>
      <c r="V153" s="1">
        <v>86</v>
      </c>
      <c r="W153" s="1">
        <v>61</v>
      </c>
      <c r="X153" s="1">
        <v>71</v>
      </c>
      <c r="Y153" s="1">
        <v>40</v>
      </c>
      <c r="Z153" s="1">
        <v>112</v>
      </c>
      <c r="AA153" s="1">
        <v>55</v>
      </c>
      <c r="AB153" s="1">
        <v>36</v>
      </c>
      <c r="AC153" s="1">
        <v>34</v>
      </c>
      <c r="AD153" s="1">
        <v>30</v>
      </c>
      <c r="AE153" s="1">
        <v>39</v>
      </c>
      <c r="AF153" s="18">
        <f t="shared" si="2"/>
        <v>43.93333333333333</v>
      </c>
    </row>
    <row r="154" spans="1:32" x14ac:dyDescent="0.35">
      <c r="A154" s="1" t="s">
        <v>118</v>
      </c>
      <c r="B154" s="1">
        <v>33</v>
      </c>
      <c r="C154" s="1">
        <v>29</v>
      </c>
      <c r="D154" s="1">
        <v>40</v>
      </c>
      <c r="E154" s="1">
        <v>26</v>
      </c>
      <c r="F154" s="1">
        <v>60</v>
      </c>
      <c r="G154" s="1">
        <v>56</v>
      </c>
      <c r="H154" s="1">
        <v>76</v>
      </c>
      <c r="I154" s="1">
        <v>22</v>
      </c>
      <c r="J154" s="1">
        <v>22</v>
      </c>
      <c r="K154" s="1">
        <v>12</v>
      </c>
      <c r="L154" s="1">
        <v>193</v>
      </c>
      <c r="M154" s="1">
        <v>35</v>
      </c>
      <c r="N154" s="1">
        <v>39</v>
      </c>
      <c r="O154" s="1">
        <v>14</v>
      </c>
      <c r="P154" s="1">
        <v>114</v>
      </c>
      <c r="Q154" s="1">
        <v>45</v>
      </c>
      <c r="R154" s="1">
        <v>79</v>
      </c>
      <c r="S154" s="1">
        <v>23</v>
      </c>
      <c r="T154" s="1">
        <v>25</v>
      </c>
      <c r="U154" s="1">
        <v>33</v>
      </c>
      <c r="V154" s="1">
        <v>36</v>
      </c>
      <c r="W154" s="1">
        <v>50</v>
      </c>
      <c r="X154" s="1">
        <v>90</v>
      </c>
      <c r="Y154" s="1">
        <v>51</v>
      </c>
      <c r="Z154" s="1">
        <v>105</v>
      </c>
      <c r="AA154" s="1">
        <v>110</v>
      </c>
      <c r="AB154" s="1">
        <v>121</v>
      </c>
      <c r="AC154" s="1">
        <v>53</v>
      </c>
      <c r="AD154" s="1">
        <v>147</v>
      </c>
      <c r="AE154" s="1">
        <v>13</v>
      </c>
      <c r="AF154" s="18">
        <f t="shared" si="2"/>
        <v>58.4</v>
      </c>
    </row>
    <row r="155" spans="1:32" x14ac:dyDescent="0.35">
      <c r="A155" s="1" t="s">
        <v>119</v>
      </c>
      <c r="B155" s="1">
        <v>59</v>
      </c>
      <c r="C155" s="1">
        <v>47</v>
      </c>
      <c r="D155" s="1">
        <v>36</v>
      </c>
      <c r="E155" s="1">
        <v>100</v>
      </c>
      <c r="F155" s="1">
        <v>67</v>
      </c>
      <c r="G155" s="1">
        <v>97</v>
      </c>
      <c r="H155" s="1">
        <v>98</v>
      </c>
      <c r="I155" s="1">
        <v>57</v>
      </c>
      <c r="J155" s="1">
        <v>106</v>
      </c>
      <c r="K155" s="1">
        <v>227</v>
      </c>
      <c r="L155" s="1">
        <v>56</v>
      </c>
      <c r="M155" s="1">
        <v>54</v>
      </c>
      <c r="N155" s="1">
        <v>100</v>
      </c>
      <c r="O155" s="1">
        <v>147</v>
      </c>
      <c r="P155" s="1">
        <v>112</v>
      </c>
      <c r="Q155" s="1">
        <v>133</v>
      </c>
      <c r="R155" s="1">
        <v>137</v>
      </c>
      <c r="S155" s="1">
        <v>16</v>
      </c>
      <c r="T155" s="1">
        <v>40</v>
      </c>
      <c r="U155" s="1">
        <v>44</v>
      </c>
      <c r="V155" s="1">
        <v>58</v>
      </c>
      <c r="W155" s="1">
        <v>29</v>
      </c>
      <c r="X155" s="1">
        <v>64</v>
      </c>
      <c r="Y155" s="1">
        <v>66</v>
      </c>
      <c r="Z155" s="1">
        <v>69</v>
      </c>
      <c r="AA155" s="1">
        <v>64</v>
      </c>
      <c r="AB155" s="1">
        <v>181</v>
      </c>
      <c r="AC155" s="1">
        <v>55</v>
      </c>
      <c r="AD155" s="1">
        <v>93</v>
      </c>
      <c r="AE155" s="1">
        <v>111</v>
      </c>
      <c r="AF155" s="18">
        <f t="shared" si="2"/>
        <v>84.1</v>
      </c>
    </row>
    <row r="156" spans="1:32" x14ac:dyDescent="0.35">
      <c r="A156" s="1" t="s">
        <v>191</v>
      </c>
      <c r="B156" s="1">
        <v>109</v>
      </c>
      <c r="C156" s="1">
        <v>66</v>
      </c>
      <c r="D156" s="1">
        <v>70</v>
      </c>
      <c r="E156" s="1">
        <v>28</v>
      </c>
      <c r="F156" s="1">
        <v>14</v>
      </c>
      <c r="G156" s="1">
        <v>20</v>
      </c>
      <c r="H156" s="1">
        <v>57</v>
      </c>
      <c r="I156" s="1">
        <v>12</v>
      </c>
      <c r="J156" s="1">
        <v>40</v>
      </c>
      <c r="K156" s="1">
        <v>12</v>
      </c>
      <c r="L156" s="1">
        <v>40</v>
      </c>
      <c r="M156" s="1">
        <v>23</v>
      </c>
      <c r="N156" s="1">
        <v>15</v>
      </c>
      <c r="O156" s="1">
        <v>24</v>
      </c>
      <c r="P156" s="1">
        <v>53</v>
      </c>
      <c r="Q156" s="1">
        <v>50</v>
      </c>
      <c r="R156" s="1">
        <v>16</v>
      </c>
      <c r="S156" s="1">
        <v>92</v>
      </c>
      <c r="T156" s="1">
        <v>27</v>
      </c>
      <c r="U156" s="1">
        <v>67</v>
      </c>
      <c r="V156" s="1">
        <v>114</v>
      </c>
      <c r="W156" s="1">
        <v>13</v>
      </c>
      <c r="X156" s="1">
        <v>33</v>
      </c>
      <c r="Y156" s="1">
        <v>44</v>
      </c>
      <c r="Z156" s="1">
        <v>27</v>
      </c>
      <c r="AA156" s="1">
        <v>75</v>
      </c>
      <c r="AB156" s="1">
        <v>21</v>
      </c>
      <c r="AC156" s="1">
        <v>39</v>
      </c>
      <c r="AD156" s="1">
        <v>64</v>
      </c>
      <c r="AE156" s="1">
        <v>13</v>
      </c>
      <c r="AF156" s="18">
        <f t="shared" si="2"/>
        <v>42.6</v>
      </c>
    </row>
    <row r="157" spans="1:32" x14ac:dyDescent="0.35">
      <c r="A157" s="1" t="s">
        <v>120</v>
      </c>
      <c r="B157" s="1">
        <v>159</v>
      </c>
      <c r="C157" s="1">
        <v>21</v>
      </c>
      <c r="D157" s="1">
        <v>21</v>
      </c>
      <c r="E157" s="1">
        <v>12</v>
      </c>
      <c r="F157" s="1">
        <v>29</v>
      </c>
      <c r="G157" s="1">
        <v>26</v>
      </c>
      <c r="H157" s="1">
        <v>12</v>
      </c>
      <c r="I157" s="1">
        <v>54</v>
      </c>
      <c r="J157" s="1">
        <v>25</v>
      </c>
      <c r="K157" s="1">
        <v>130</v>
      </c>
      <c r="L157" s="1">
        <v>40</v>
      </c>
      <c r="M157" s="1">
        <v>43</v>
      </c>
      <c r="N157" s="1">
        <v>64</v>
      </c>
      <c r="O157" s="1">
        <v>105</v>
      </c>
      <c r="P157" s="1">
        <v>29</v>
      </c>
      <c r="Q157" s="1">
        <v>66</v>
      </c>
      <c r="R157" s="1">
        <v>22</v>
      </c>
      <c r="S157" s="1">
        <v>225</v>
      </c>
      <c r="T157" s="1">
        <v>36</v>
      </c>
      <c r="U157" s="1">
        <v>49</v>
      </c>
      <c r="V157" s="1">
        <v>46</v>
      </c>
      <c r="W157" s="1">
        <v>14</v>
      </c>
      <c r="X157" s="1">
        <v>66</v>
      </c>
      <c r="Y157" s="1">
        <v>55</v>
      </c>
      <c r="Z157" s="1">
        <v>23</v>
      </c>
      <c r="AA157" s="1">
        <v>23</v>
      </c>
      <c r="AB157" s="1">
        <v>15</v>
      </c>
      <c r="AC157" s="1">
        <v>18</v>
      </c>
      <c r="AD157" s="1">
        <v>21</v>
      </c>
      <c r="AE157" s="1">
        <v>15</v>
      </c>
      <c r="AF157" s="18">
        <f t="shared" si="2"/>
        <v>48.8</v>
      </c>
    </row>
    <row r="158" spans="1:32" x14ac:dyDescent="0.35">
      <c r="A158" s="1" t="s">
        <v>121</v>
      </c>
      <c r="B158" s="1">
        <v>13</v>
      </c>
      <c r="C158" s="1">
        <v>53</v>
      </c>
      <c r="D158" s="1">
        <v>86</v>
      </c>
      <c r="E158" s="1">
        <v>19</v>
      </c>
      <c r="F158" s="1">
        <v>13</v>
      </c>
      <c r="G158" s="1">
        <v>85</v>
      </c>
      <c r="H158" s="1">
        <v>33</v>
      </c>
      <c r="I158" s="1">
        <v>85</v>
      </c>
      <c r="J158" s="1">
        <v>80</v>
      </c>
      <c r="K158" s="1">
        <v>32</v>
      </c>
      <c r="L158" s="1">
        <v>49</v>
      </c>
      <c r="M158" s="1">
        <v>42</v>
      </c>
      <c r="N158" s="1">
        <v>53</v>
      </c>
      <c r="O158" s="1">
        <v>146</v>
      </c>
      <c r="P158" s="1">
        <v>78</v>
      </c>
      <c r="Q158" s="1">
        <v>96</v>
      </c>
      <c r="R158" s="1">
        <v>18</v>
      </c>
      <c r="S158" s="1">
        <v>16</v>
      </c>
      <c r="T158" s="1">
        <v>25</v>
      </c>
      <c r="U158" s="1">
        <v>16</v>
      </c>
      <c r="V158" s="1">
        <v>47</v>
      </c>
      <c r="W158" s="1">
        <v>31</v>
      </c>
      <c r="X158" s="1">
        <v>25</v>
      </c>
      <c r="Y158" s="1">
        <v>21</v>
      </c>
      <c r="Z158" s="1">
        <v>52</v>
      </c>
      <c r="AA158" s="1">
        <v>24</v>
      </c>
      <c r="AB158" s="1">
        <v>111</v>
      </c>
      <c r="AC158" s="1">
        <v>25</v>
      </c>
      <c r="AD158" s="1">
        <v>70</v>
      </c>
      <c r="AE158" s="1">
        <v>24</v>
      </c>
      <c r="AF158" s="18">
        <f t="shared" si="2"/>
        <v>48.93333333333333</v>
      </c>
    </row>
    <row r="159" spans="1:32" x14ac:dyDescent="0.35">
      <c r="A159" s="1" t="s">
        <v>141</v>
      </c>
      <c r="B159" s="1">
        <v>67</v>
      </c>
      <c r="C159" s="1">
        <v>17</v>
      </c>
      <c r="D159" s="1">
        <v>35</v>
      </c>
      <c r="E159" s="1">
        <v>21</v>
      </c>
      <c r="F159" s="1">
        <v>77</v>
      </c>
      <c r="G159" s="1">
        <v>22</v>
      </c>
      <c r="H159" s="1">
        <v>90</v>
      </c>
      <c r="I159" s="1">
        <v>100</v>
      </c>
      <c r="J159" s="1">
        <v>226</v>
      </c>
      <c r="K159" s="1">
        <v>177</v>
      </c>
      <c r="L159" s="1">
        <v>25</v>
      </c>
      <c r="M159" s="1">
        <v>31</v>
      </c>
      <c r="N159" s="1">
        <v>15</v>
      </c>
      <c r="O159" s="1">
        <v>17</v>
      </c>
      <c r="P159" s="1">
        <v>134</v>
      </c>
      <c r="Q159" s="1">
        <v>68</v>
      </c>
      <c r="R159" s="1">
        <v>93</v>
      </c>
      <c r="S159" s="1">
        <v>12</v>
      </c>
      <c r="T159" s="1">
        <v>22</v>
      </c>
      <c r="U159" s="1">
        <v>12</v>
      </c>
      <c r="V159" s="1">
        <v>71</v>
      </c>
      <c r="W159" s="1">
        <v>64</v>
      </c>
      <c r="X159" s="1">
        <v>24</v>
      </c>
      <c r="Y159" s="1">
        <v>54</v>
      </c>
      <c r="Z159" s="1">
        <v>89</v>
      </c>
      <c r="AA159" s="1">
        <v>34</v>
      </c>
      <c r="AB159" s="1">
        <v>84</v>
      </c>
      <c r="AC159" s="1">
        <v>87</v>
      </c>
      <c r="AD159" s="1">
        <v>18</v>
      </c>
      <c r="AE159" s="1">
        <v>194</v>
      </c>
      <c r="AF159" s="18">
        <f t="shared" si="2"/>
        <v>66</v>
      </c>
    </row>
    <row r="160" spans="1:32" x14ac:dyDescent="0.35">
      <c r="A160" s="1" t="s">
        <v>122</v>
      </c>
      <c r="B160" s="1">
        <v>21</v>
      </c>
      <c r="C160" s="1">
        <v>21</v>
      </c>
      <c r="D160" s="1">
        <v>42</v>
      </c>
      <c r="E160" s="1">
        <v>17</v>
      </c>
      <c r="F160" s="1">
        <v>16</v>
      </c>
      <c r="G160" s="1">
        <v>30</v>
      </c>
      <c r="H160" s="1">
        <v>19</v>
      </c>
      <c r="I160" s="1">
        <v>18</v>
      </c>
      <c r="J160" s="1">
        <v>50</v>
      </c>
      <c r="K160" s="1">
        <v>17</v>
      </c>
      <c r="L160" s="1">
        <v>27</v>
      </c>
      <c r="M160" s="1">
        <v>88</v>
      </c>
      <c r="N160" s="1">
        <v>13</v>
      </c>
      <c r="O160" s="1">
        <v>23</v>
      </c>
      <c r="P160" s="1">
        <v>56</v>
      </c>
      <c r="Q160" s="1">
        <v>201</v>
      </c>
      <c r="R160" s="1">
        <v>31</v>
      </c>
      <c r="S160" s="1">
        <v>21</v>
      </c>
      <c r="T160" s="1">
        <v>18</v>
      </c>
      <c r="U160" s="1">
        <v>90</v>
      </c>
      <c r="V160" s="1">
        <v>20</v>
      </c>
      <c r="W160" s="1">
        <v>45</v>
      </c>
      <c r="X160" s="1">
        <v>53</v>
      </c>
      <c r="Y160" s="1">
        <v>40</v>
      </c>
      <c r="Z160" s="1">
        <v>38</v>
      </c>
      <c r="AA160" s="1">
        <v>69</v>
      </c>
      <c r="AB160" s="1">
        <v>74</v>
      </c>
      <c r="AC160" s="1">
        <v>65</v>
      </c>
      <c r="AD160" s="1">
        <v>23</v>
      </c>
      <c r="AE160" s="1">
        <v>36</v>
      </c>
      <c r="AF160" s="18">
        <f t="shared" si="2"/>
        <v>42.733333333333334</v>
      </c>
    </row>
    <row r="161" spans="1:32" x14ac:dyDescent="0.35">
      <c r="A161" s="1" t="s">
        <v>165</v>
      </c>
      <c r="B161" s="1">
        <v>38</v>
      </c>
      <c r="C161" s="1">
        <v>89</v>
      </c>
      <c r="D161" s="1">
        <v>375</v>
      </c>
      <c r="E161" s="1">
        <v>33</v>
      </c>
      <c r="F161" s="1">
        <v>84</v>
      </c>
      <c r="G161" s="1">
        <v>21</v>
      </c>
      <c r="H161" s="1">
        <v>73</v>
      </c>
      <c r="I161" s="1">
        <v>188</v>
      </c>
      <c r="J161" s="1">
        <v>63</v>
      </c>
      <c r="K161" s="1">
        <v>30</v>
      </c>
      <c r="L161" s="1">
        <v>22</v>
      </c>
      <c r="M161" s="1">
        <v>23</v>
      </c>
      <c r="N161" s="1">
        <v>30</v>
      </c>
      <c r="O161" s="1">
        <v>173</v>
      </c>
      <c r="P161" s="1">
        <v>30</v>
      </c>
      <c r="Q161" s="1">
        <v>219</v>
      </c>
      <c r="R161" s="1">
        <v>25</v>
      </c>
      <c r="S161" s="1">
        <v>28</v>
      </c>
      <c r="T161" s="1">
        <v>38</v>
      </c>
      <c r="U161" s="1">
        <v>111</v>
      </c>
      <c r="V161" s="1">
        <v>116</v>
      </c>
      <c r="W161" s="1">
        <v>44</v>
      </c>
      <c r="X161" s="1">
        <v>26</v>
      </c>
      <c r="Y161" s="1">
        <v>93</v>
      </c>
      <c r="Z161" s="1">
        <v>97</v>
      </c>
      <c r="AA161" s="1">
        <v>49</v>
      </c>
      <c r="AB161" s="1">
        <v>84</v>
      </c>
      <c r="AC161" s="1">
        <v>16</v>
      </c>
      <c r="AD161" s="1">
        <v>39</v>
      </c>
      <c r="AE161" s="1">
        <v>56</v>
      </c>
      <c r="AF161" s="18">
        <f t="shared" si="2"/>
        <v>77.099999999999994</v>
      </c>
    </row>
    <row r="162" spans="1:32" x14ac:dyDescent="0.35">
      <c r="A162" s="1" t="s">
        <v>123</v>
      </c>
      <c r="B162" s="1">
        <v>50</v>
      </c>
      <c r="C162" s="1">
        <v>39</v>
      </c>
      <c r="D162" s="1">
        <v>129</v>
      </c>
      <c r="E162" s="1">
        <v>76</v>
      </c>
      <c r="F162" s="1">
        <v>29</v>
      </c>
      <c r="G162" s="1">
        <v>63</v>
      </c>
      <c r="H162" s="1">
        <v>20</v>
      </c>
      <c r="I162" s="1">
        <v>72</v>
      </c>
      <c r="J162" s="1">
        <v>17</v>
      </c>
      <c r="K162" s="1">
        <v>19</v>
      </c>
      <c r="L162" s="1">
        <v>74</v>
      </c>
      <c r="M162" s="1">
        <v>48</v>
      </c>
      <c r="N162" s="1">
        <v>87</v>
      </c>
      <c r="O162" s="1">
        <v>19</v>
      </c>
      <c r="P162" s="1">
        <v>54</v>
      </c>
      <c r="Q162" s="1">
        <v>80</v>
      </c>
      <c r="R162" s="1">
        <v>83</v>
      </c>
      <c r="S162" s="1">
        <v>35</v>
      </c>
      <c r="T162" s="1">
        <v>33</v>
      </c>
      <c r="U162" s="1">
        <v>19</v>
      </c>
      <c r="V162" s="1">
        <v>23</v>
      </c>
      <c r="W162" s="1">
        <v>19</v>
      </c>
      <c r="X162" s="1">
        <v>81</v>
      </c>
      <c r="Y162" s="1">
        <v>34</v>
      </c>
      <c r="Z162" s="1">
        <v>15</v>
      </c>
      <c r="AA162" s="1">
        <v>43</v>
      </c>
      <c r="AB162" s="1">
        <v>42</v>
      </c>
      <c r="AC162" s="1">
        <v>13</v>
      </c>
      <c r="AD162" s="1">
        <v>86</v>
      </c>
      <c r="AE162" s="1">
        <v>33</v>
      </c>
      <c r="AF162" s="18">
        <f t="shared" si="2"/>
        <v>47.833333333333336</v>
      </c>
    </row>
    <row r="163" spans="1:32" x14ac:dyDescent="0.35">
      <c r="A163" s="1" t="s">
        <v>124</v>
      </c>
      <c r="B163" s="1">
        <v>14</v>
      </c>
      <c r="C163" s="1">
        <v>21</v>
      </c>
      <c r="D163" s="1">
        <v>36</v>
      </c>
      <c r="E163" s="1">
        <v>28</v>
      </c>
      <c r="F163" s="1">
        <v>76</v>
      </c>
      <c r="G163" s="1">
        <v>32</v>
      </c>
      <c r="H163" s="1">
        <v>37</v>
      </c>
      <c r="I163" s="1">
        <v>142</v>
      </c>
      <c r="J163" s="1">
        <v>41</v>
      </c>
      <c r="K163" s="1">
        <v>13</v>
      </c>
      <c r="L163" s="1">
        <v>76</v>
      </c>
      <c r="M163" s="1">
        <v>124</v>
      </c>
      <c r="N163" s="1">
        <v>16</v>
      </c>
      <c r="O163" s="1">
        <v>123</v>
      </c>
      <c r="P163" s="1">
        <v>35</v>
      </c>
      <c r="Q163" s="1">
        <v>28</v>
      </c>
      <c r="R163" s="1">
        <v>25</v>
      </c>
      <c r="S163" s="1">
        <v>27</v>
      </c>
      <c r="T163" s="1">
        <v>111</v>
      </c>
      <c r="U163" s="1">
        <v>60</v>
      </c>
      <c r="V163" s="1">
        <v>52</v>
      </c>
      <c r="W163" s="1">
        <v>47</v>
      </c>
      <c r="X163" s="1">
        <v>35</v>
      </c>
      <c r="Y163" s="1">
        <v>34</v>
      </c>
      <c r="Z163" s="1">
        <v>21</v>
      </c>
      <c r="AA163" s="1">
        <v>37</v>
      </c>
      <c r="AB163" s="1">
        <v>57</v>
      </c>
      <c r="AC163" s="1">
        <v>36</v>
      </c>
      <c r="AD163" s="1">
        <v>47</v>
      </c>
      <c r="AE163" s="1">
        <v>56</v>
      </c>
      <c r="AF163" s="18">
        <f t="shared" si="2"/>
        <v>49.56666666666667</v>
      </c>
    </row>
    <row r="164" spans="1:32" x14ac:dyDescent="0.35">
      <c r="A164" s="1" t="s">
        <v>125</v>
      </c>
      <c r="B164" s="1">
        <v>20</v>
      </c>
      <c r="C164" s="1">
        <v>17</v>
      </c>
      <c r="D164" s="1">
        <v>37</v>
      </c>
      <c r="E164" s="1">
        <v>91</v>
      </c>
      <c r="F164" s="1">
        <v>29</v>
      </c>
      <c r="G164" s="1">
        <v>100</v>
      </c>
      <c r="H164" s="1">
        <v>30</v>
      </c>
      <c r="I164" s="1">
        <v>85</v>
      </c>
      <c r="J164" s="1">
        <v>67</v>
      </c>
      <c r="K164" s="1">
        <v>81</v>
      </c>
      <c r="L164" s="1">
        <v>18</v>
      </c>
      <c r="M164" s="1">
        <v>21</v>
      </c>
      <c r="N164" s="1">
        <v>32</v>
      </c>
      <c r="O164" s="1">
        <v>29</v>
      </c>
      <c r="P164" s="1">
        <v>33</v>
      </c>
      <c r="Q164" s="1">
        <v>49</v>
      </c>
      <c r="R164" s="1">
        <v>18</v>
      </c>
      <c r="S164" s="1">
        <v>66</v>
      </c>
      <c r="T164" s="1">
        <v>29</v>
      </c>
      <c r="U164" s="1">
        <v>52</v>
      </c>
      <c r="V164" s="1">
        <v>71</v>
      </c>
      <c r="W164" s="1">
        <v>22</v>
      </c>
      <c r="X164" s="1">
        <v>47</v>
      </c>
      <c r="Y164" s="1">
        <v>53</v>
      </c>
      <c r="Z164" s="1">
        <v>20</v>
      </c>
      <c r="AA164" s="1">
        <v>46</v>
      </c>
      <c r="AB164" s="1">
        <v>79</v>
      </c>
      <c r="AC164" s="1">
        <v>110</v>
      </c>
      <c r="AD164" s="1">
        <v>29</v>
      </c>
      <c r="AE164" s="1">
        <v>66</v>
      </c>
      <c r="AF164" s="18">
        <f t="shared" si="2"/>
        <v>48.233333333333334</v>
      </c>
    </row>
    <row r="165" spans="1:32" x14ac:dyDescent="0.35">
      <c r="A165" s="1" t="s">
        <v>126</v>
      </c>
      <c r="B165" s="1">
        <v>19</v>
      </c>
      <c r="C165" s="1">
        <v>104</v>
      </c>
      <c r="D165" s="1">
        <v>296</v>
      </c>
      <c r="E165" s="1">
        <v>37</v>
      </c>
      <c r="F165" s="1">
        <v>51</v>
      </c>
      <c r="G165" s="1">
        <v>91</v>
      </c>
      <c r="H165" s="1">
        <v>56</v>
      </c>
      <c r="I165" s="1">
        <v>16</v>
      </c>
      <c r="J165" s="1">
        <v>16</v>
      </c>
      <c r="K165" s="1">
        <v>15</v>
      </c>
      <c r="L165" s="1">
        <v>100</v>
      </c>
      <c r="M165" s="1">
        <v>31</v>
      </c>
      <c r="N165" s="1">
        <v>47</v>
      </c>
      <c r="O165" s="1">
        <v>21</v>
      </c>
      <c r="P165" s="1">
        <v>42</v>
      </c>
      <c r="Q165" s="1">
        <v>24</v>
      </c>
      <c r="R165" s="1">
        <v>75</v>
      </c>
      <c r="S165" s="1">
        <v>23</v>
      </c>
      <c r="T165" s="1">
        <v>36</v>
      </c>
      <c r="U165" s="1">
        <v>99</v>
      </c>
      <c r="V165" s="1">
        <v>49</v>
      </c>
      <c r="W165" s="1">
        <v>78</v>
      </c>
      <c r="X165" s="1">
        <v>22</v>
      </c>
      <c r="Y165" s="1">
        <v>38</v>
      </c>
      <c r="Z165" s="1">
        <v>57</v>
      </c>
      <c r="AA165" s="1">
        <v>16</v>
      </c>
      <c r="AB165" s="1">
        <v>16</v>
      </c>
      <c r="AC165" s="1">
        <v>13</v>
      </c>
      <c r="AD165" s="1">
        <v>39</v>
      </c>
      <c r="AE165" s="1">
        <v>79</v>
      </c>
      <c r="AF165" s="18">
        <f t="shared" si="2"/>
        <v>53.533333333333331</v>
      </c>
    </row>
    <row r="166" spans="1:32" x14ac:dyDescent="0.35">
      <c r="A166" s="1" t="s">
        <v>127</v>
      </c>
      <c r="B166" s="1">
        <v>147</v>
      </c>
      <c r="C166" s="1">
        <v>27</v>
      </c>
      <c r="D166" s="1">
        <v>33</v>
      </c>
      <c r="E166" s="1">
        <v>79</v>
      </c>
      <c r="F166" s="1">
        <v>84</v>
      </c>
      <c r="G166" s="1">
        <v>231</v>
      </c>
      <c r="H166" s="1">
        <v>163</v>
      </c>
      <c r="I166" s="1">
        <v>154</v>
      </c>
      <c r="J166" s="1">
        <v>34</v>
      </c>
      <c r="K166" s="1">
        <v>87</v>
      </c>
      <c r="L166" s="1">
        <v>13</v>
      </c>
      <c r="M166" s="1">
        <v>179</v>
      </c>
      <c r="N166" s="1">
        <v>26</v>
      </c>
      <c r="O166" s="1">
        <v>30</v>
      </c>
      <c r="P166" s="1">
        <v>15</v>
      </c>
      <c r="Q166" s="1">
        <v>12</v>
      </c>
      <c r="R166" s="1">
        <v>19</v>
      </c>
      <c r="S166" s="1">
        <v>216</v>
      </c>
      <c r="T166" s="1">
        <v>119</v>
      </c>
      <c r="U166" s="1">
        <v>31</v>
      </c>
      <c r="V166" s="1">
        <v>90</v>
      </c>
      <c r="W166" s="1">
        <v>28</v>
      </c>
      <c r="X166" s="1">
        <v>12</v>
      </c>
      <c r="Y166" s="1">
        <v>48</v>
      </c>
      <c r="Z166" s="1">
        <v>48</v>
      </c>
      <c r="AA166" s="1">
        <v>48</v>
      </c>
      <c r="AB166" s="1">
        <v>94</v>
      </c>
      <c r="AC166" s="1">
        <v>42</v>
      </c>
      <c r="AD166" s="1">
        <v>18</v>
      </c>
      <c r="AE166" s="1">
        <v>38</v>
      </c>
      <c r="AF166" s="18">
        <f t="shared" si="2"/>
        <v>72.166666666666671</v>
      </c>
    </row>
    <row r="167" spans="1:32" x14ac:dyDescent="0.35">
      <c r="A167" s="1" t="s">
        <v>128</v>
      </c>
      <c r="B167" s="1">
        <v>142</v>
      </c>
      <c r="C167" s="1">
        <v>84</v>
      </c>
      <c r="D167" s="1">
        <v>31</v>
      </c>
      <c r="E167" s="1">
        <v>20</v>
      </c>
      <c r="F167" s="1">
        <v>28</v>
      </c>
      <c r="G167" s="1">
        <v>41</v>
      </c>
      <c r="H167" s="1">
        <v>68</v>
      </c>
      <c r="I167" s="1">
        <v>29</v>
      </c>
      <c r="J167" s="1">
        <v>15</v>
      </c>
      <c r="K167" s="1">
        <v>180</v>
      </c>
      <c r="L167" s="1">
        <v>43</v>
      </c>
      <c r="M167" s="1">
        <v>45</v>
      </c>
      <c r="N167" s="1">
        <v>28</v>
      </c>
      <c r="O167" s="1">
        <v>13</v>
      </c>
      <c r="P167" s="1">
        <v>97</v>
      </c>
      <c r="Q167" s="1">
        <v>42</v>
      </c>
      <c r="R167" s="1">
        <v>27</v>
      </c>
      <c r="S167" s="1">
        <v>116</v>
      </c>
      <c r="T167" s="1">
        <v>48</v>
      </c>
      <c r="U167" s="1">
        <v>41</v>
      </c>
      <c r="V167" s="1">
        <v>66</v>
      </c>
      <c r="W167" s="1">
        <v>37</v>
      </c>
      <c r="X167" s="1">
        <v>13</v>
      </c>
      <c r="Y167" s="1">
        <v>32</v>
      </c>
      <c r="Z167" s="1">
        <v>23</v>
      </c>
      <c r="AA167" s="1">
        <v>23</v>
      </c>
      <c r="AB167" s="1">
        <v>106</v>
      </c>
      <c r="AC167" s="1">
        <v>229</v>
      </c>
      <c r="AD167" s="1">
        <v>45</v>
      </c>
      <c r="AE167" s="1">
        <v>16</v>
      </c>
      <c r="AF167" s="18">
        <f t="shared" si="2"/>
        <v>57.6</v>
      </c>
    </row>
    <row r="168" spans="1:32" x14ac:dyDescent="0.35">
      <c r="A168" s="1" t="s">
        <v>156</v>
      </c>
      <c r="B168" s="1">
        <v>29</v>
      </c>
      <c r="C168" s="1">
        <v>21</v>
      </c>
      <c r="D168" s="1">
        <v>75</v>
      </c>
      <c r="E168" s="1">
        <v>92</v>
      </c>
      <c r="F168" s="1">
        <v>121</v>
      </c>
      <c r="G168" s="1">
        <v>16</v>
      </c>
      <c r="H168" s="1">
        <v>12</v>
      </c>
      <c r="I168" s="1">
        <v>31</v>
      </c>
      <c r="J168" s="1">
        <v>27</v>
      </c>
      <c r="K168" s="1">
        <v>59</v>
      </c>
      <c r="L168" s="1">
        <v>43</v>
      </c>
      <c r="M168" s="1">
        <v>94</v>
      </c>
      <c r="N168" s="1">
        <v>124</v>
      </c>
      <c r="O168" s="1">
        <v>46</v>
      </c>
      <c r="P168" s="1">
        <v>100</v>
      </c>
      <c r="Q168" s="1">
        <v>32</v>
      </c>
      <c r="R168" s="1">
        <v>52</v>
      </c>
      <c r="S168" s="1">
        <v>68</v>
      </c>
      <c r="T168" s="1">
        <v>35</v>
      </c>
      <c r="U168" s="1">
        <v>37</v>
      </c>
      <c r="V168" s="1">
        <v>85</v>
      </c>
      <c r="W168" s="1">
        <v>111</v>
      </c>
      <c r="X168" s="1">
        <v>18</v>
      </c>
      <c r="Y168" s="1">
        <v>29</v>
      </c>
      <c r="Z168" s="1">
        <v>20</v>
      </c>
      <c r="AA168" s="1">
        <v>47</v>
      </c>
      <c r="AB168" s="1">
        <v>13</v>
      </c>
      <c r="AC168" s="1">
        <v>62</v>
      </c>
      <c r="AD168" s="1">
        <v>28</v>
      </c>
      <c r="AE168" s="1">
        <v>91</v>
      </c>
      <c r="AF168" s="18">
        <f t="shared" si="2"/>
        <v>53.93333333333333</v>
      </c>
    </row>
    <row r="169" spans="1:32" x14ac:dyDescent="0.35">
      <c r="A169" s="1" t="s">
        <v>129</v>
      </c>
      <c r="B169" s="1">
        <v>18</v>
      </c>
      <c r="C169" s="1">
        <v>97</v>
      </c>
      <c r="D169" s="1">
        <v>28</v>
      </c>
      <c r="E169" s="1">
        <v>14</v>
      </c>
      <c r="F169" s="1">
        <v>16</v>
      </c>
      <c r="G169" s="1">
        <v>143</v>
      </c>
      <c r="H169" s="1">
        <v>32</v>
      </c>
      <c r="I169" s="1">
        <v>50</v>
      </c>
      <c r="J169" s="1">
        <v>18</v>
      </c>
      <c r="K169" s="1">
        <v>23</v>
      </c>
      <c r="L169" s="1">
        <v>73</v>
      </c>
      <c r="M169" s="1">
        <v>22</v>
      </c>
      <c r="N169" s="1">
        <v>59</v>
      </c>
      <c r="O169" s="1">
        <v>51</v>
      </c>
      <c r="P169" s="1">
        <v>15</v>
      </c>
      <c r="Q169" s="1">
        <v>12</v>
      </c>
      <c r="R169" s="1">
        <v>66</v>
      </c>
      <c r="S169" s="1">
        <v>27</v>
      </c>
      <c r="T169" s="1">
        <v>15</v>
      </c>
      <c r="U169" s="1">
        <v>30</v>
      </c>
      <c r="V169" s="1">
        <v>33</v>
      </c>
      <c r="W169" s="1">
        <v>12</v>
      </c>
      <c r="X169" s="1">
        <v>31</v>
      </c>
      <c r="Y169" s="1">
        <v>15</v>
      </c>
      <c r="Z169" s="1">
        <v>16</v>
      </c>
      <c r="AA169" s="1">
        <v>30</v>
      </c>
      <c r="AB169" s="1">
        <v>19</v>
      </c>
      <c r="AC169" s="1">
        <v>30</v>
      </c>
      <c r="AD169" s="1">
        <v>25</v>
      </c>
      <c r="AE169" s="1">
        <v>39</v>
      </c>
      <c r="AF169" s="18">
        <f t="shared" si="2"/>
        <v>35.299999999999997</v>
      </c>
    </row>
    <row r="170" spans="1:32" x14ac:dyDescent="0.35">
      <c r="A170" s="1" t="s">
        <v>130</v>
      </c>
      <c r="B170" s="1">
        <v>76</v>
      </c>
      <c r="C170" s="1">
        <v>143</v>
      </c>
      <c r="D170" s="1">
        <v>73</v>
      </c>
      <c r="E170" s="1">
        <v>29</v>
      </c>
      <c r="F170" s="1">
        <v>20</v>
      </c>
      <c r="G170" s="1">
        <v>136</v>
      </c>
      <c r="H170" s="1">
        <v>23</v>
      </c>
      <c r="I170" s="1">
        <v>265</v>
      </c>
      <c r="J170" s="1">
        <v>32</v>
      </c>
      <c r="K170" s="1">
        <v>38</v>
      </c>
      <c r="L170" s="1">
        <v>124</v>
      </c>
      <c r="M170" s="1">
        <v>85</v>
      </c>
      <c r="N170" s="1">
        <v>44</v>
      </c>
      <c r="O170" s="1">
        <v>88</v>
      </c>
      <c r="P170" s="1">
        <v>65</v>
      </c>
      <c r="Q170" s="1">
        <v>18</v>
      </c>
      <c r="R170" s="1">
        <v>38</v>
      </c>
      <c r="S170" s="1">
        <v>280</v>
      </c>
      <c r="T170" s="1">
        <v>191</v>
      </c>
      <c r="U170" s="1">
        <v>36</v>
      </c>
      <c r="V170" s="1">
        <v>37</v>
      </c>
      <c r="W170" s="1">
        <v>77</v>
      </c>
      <c r="X170" s="1">
        <v>31</v>
      </c>
      <c r="Y170" s="1">
        <v>23</v>
      </c>
      <c r="Z170" s="1">
        <v>16</v>
      </c>
      <c r="AA170" s="1">
        <v>310</v>
      </c>
      <c r="AB170" s="1">
        <v>49</v>
      </c>
      <c r="AC170" s="1">
        <v>130</v>
      </c>
      <c r="AD170" s="1">
        <v>35</v>
      </c>
      <c r="AE170" s="1">
        <v>19</v>
      </c>
      <c r="AF170" s="18">
        <f t="shared" si="2"/>
        <v>84.36666666666666</v>
      </c>
    </row>
    <row r="171" spans="1:32" x14ac:dyDescent="0.35">
      <c r="A171" s="1" t="s">
        <v>192</v>
      </c>
      <c r="B171" s="1">
        <v>48</v>
      </c>
      <c r="C171" s="1">
        <v>27</v>
      </c>
      <c r="D171" s="1">
        <v>19</v>
      </c>
      <c r="E171" s="1">
        <v>35</v>
      </c>
      <c r="F171" s="1">
        <v>39</v>
      </c>
      <c r="G171" s="1">
        <v>32</v>
      </c>
      <c r="H171" s="1">
        <v>33</v>
      </c>
      <c r="I171" s="1">
        <v>52</v>
      </c>
      <c r="J171" s="1">
        <v>48</v>
      </c>
      <c r="K171" s="1">
        <v>34</v>
      </c>
      <c r="L171" s="1">
        <v>118</v>
      </c>
      <c r="M171" s="1">
        <v>50</v>
      </c>
      <c r="N171" s="1">
        <v>92</v>
      </c>
      <c r="O171" s="1">
        <v>16</v>
      </c>
      <c r="P171" s="1">
        <v>69</v>
      </c>
      <c r="Q171" s="1">
        <v>19</v>
      </c>
      <c r="R171" s="1">
        <v>15</v>
      </c>
      <c r="S171" s="1">
        <v>22</v>
      </c>
      <c r="T171" s="1">
        <v>36</v>
      </c>
      <c r="U171" s="1">
        <v>26</v>
      </c>
      <c r="V171" s="1">
        <v>101</v>
      </c>
      <c r="W171" s="1">
        <v>43</v>
      </c>
      <c r="X171" s="1">
        <v>14</v>
      </c>
      <c r="Y171" s="1">
        <v>58</v>
      </c>
      <c r="Z171" s="1">
        <v>24</v>
      </c>
      <c r="AA171" s="1">
        <v>14</v>
      </c>
      <c r="AB171" s="1">
        <v>17</v>
      </c>
      <c r="AC171" s="1">
        <v>19</v>
      </c>
      <c r="AD171" s="1">
        <v>73</v>
      </c>
      <c r="AE171" s="1">
        <v>12</v>
      </c>
      <c r="AF171" s="18">
        <f t="shared" si="2"/>
        <v>40.166666666666664</v>
      </c>
    </row>
    <row r="172" spans="1:32" x14ac:dyDescent="0.35">
      <c r="A172" s="1" t="s">
        <v>131</v>
      </c>
      <c r="B172" s="1">
        <v>23</v>
      </c>
      <c r="C172" s="1">
        <v>59</v>
      </c>
      <c r="D172" s="1">
        <v>32</v>
      </c>
      <c r="E172" s="1">
        <v>42</v>
      </c>
      <c r="F172" s="1">
        <v>83</v>
      </c>
      <c r="G172" s="1">
        <v>24</v>
      </c>
      <c r="H172" s="1">
        <v>59</v>
      </c>
      <c r="I172" s="1">
        <v>35</v>
      </c>
      <c r="J172" s="1">
        <v>26</v>
      </c>
      <c r="K172" s="1">
        <v>126</v>
      </c>
      <c r="L172" s="1">
        <v>14</v>
      </c>
      <c r="M172" s="1">
        <v>35</v>
      </c>
      <c r="N172" s="1">
        <v>20</v>
      </c>
      <c r="O172" s="1">
        <v>148</v>
      </c>
      <c r="P172" s="1">
        <v>49</v>
      </c>
      <c r="Q172" s="1">
        <v>29</v>
      </c>
      <c r="R172" s="1">
        <v>12</v>
      </c>
      <c r="S172" s="1">
        <v>20</v>
      </c>
      <c r="T172" s="1">
        <v>17</v>
      </c>
      <c r="U172" s="1">
        <v>143</v>
      </c>
      <c r="V172" s="1">
        <v>18</v>
      </c>
      <c r="W172" s="1">
        <v>61</v>
      </c>
      <c r="X172" s="1">
        <v>59</v>
      </c>
      <c r="Y172" s="1">
        <v>13</v>
      </c>
      <c r="Z172" s="1">
        <v>51</v>
      </c>
      <c r="AA172" s="1">
        <v>40</v>
      </c>
      <c r="AB172" s="1">
        <v>34</v>
      </c>
      <c r="AC172" s="1">
        <v>21</v>
      </c>
      <c r="AD172" s="1">
        <v>24</v>
      </c>
      <c r="AE172" s="1">
        <v>25</v>
      </c>
      <c r="AF172" s="18">
        <f t="shared" si="2"/>
        <v>44.733333333333334</v>
      </c>
    </row>
    <row r="173" spans="1:32" x14ac:dyDescent="0.35">
      <c r="A173" s="1" t="s">
        <v>132</v>
      </c>
      <c r="B173" s="1">
        <v>41</v>
      </c>
      <c r="C173" s="1">
        <v>17</v>
      </c>
      <c r="D173" s="1">
        <v>32</v>
      </c>
      <c r="E173" s="1">
        <v>41</v>
      </c>
      <c r="F173" s="1">
        <v>46</v>
      </c>
      <c r="G173" s="1">
        <v>29</v>
      </c>
      <c r="H173" s="1">
        <v>27</v>
      </c>
      <c r="I173" s="1">
        <v>16</v>
      </c>
      <c r="J173" s="1">
        <v>54</v>
      </c>
      <c r="K173" s="1">
        <v>12</v>
      </c>
      <c r="L173" s="1">
        <v>13</v>
      </c>
      <c r="M173" s="1">
        <v>20</v>
      </c>
      <c r="N173" s="1">
        <v>43</v>
      </c>
      <c r="O173" s="1">
        <v>27</v>
      </c>
      <c r="P173" s="1">
        <v>16</v>
      </c>
      <c r="Q173" s="1">
        <v>65</v>
      </c>
      <c r="R173" s="1">
        <v>44</v>
      </c>
      <c r="S173" s="1">
        <v>24</v>
      </c>
      <c r="T173" s="1">
        <v>12</v>
      </c>
      <c r="U173" s="1">
        <v>25</v>
      </c>
      <c r="V173" s="1">
        <v>16</v>
      </c>
      <c r="W173" s="1">
        <v>13</v>
      </c>
      <c r="X173" s="1">
        <v>20</v>
      </c>
      <c r="Y173" s="1">
        <v>24</v>
      </c>
      <c r="Z173" s="1">
        <v>24</v>
      </c>
      <c r="AA173" s="1">
        <v>23</v>
      </c>
      <c r="AB173" s="1">
        <v>43</v>
      </c>
      <c r="AC173" s="1">
        <v>43</v>
      </c>
      <c r="AD173" s="1">
        <v>37</v>
      </c>
      <c r="AE173" s="1">
        <v>21</v>
      </c>
      <c r="AF173" s="18">
        <f t="shared" si="2"/>
        <v>28.933333333333334</v>
      </c>
    </row>
    <row r="174" spans="1:32" x14ac:dyDescent="0.35">
      <c r="A174" s="1" t="s">
        <v>133</v>
      </c>
      <c r="B174" s="1">
        <v>14</v>
      </c>
      <c r="C174" s="1">
        <v>30</v>
      </c>
      <c r="D174" s="1">
        <v>68</v>
      </c>
      <c r="E174" s="1">
        <v>34</v>
      </c>
      <c r="F174" s="1">
        <v>52</v>
      </c>
      <c r="G174" s="1">
        <v>77</v>
      </c>
      <c r="H174" s="1">
        <v>38</v>
      </c>
      <c r="I174" s="1">
        <v>12</v>
      </c>
      <c r="J174" s="1">
        <v>52</v>
      </c>
      <c r="K174" s="1">
        <v>61</v>
      </c>
      <c r="L174" s="1">
        <v>106</v>
      </c>
      <c r="M174" s="1">
        <v>27</v>
      </c>
      <c r="N174" s="1">
        <v>112</v>
      </c>
      <c r="O174" s="1">
        <v>47</v>
      </c>
      <c r="P174" s="1">
        <v>67</v>
      </c>
      <c r="Q174" s="1">
        <v>56</v>
      </c>
      <c r="R174" s="1">
        <v>83</v>
      </c>
      <c r="S174" s="1">
        <v>145</v>
      </c>
      <c r="T174" s="1">
        <v>30</v>
      </c>
      <c r="U174" s="1">
        <v>98</v>
      </c>
      <c r="V174" s="1">
        <v>13</v>
      </c>
      <c r="W174" s="1">
        <v>14</v>
      </c>
      <c r="X174" s="1">
        <v>32</v>
      </c>
      <c r="Y174" s="1">
        <v>22</v>
      </c>
      <c r="Z174" s="1">
        <v>35</v>
      </c>
      <c r="AA174" s="1">
        <v>43</v>
      </c>
      <c r="AB174" s="1">
        <v>40</v>
      </c>
      <c r="AC174" s="1">
        <v>16</v>
      </c>
      <c r="AD174" s="1">
        <v>82</v>
      </c>
      <c r="AE174" s="1">
        <v>57</v>
      </c>
      <c r="AF174" s="18">
        <f t="shared" si="2"/>
        <v>52.1</v>
      </c>
    </row>
    <row r="175" spans="1:32" x14ac:dyDescent="0.35">
      <c r="A175" s="1" t="s">
        <v>134</v>
      </c>
      <c r="B175" s="1">
        <v>21</v>
      </c>
      <c r="C175" s="1">
        <v>51</v>
      </c>
      <c r="D175" s="1">
        <v>19</v>
      </c>
      <c r="E175" s="1">
        <v>64</v>
      </c>
      <c r="F175" s="1">
        <v>45</v>
      </c>
      <c r="G175" s="1">
        <v>13</v>
      </c>
      <c r="H175" s="1">
        <v>17</v>
      </c>
      <c r="I175" s="1">
        <v>43</v>
      </c>
      <c r="J175" s="1">
        <v>38</v>
      </c>
      <c r="K175" s="1">
        <v>16</v>
      </c>
      <c r="L175" s="1">
        <v>58</v>
      </c>
      <c r="M175" s="1">
        <v>19</v>
      </c>
      <c r="N175" s="1">
        <v>29</v>
      </c>
      <c r="O175" s="1">
        <v>20</v>
      </c>
      <c r="P175" s="1">
        <v>47</v>
      </c>
      <c r="Q175" s="1">
        <v>14</v>
      </c>
      <c r="R175" s="1">
        <v>66</v>
      </c>
      <c r="S175" s="1">
        <v>17</v>
      </c>
      <c r="T175" s="1">
        <v>87</v>
      </c>
      <c r="U175" s="1">
        <v>23</v>
      </c>
      <c r="V175" s="1">
        <v>34</v>
      </c>
      <c r="W175" s="1">
        <v>26</v>
      </c>
      <c r="X175" s="1">
        <v>32</v>
      </c>
      <c r="Y175" s="1">
        <v>12</v>
      </c>
      <c r="Z175" s="1">
        <v>23</v>
      </c>
      <c r="AA175" s="1">
        <v>48</v>
      </c>
      <c r="AB175" s="1">
        <v>36</v>
      </c>
      <c r="AC175" s="1">
        <v>21</v>
      </c>
      <c r="AD175" s="1">
        <v>13</v>
      </c>
      <c r="AE175" s="1">
        <v>22</v>
      </c>
      <c r="AF175" s="18">
        <f t="shared" si="2"/>
        <v>32.466666666666669</v>
      </c>
    </row>
    <row r="176" spans="1:32" x14ac:dyDescent="0.35">
      <c r="A176" s="1" t="s">
        <v>135</v>
      </c>
      <c r="B176" s="1">
        <v>73</v>
      </c>
      <c r="C176" s="1">
        <v>36</v>
      </c>
      <c r="D176" s="1">
        <v>117</v>
      </c>
      <c r="E176" s="1">
        <v>33</v>
      </c>
      <c r="F176" s="1">
        <v>34</v>
      </c>
      <c r="G176" s="1">
        <v>21</v>
      </c>
      <c r="H176" s="1">
        <v>38</v>
      </c>
      <c r="I176" s="1">
        <v>215</v>
      </c>
      <c r="J176" s="1">
        <v>39</v>
      </c>
      <c r="K176" s="1">
        <v>57</v>
      </c>
      <c r="L176" s="1">
        <v>154</v>
      </c>
      <c r="M176" s="1">
        <v>40</v>
      </c>
      <c r="N176" s="1">
        <v>15</v>
      </c>
      <c r="O176" s="1">
        <v>132</v>
      </c>
      <c r="P176" s="1">
        <v>118</v>
      </c>
      <c r="Q176" s="1">
        <v>112</v>
      </c>
      <c r="R176" s="1">
        <v>45</v>
      </c>
      <c r="S176" s="1">
        <v>135</v>
      </c>
      <c r="T176" s="1">
        <v>72</v>
      </c>
      <c r="U176" s="1">
        <v>75</v>
      </c>
      <c r="V176" s="1">
        <v>73</v>
      </c>
      <c r="W176" s="1">
        <v>31</v>
      </c>
      <c r="X176" s="1">
        <v>72</v>
      </c>
      <c r="Y176" s="1">
        <v>43</v>
      </c>
      <c r="Z176" s="1">
        <v>50</v>
      </c>
      <c r="AA176" s="1">
        <v>45</v>
      </c>
      <c r="AB176" s="1">
        <v>45</v>
      </c>
      <c r="AC176" s="1">
        <v>71</v>
      </c>
      <c r="AD176" s="1">
        <v>56</v>
      </c>
      <c r="AE176" s="1">
        <v>73</v>
      </c>
      <c r="AF176" s="18">
        <f t="shared" si="2"/>
        <v>70.666666666666671</v>
      </c>
    </row>
    <row r="177" spans="1:32" x14ac:dyDescent="0.35">
      <c r="A177" s="1" t="s">
        <v>162</v>
      </c>
      <c r="B177" s="1">
        <v>59</v>
      </c>
      <c r="C177" s="1">
        <v>81</v>
      </c>
      <c r="D177" s="1">
        <v>31</v>
      </c>
      <c r="E177" s="1">
        <v>130</v>
      </c>
      <c r="F177" s="1">
        <v>20</v>
      </c>
      <c r="G177" s="1">
        <v>19</v>
      </c>
      <c r="H177" s="1">
        <v>23</v>
      </c>
      <c r="I177" s="1">
        <v>17</v>
      </c>
      <c r="J177" s="1">
        <v>120</v>
      </c>
      <c r="K177" s="1">
        <v>70</v>
      </c>
      <c r="L177" s="1">
        <v>15</v>
      </c>
      <c r="M177" s="1">
        <v>78</v>
      </c>
      <c r="N177" s="1">
        <v>133</v>
      </c>
      <c r="O177" s="1">
        <v>65</v>
      </c>
      <c r="P177" s="1">
        <v>255</v>
      </c>
      <c r="Q177" s="1">
        <v>36</v>
      </c>
      <c r="R177" s="1">
        <v>99</v>
      </c>
      <c r="S177" s="1">
        <v>53</v>
      </c>
      <c r="T177" s="1">
        <v>51</v>
      </c>
      <c r="U177" s="1">
        <v>13</v>
      </c>
      <c r="V177" s="1">
        <v>36</v>
      </c>
      <c r="W177" s="1">
        <v>144</v>
      </c>
      <c r="X177" s="1">
        <v>36</v>
      </c>
      <c r="Y177" s="1">
        <v>36</v>
      </c>
      <c r="Z177" s="1">
        <v>17</v>
      </c>
      <c r="AA177" s="1">
        <v>52</v>
      </c>
      <c r="AB177" s="1">
        <v>132</v>
      </c>
      <c r="AC177" s="1">
        <v>79</v>
      </c>
      <c r="AD177" s="1">
        <v>55</v>
      </c>
      <c r="AE177" s="1">
        <v>28</v>
      </c>
      <c r="AF177" s="18">
        <f t="shared" si="2"/>
        <v>66.099999999999994</v>
      </c>
    </row>
    <row r="178" spans="1:32" x14ac:dyDescent="0.35">
      <c r="A178" s="1" t="s">
        <v>136</v>
      </c>
      <c r="B178" s="1">
        <v>17</v>
      </c>
      <c r="C178" s="1">
        <v>39</v>
      </c>
      <c r="D178" s="1">
        <v>30</v>
      </c>
      <c r="E178" s="1">
        <v>14</v>
      </c>
      <c r="F178" s="1">
        <v>30</v>
      </c>
      <c r="G178" s="1">
        <v>45</v>
      </c>
      <c r="H178" s="1">
        <v>20</v>
      </c>
      <c r="I178" s="1">
        <v>26</v>
      </c>
      <c r="J178" s="1">
        <v>27</v>
      </c>
      <c r="K178" s="1">
        <v>68</v>
      </c>
      <c r="L178" s="1">
        <v>51</v>
      </c>
      <c r="M178" s="1">
        <v>25</v>
      </c>
      <c r="N178" s="1">
        <v>71</v>
      </c>
      <c r="O178" s="1">
        <v>60</v>
      </c>
      <c r="P178" s="1">
        <v>16</v>
      </c>
      <c r="Q178" s="1">
        <v>44</v>
      </c>
      <c r="R178" s="1">
        <v>87</v>
      </c>
      <c r="S178" s="1">
        <v>51</v>
      </c>
      <c r="T178" s="1">
        <v>64</v>
      </c>
      <c r="U178" s="1">
        <v>42</v>
      </c>
      <c r="V178" s="1">
        <v>27</v>
      </c>
      <c r="W178" s="1">
        <v>16</v>
      </c>
      <c r="X178" s="1">
        <v>36</v>
      </c>
      <c r="Y178" s="1">
        <v>45</v>
      </c>
      <c r="Z178" s="1">
        <v>26</v>
      </c>
      <c r="AA178" s="1">
        <v>19</v>
      </c>
      <c r="AB178" s="1">
        <v>24</v>
      </c>
      <c r="AC178" s="1">
        <v>35</v>
      </c>
      <c r="AD178" s="1">
        <v>28</v>
      </c>
      <c r="AE178" s="1">
        <v>14</v>
      </c>
      <c r="AF178" s="18">
        <f t="shared" si="2"/>
        <v>36.56666666666667</v>
      </c>
    </row>
    <row r="179" spans="1:32" x14ac:dyDescent="0.35">
      <c r="A179" s="1" t="s">
        <v>142</v>
      </c>
      <c r="B179" s="1">
        <v>41</v>
      </c>
      <c r="C179" s="1">
        <v>55</v>
      </c>
      <c r="D179" s="1">
        <v>26</v>
      </c>
      <c r="E179" s="1">
        <v>114</v>
      </c>
      <c r="F179" s="1">
        <v>16</v>
      </c>
      <c r="G179" s="1">
        <v>19</v>
      </c>
      <c r="H179" s="1">
        <v>40</v>
      </c>
      <c r="I179" s="1">
        <v>39</v>
      </c>
      <c r="J179" s="1">
        <v>50</v>
      </c>
      <c r="K179" s="1">
        <v>64</v>
      </c>
      <c r="L179" s="1">
        <v>34</v>
      </c>
      <c r="M179" s="1">
        <v>67</v>
      </c>
      <c r="N179" s="1">
        <v>37</v>
      </c>
      <c r="O179" s="1">
        <v>12</v>
      </c>
      <c r="P179" s="1">
        <v>36</v>
      </c>
      <c r="Q179" s="1">
        <v>114</v>
      </c>
      <c r="R179" s="1">
        <v>21</v>
      </c>
      <c r="S179" s="1">
        <v>128</v>
      </c>
      <c r="T179" s="1">
        <v>39</v>
      </c>
      <c r="U179" s="1">
        <v>16</v>
      </c>
      <c r="V179" s="1">
        <v>31</v>
      </c>
      <c r="W179" s="1">
        <v>88</v>
      </c>
      <c r="X179" s="1">
        <v>111</v>
      </c>
      <c r="Y179" s="1">
        <v>34</v>
      </c>
      <c r="Z179" s="1">
        <v>14</v>
      </c>
      <c r="AA179" s="1">
        <v>19</v>
      </c>
      <c r="AB179" s="1">
        <v>34</v>
      </c>
      <c r="AC179" s="1">
        <v>12</v>
      </c>
      <c r="AD179" s="1">
        <v>50</v>
      </c>
      <c r="AE179" s="1">
        <v>18</v>
      </c>
      <c r="AF179" s="18">
        <f t="shared" si="2"/>
        <v>45.966666666666669</v>
      </c>
    </row>
    <row r="180" spans="1:32" x14ac:dyDescent="0.35">
      <c r="A180" s="1" t="s">
        <v>137</v>
      </c>
      <c r="B180" s="1">
        <v>90</v>
      </c>
      <c r="C180" s="1">
        <v>36</v>
      </c>
      <c r="D180" s="1">
        <v>93</v>
      </c>
      <c r="E180" s="1">
        <v>19</v>
      </c>
      <c r="F180" s="1">
        <v>64</v>
      </c>
      <c r="G180" s="1">
        <v>22</v>
      </c>
      <c r="H180" s="1">
        <v>92</v>
      </c>
      <c r="I180" s="1">
        <v>57</v>
      </c>
      <c r="J180" s="1">
        <v>201</v>
      </c>
      <c r="K180" s="1">
        <v>33</v>
      </c>
      <c r="L180" s="1">
        <v>61</v>
      </c>
      <c r="M180" s="1">
        <v>25</v>
      </c>
      <c r="N180" s="1">
        <v>146</v>
      </c>
      <c r="O180" s="1">
        <v>142</v>
      </c>
      <c r="P180" s="1">
        <v>154</v>
      </c>
      <c r="Q180" s="1">
        <v>90</v>
      </c>
      <c r="R180" s="1">
        <v>73</v>
      </c>
      <c r="S180" s="1">
        <v>88</v>
      </c>
      <c r="T180" s="1">
        <v>49</v>
      </c>
      <c r="U180" s="1">
        <v>20</v>
      </c>
      <c r="V180" s="1">
        <v>66</v>
      </c>
      <c r="W180" s="1">
        <v>12</v>
      </c>
      <c r="X180" s="1">
        <v>20</v>
      </c>
      <c r="Y180" s="1">
        <v>278</v>
      </c>
      <c r="Z180" s="1">
        <v>91</v>
      </c>
      <c r="AA180" s="1">
        <v>117</v>
      </c>
      <c r="AB180" s="1">
        <v>80</v>
      </c>
      <c r="AC180" s="1">
        <v>91</v>
      </c>
      <c r="AD180" s="1">
        <v>17</v>
      </c>
      <c r="AE180" s="1">
        <v>296</v>
      </c>
      <c r="AF180" s="18">
        <f t="shared" si="2"/>
        <v>87.433333333333337</v>
      </c>
    </row>
    <row r="181" spans="1:32" x14ac:dyDescent="0.35">
      <c r="A181" s="1" t="s">
        <v>138</v>
      </c>
      <c r="B181" s="1">
        <v>32</v>
      </c>
      <c r="C181" s="1">
        <v>82</v>
      </c>
      <c r="D181" s="1">
        <v>58</v>
      </c>
      <c r="E181" s="1">
        <v>23</v>
      </c>
      <c r="F181" s="1">
        <v>143</v>
      </c>
      <c r="G181" s="1">
        <v>29</v>
      </c>
      <c r="H181" s="1">
        <v>18</v>
      </c>
      <c r="I181" s="1">
        <v>86</v>
      </c>
      <c r="J181" s="1">
        <v>87</v>
      </c>
      <c r="K181" s="1">
        <v>101</v>
      </c>
      <c r="L181" s="1">
        <v>26</v>
      </c>
      <c r="M181" s="1">
        <v>66</v>
      </c>
      <c r="N181" s="1">
        <v>124</v>
      </c>
      <c r="O181" s="1">
        <v>34</v>
      </c>
      <c r="P181" s="1">
        <v>32</v>
      </c>
      <c r="Q181" s="1">
        <v>47</v>
      </c>
      <c r="R181" s="1">
        <v>171</v>
      </c>
      <c r="S181" s="1">
        <v>99</v>
      </c>
      <c r="T181" s="1">
        <v>21</v>
      </c>
      <c r="U181" s="1">
        <v>24</v>
      </c>
      <c r="V181" s="1">
        <v>28</v>
      </c>
      <c r="W181" s="1">
        <v>124</v>
      </c>
      <c r="X181" s="1">
        <v>375</v>
      </c>
      <c r="Y181" s="1">
        <v>88</v>
      </c>
      <c r="Z181" s="1">
        <v>12</v>
      </c>
      <c r="AA181" s="1">
        <v>25</v>
      </c>
      <c r="AB181" s="1">
        <v>122</v>
      </c>
      <c r="AC181" s="1">
        <v>68</v>
      </c>
      <c r="AD181" s="1">
        <v>82</v>
      </c>
      <c r="AE181" s="1">
        <v>205</v>
      </c>
      <c r="AF181" s="18">
        <f t="shared" si="2"/>
        <v>81.066666666666663</v>
      </c>
    </row>
    <row r="182" spans="1:32" x14ac:dyDescent="0.35">
      <c r="A182" s="1" t="s">
        <v>139</v>
      </c>
      <c r="B182" s="1">
        <v>40</v>
      </c>
      <c r="C182" s="1">
        <v>120</v>
      </c>
      <c r="D182" s="1">
        <v>24</v>
      </c>
      <c r="E182" s="1">
        <v>33</v>
      </c>
      <c r="F182" s="1">
        <v>118</v>
      </c>
      <c r="G182" s="1">
        <v>81</v>
      </c>
      <c r="H182" s="1">
        <v>59</v>
      </c>
      <c r="I182" s="1">
        <v>121</v>
      </c>
      <c r="J182" s="1">
        <v>67</v>
      </c>
      <c r="K182" s="1">
        <v>33</v>
      </c>
      <c r="L182" s="1">
        <v>83</v>
      </c>
      <c r="M182" s="1">
        <v>112</v>
      </c>
      <c r="N182" s="1">
        <v>256</v>
      </c>
      <c r="O182" s="1">
        <v>25</v>
      </c>
      <c r="P182" s="1">
        <v>184</v>
      </c>
      <c r="Q182" s="1">
        <v>47</v>
      </c>
      <c r="R182" s="1">
        <v>13</v>
      </c>
      <c r="S182" s="1">
        <v>71</v>
      </c>
      <c r="T182" s="1">
        <v>139</v>
      </c>
      <c r="U182" s="1">
        <v>77</v>
      </c>
      <c r="V182" s="1">
        <v>159</v>
      </c>
      <c r="W182" s="1">
        <v>23</v>
      </c>
      <c r="X182" s="1">
        <v>29</v>
      </c>
      <c r="Y182" s="1">
        <v>76</v>
      </c>
      <c r="Z182" s="1">
        <v>118</v>
      </c>
      <c r="AA182" s="1">
        <v>91</v>
      </c>
      <c r="AB182" s="1">
        <v>28</v>
      </c>
      <c r="AC182" s="1">
        <v>87</v>
      </c>
      <c r="AD182" s="1">
        <v>18</v>
      </c>
      <c r="AE182" s="1">
        <v>31</v>
      </c>
      <c r="AF182" s="18">
        <f t="shared" si="2"/>
        <v>78.766666666666666</v>
      </c>
    </row>
    <row r="183" spans="1:32" x14ac:dyDescent="0.35">
      <c r="A183" s="1" t="s">
        <v>140</v>
      </c>
      <c r="B183" s="1">
        <v>111</v>
      </c>
      <c r="C183" s="1">
        <v>27</v>
      </c>
      <c r="D183" s="1">
        <v>25</v>
      </c>
      <c r="E183" s="1">
        <v>68</v>
      </c>
      <c r="F183" s="1">
        <v>43</v>
      </c>
      <c r="G183" s="1">
        <v>47</v>
      </c>
      <c r="H183" s="1">
        <v>25</v>
      </c>
      <c r="I183" s="1">
        <v>52</v>
      </c>
      <c r="J183" s="1">
        <v>18</v>
      </c>
      <c r="K183" s="1">
        <v>41</v>
      </c>
      <c r="L183" s="1">
        <v>56</v>
      </c>
      <c r="M183" s="1">
        <v>85</v>
      </c>
      <c r="N183" s="1">
        <v>67</v>
      </c>
      <c r="O183" s="1">
        <v>89</v>
      </c>
      <c r="P183" s="1">
        <v>150</v>
      </c>
      <c r="Q183" s="1">
        <v>36</v>
      </c>
      <c r="R183" s="1">
        <v>65</v>
      </c>
      <c r="S183" s="1">
        <v>130</v>
      </c>
      <c r="T183" s="1">
        <v>42</v>
      </c>
      <c r="U183" s="1">
        <v>26</v>
      </c>
      <c r="V183" s="1">
        <v>26</v>
      </c>
      <c r="W183" s="1">
        <v>25</v>
      </c>
      <c r="X183" s="1">
        <v>63</v>
      </c>
      <c r="Y183" s="1">
        <v>29</v>
      </c>
      <c r="Z183" s="1">
        <v>14</v>
      </c>
      <c r="AA183" s="1">
        <v>30</v>
      </c>
      <c r="AB183" s="1">
        <v>56</v>
      </c>
      <c r="AC183" s="1">
        <v>34</v>
      </c>
      <c r="AD183" s="1">
        <v>30</v>
      </c>
      <c r="AE183" s="1">
        <v>15</v>
      </c>
      <c r="AF183" s="18">
        <f t="shared" si="2"/>
        <v>50.833333333333336</v>
      </c>
    </row>
    <row r="184" spans="1:32" x14ac:dyDescent="0.35">
      <c r="A184" s="1" t="s">
        <v>143</v>
      </c>
      <c r="B184" s="1">
        <v>12</v>
      </c>
      <c r="C184" s="1">
        <v>12</v>
      </c>
      <c r="D184" s="1">
        <v>24</v>
      </c>
      <c r="E184" s="1">
        <v>25</v>
      </c>
      <c r="F184" s="1">
        <v>216</v>
      </c>
      <c r="G184" s="1">
        <v>13</v>
      </c>
      <c r="H184" s="1">
        <v>29</v>
      </c>
      <c r="I184" s="1">
        <v>88</v>
      </c>
      <c r="J184" s="1">
        <v>34</v>
      </c>
      <c r="K184" s="1">
        <v>48</v>
      </c>
      <c r="L184" s="1">
        <v>72</v>
      </c>
      <c r="M184" s="1">
        <v>58</v>
      </c>
      <c r="N184" s="1">
        <v>19</v>
      </c>
      <c r="O184" s="1">
        <v>13</v>
      </c>
      <c r="P184" s="1">
        <v>112</v>
      </c>
      <c r="Q184" s="1">
        <v>25</v>
      </c>
      <c r="R184" s="1">
        <v>52</v>
      </c>
      <c r="S184" s="1">
        <v>43</v>
      </c>
      <c r="T184" s="1">
        <v>80</v>
      </c>
      <c r="U184" s="1">
        <v>64</v>
      </c>
      <c r="V184" s="1">
        <v>49</v>
      </c>
      <c r="W184" s="1">
        <v>94</v>
      </c>
      <c r="X184" s="1">
        <v>64</v>
      </c>
      <c r="Y184" s="1">
        <v>75</v>
      </c>
      <c r="Z184" s="1">
        <v>13</v>
      </c>
      <c r="AA184" s="1">
        <v>22</v>
      </c>
      <c r="AB184" s="1">
        <v>103</v>
      </c>
      <c r="AC184" s="1">
        <v>72</v>
      </c>
      <c r="AD184" s="1">
        <v>42</v>
      </c>
      <c r="AE184" s="1">
        <v>19</v>
      </c>
      <c r="AF184" s="18">
        <f t="shared" si="2"/>
        <v>53.06666666666667</v>
      </c>
    </row>
    <row r="185" spans="1:32" x14ac:dyDescent="0.35">
      <c r="A185" s="1" t="s">
        <v>144</v>
      </c>
      <c r="B185" s="1">
        <v>23</v>
      </c>
      <c r="C185" s="1">
        <v>55</v>
      </c>
      <c r="D185" s="1">
        <v>33</v>
      </c>
      <c r="E185" s="1">
        <v>18</v>
      </c>
      <c r="F185" s="1">
        <v>61</v>
      </c>
      <c r="G185" s="1">
        <v>99</v>
      </c>
      <c r="H185" s="1">
        <v>15</v>
      </c>
      <c r="I185" s="1">
        <v>40</v>
      </c>
      <c r="J185" s="1">
        <v>42</v>
      </c>
      <c r="K185" s="1">
        <v>23</v>
      </c>
      <c r="L185" s="1">
        <v>31</v>
      </c>
      <c r="M185" s="1">
        <v>103</v>
      </c>
      <c r="N185" s="1">
        <v>57</v>
      </c>
      <c r="O185" s="1">
        <v>12</v>
      </c>
      <c r="P185" s="1">
        <v>15</v>
      </c>
      <c r="Q185" s="1">
        <v>88</v>
      </c>
      <c r="R185" s="1">
        <v>44</v>
      </c>
      <c r="S185" s="1">
        <v>28</v>
      </c>
      <c r="T185" s="1">
        <v>14</v>
      </c>
      <c r="U185" s="1">
        <v>51</v>
      </c>
      <c r="V185" s="1">
        <v>19</v>
      </c>
      <c r="W185" s="1">
        <v>15</v>
      </c>
      <c r="X185" s="1">
        <v>48</v>
      </c>
      <c r="Y185" s="1">
        <v>25</v>
      </c>
      <c r="Z185" s="1">
        <v>44</v>
      </c>
      <c r="AA185" s="1">
        <v>13</v>
      </c>
      <c r="AB185" s="1">
        <v>13</v>
      </c>
      <c r="AC185" s="1">
        <v>41</v>
      </c>
      <c r="AD185" s="1">
        <v>54</v>
      </c>
      <c r="AE185" s="1">
        <v>22</v>
      </c>
      <c r="AF185" s="18">
        <f t="shared" si="2"/>
        <v>38.200000000000003</v>
      </c>
    </row>
    <row r="186" spans="1:32" x14ac:dyDescent="0.35">
      <c r="A186" s="1" t="s">
        <v>145</v>
      </c>
      <c r="B186" s="1">
        <v>70</v>
      </c>
      <c r="C186" s="1">
        <v>15</v>
      </c>
      <c r="D186" s="1">
        <v>17</v>
      </c>
      <c r="E186" s="1">
        <v>101</v>
      </c>
      <c r="F186" s="1">
        <v>66</v>
      </c>
      <c r="G186" s="1">
        <v>81</v>
      </c>
      <c r="H186" s="1">
        <v>14</v>
      </c>
      <c r="I186" s="1">
        <v>69</v>
      </c>
      <c r="J186" s="1">
        <v>36</v>
      </c>
      <c r="K186" s="1">
        <v>68</v>
      </c>
      <c r="L186" s="1">
        <v>17</v>
      </c>
      <c r="M186" s="1">
        <v>42</v>
      </c>
      <c r="N186" s="1">
        <v>88</v>
      </c>
      <c r="O186" s="1">
        <v>36</v>
      </c>
      <c r="P186" s="1">
        <v>66</v>
      </c>
      <c r="Q186" s="1">
        <v>113</v>
      </c>
      <c r="R186" s="1">
        <v>15</v>
      </c>
      <c r="S186" s="1">
        <v>13</v>
      </c>
      <c r="T186" s="1">
        <v>25</v>
      </c>
      <c r="U186" s="1">
        <v>67</v>
      </c>
      <c r="V186" s="1">
        <v>54</v>
      </c>
      <c r="W186" s="1">
        <v>36</v>
      </c>
      <c r="X186" s="1">
        <v>63</v>
      </c>
      <c r="Y186" s="1">
        <v>23</v>
      </c>
      <c r="Z186" s="1">
        <v>51</v>
      </c>
      <c r="AA186" s="1">
        <v>66</v>
      </c>
      <c r="AB186" s="1">
        <v>27</v>
      </c>
      <c r="AC186" s="1">
        <v>90</v>
      </c>
      <c r="AD186" s="1">
        <v>15</v>
      </c>
      <c r="AE186" s="1">
        <v>291</v>
      </c>
      <c r="AF186" s="18">
        <f t="shared" si="2"/>
        <v>57.833333333333336</v>
      </c>
    </row>
    <row r="187" spans="1:32" x14ac:dyDescent="0.35">
      <c r="A187" s="1" t="s">
        <v>146</v>
      </c>
      <c r="B187" s="1">
        <v>119</v>
      </c>
      <c r="C187" s="1">
        <v>38</v>
      </c>
      <c r="D187" s="1">
        <v>15</v>
      </c>
      <c r="E187" s="1">
        <v>89</v>
      </c>
      <c r="F187" s="1">
        <v>13</v>
      </c>
      <c r="G187" s="1">
        <v>156</v>
      </c>
      <c r="H187" s="1">
        <v>59</v>
      </c>
      <c r="I187" s="1">
        <v>12</v>
      </c>
      <c r="J187" s="1">
        <v>45</v>
      </c>
      <c r="K187" s="1">
        <v>14</v>
      </c>
      <c r="L187" s="1">
        <v>33</v>
      </c>
      <c r="M187" s="1">
        <v>36</v>
      </c>
      <c r="N187" s="1">
        <v>122</v>
      </c>
      <c r="O187" s="1">
        <v>29</v>
      </c>
      <c r="P187" s="1">
        <v>58</v>
      </c>
      <c r="Q187" s="1">
        <v>19</v>
      </c>
      <c r="R187" s="1">
        <v>40</v>
      </c>
      <c r="S187" s="1">
        <v>12</v>
      </c>
      <c r="T187" s="1">
        <v>41</v>
      </c>
      <c r="U187" s="1">
        <v>49</v>
      </c>
      <c r="V187" s="1">
        <v>57</v>
      </c>
      <c r="W187" s="1">
        <v>59</v>
      </c>
      <c r="X187" s="1">
        <v>34</v>
      </c>
      <c r="Y187" s="1">
        <v>49</v>
      </c>
      <c r="Z187" s="1">
        <v>39</v>
      </c>
      <c r="AA187" s="1">
        <v>242</v>
      </c>
      <c r="AB187" s="1">
        <v>105</v>
      </c>
      <c r="AC187" s="1">
        <v>22</v>
      </c>
      <c r="AD187" s="1">
        <v>124</v>
      </c>
      <c r="AE187" s="1">
        <v>47</v>
      </c>
      <c r="AF187" s="18">
        <f t="shared" si="2"/>
        <v>59.233333333333334</v>
      </c>
    </row>
    <row r="188" spans="1:32" x14ac:dyDescent="0.35">
      <c r="A188" s="1" t="s">
        <v>147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8">
        <f t="shared" si="2"/>
        <v>0</v>
      </c>
    </row>
    <row r="189" spans="1:32" x14ac:dyDescent="0.35">
      <c r="A189" s="1" t="s">
        <v>148</v>
      </c>
      <c r="B189" s="1">
        <v>46</v>
      </c>
      <c r="C189" s="1">
        <v>19</v>
      </c>
      <c r="D189" s="1">
        <v>111</v>
      </c>
      <c r="E189" s="1">
        <v>48</v>
      </c>
      <c r="F189" s="1">
        <v>21</v>
      </c>
      <c r="G189" s="1">
        <v>92</v>
      </c>
      <c r="H189" s="1">
        <v>72</v>
      </c>
      <c r="I189" s="1">
        <v>200</v>
      </c>
      <c r="J189" s="1">
        <v>13</v>
      </c>
      <c r="K189" s="1">
        <v>14</v>
      </c>
      <c r="L189" s="1">
        <v>28</v>
      </c>
      <c r="M189" s="1">
        <v>139</v>
      </c>
      <c r="N189" s="1">
        <v>75</v>
      </c>
      <c r="O189" s="1">
        <v>17</v>
      </c>
      <c r="P189" s="1">
        <v>51</v>
      </c>
      <c r="Q189" s="1">
        <v>91</v>
      </c>
      <c r="R189" s="1">
        <v>51</v>
      </c>
      <c r="S189" s="1">
        <v>20</v>
      </c>
      <c r="T189" s="1">
        <v>160</v>
      </c>
      <c r="U189" s="1">
        <v>54</v>
      </c>
      <c r="V189" s="1">
        <v>90</v>
      </c>
      <c r="W189" s="1">
        <v>90</v>
      </c>
      <c r="X189" s="1">
        <v>125</v>
      </c>
      <c r="Y189" s="1">
        <v>34</v>
      </c>
      <c r="Z189" s="1">
        <v>62</v>
      </c>
      <c r="AA189" s="1">
        <v>32</v>
      </c>
      <c r="AB189" s="1">
        <v>221</v>
      </c>
      <c r="AC189" s="1">
        <v>12</v>
      </c>
      <c r="AD189" s="1">
        <v>46</v>
      </c>
      <c r="AE189" s="1">
        <v>23</v>
      </c>
      <c r="AF189" s="18">
        <f t="shared" si="2"/>
        <v>68.566666666666663</v>
      </c>
    </row>
    <row r="190" spans="1:32" x14ac:dyDescent="0.35">
      <c r="A190" s="1" t="s">
        <v>149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8">
        <f t="shared" si="2"/>
        <v>0</v>
      </c>
    </row>
    <row r="191" spans="1:32" x14ac:dyDescent="0.35">
      <c r="A191" s="1" t="s">
        <v>150</v>
      </c>
      <c r="B191" s="1">
        <v>26</v>
      </c>
      <c r="C191" s="1">
        <v>201</v>
      </c>
      <c r="D191" s="1">
        <v>61</v>
      </c>
      <c r="E191" s="1">
        <v>13</v>
      </c>
      <c r="F191" s="1">
        <v>21</v>
      </c>
      <c r="G191" s="1">
        <v>36</v>
      </c>
      <c r="H191" s="1">
        <v>44</v>
      </c>
      <c r="I191" s="1">
        <v>198</v>
      </c>
      <c r="J191" s="1">
        <v>51</v>
      </c>
      <c r="K191" s="1">
        <v>51</v>
      </c>
      <c r="L191" s="1">
        <v>80</v>
      </c>
      <c r="M191" s="1">
        <v>23</v>
      </c>
      <c r="N191" s="1">
        <v>118</v>
      </c>
      <c r="O191" s="1">
        <v>21</v>
      </c>
      <c r="P191" s="1">
        <v>41</v>
      </c>
      <c r="Q191" s="1">
        <v>125</v>
      </c>
      <c r="R191" s="1">
        <v>63</v>
      </c>
      <c r="S191" s="1">
        <v>12</v>
      </c>
      <c r="T191" s="1">
        <v>13</v>
      </c>
      <c r="U191" s="1">
        <v>50</v>
      </c>
      <c r="V191" s="1">
        <v>92</v>
      </c>
      <c r="W191" s="1">
        <v>61</v>
      </c>
      <c r="X191" s="1">
        <v>60</v>
      </c>
      <c r="Y191" s="1">
        <v>18</v>
      </c>
      <c r="Z191" s="1">
        <v>18</v>
      </c>
      <c r="AA191" s="1">
        <v>165</v>
      </c>
      <c r="AB191" s="1">
        <v>13</v>
      </c>
      <c r="AC191" s="1">
        <v>34</v>
      </c>
      <c r="AD191" s="1">
        <v>32</v>
      </c>
      <c r="AE191" s="1">
        <v>66</v>
      </c>
      <c r="AF191" s="18">
        <f t="shared" si="2"/>
        <v>60.233333333333334</v>
      </c>
    </row>
    <row r="192" spans="1:32" x14ac:dyDescent="0.35">
      <c r="A192" s="1" t="s">
        <v>159</v>
      </c>
      <c r="B192" s="1">
        <v>57</v>
      </c>
      <c r="C192" s="1">
        <v>73</v>
      </c>
      <c r="D192" s="1">
        <v>349</v>
      </c>
      <c r="E192" s="1">
        <v>14</v>
      </c>
      <c r="F192" s="1">
        <v>165</v>
      </c>
      <c r="G192" s="1">
        <v>33</v>
      </c>
      <c r="H192" s="1">
        <v>312</v>
      </c>
      <c r="I192" s="1">
        <v>75</v>
      </c>
      <c r="J192" s="1">
        <v>137</v>
      </c>
      <c r="K192" s="1">
        <v>27</v>
      </c>
      <c r="L192" s="1">
        <v>175</v>
      </c>
      <c r="M192" s="1">
        <v>33</v>
      </c>
      <c r="N192" s="1">
        <v>69</v>
      </c>
      <c r="O192" s="1">
        <v>35</v>
      </c>
      <c r="P192" s="1">
        <v>33</v>
      </c>
      <c r="Q192" s="1">
        <v>102</v>
      </c>
      <c r="R192" s="1">
        <v>98</v>
      </c>
      <c r="S192" s="1">
        <v>110</v>
      </c>
      <c r="T192" s="1">
        <v>94</v>
      </c>
      <c r="U192" s="1">
        <v>67</v>
      </c>
      <c r="V192" s="1">
        <v>65</v>
      </c>
      <c r="W192" s="1">
        <v>48</v>
      </c>
      <c r="X192" s="1">
        <v>47</v>
      </c>
      <c r="Y192" s="1">
        <v>39</v>
      </c>
      <c r="Z192" s="1">
        <v>26</v>
      </c>
      <c r="AA192" s="1">
        <v>47</v>
      </c>
      <c r="AB192" s="1">
        <v>12</v>
      </c>
      <c r="AC192" s="1">
        <v>57</v>
      </c>
      <c r="AD192" s="1">
        <v>46</v>
      </c>
      <c r="AE192" s="1">
        <v>103</v>
      </c>
      <c r="AF192" s="18">
        <f t="shared" si="2"/>
        <v>84.933333333333337</v>
      </c>
    </row>
    <row r="193" spans="1:32" x14ac:dyDescent="0.35">
      <c r="A193" s="1" t="s">
        <v>151</v>
      </c>
      <c r="B193" s="1">
        <v>54</v>
      </c>
      <c r="C193" s="1">
        <v>25</v>
      </c>
      <c r="D193" s="1">
        <v>34</v>
      </c>
      <c r="E193" s="1">
        <v>87</v>
      </c>
      <c r="F193" s="1">
        <v>35</v>
      </c>
      <c r="G193" s="1">
        <v>86</v>
      </c>
      <c r="H193" s="1">
        <v>200</v>
      </c>
      <c r="I193" s="1">
        <v>62</v>
      </c>
      <c r="J193" s="1">
        <v>28</v>
      </c>
      <c r="K193" s="1">
        <v>227</v>
      </c>
      <c r="L193" s="1">
        <v>116</v>
      </c>
      <c r="M193" s="1">
        <v>26</v>
      </c>
      <c r="N193" s="1">
        <v>221</v>
      </c>
      <c r="O193" s="1">
        <v>198</v>
      </c>
      <c r="P193" s="1">
        <v>19</v>
      </c>
      <c r="Q193" s="1">
        <v>88</v>
      </c>
      <c r="R193" s="1">
        <v>296</v>
      </c>
      <c r="S193" s="1">
        <v>33</v>
      </c>
      <c r="T193" s="1">
        <v>122</v>
      </c>
      <c r="U193" s="1">
        <v>13</v>
      </c>
      <c r="V193" s="1">
        <v>78</v>
      </c>
      <c r="W193" s="1">
        <v>29</v>
      </c>
      <c r="X193" s="1">
        <v>57</v>
      </c>
      <c r="Y193" s="1">
        <v>37</v>
      </c>
      <c r="Z193" s="1">
        <v>48</v>
      </c>
      <c r="AA193" s="1">
        <v>83</v>
      </c>
      <c r="AB193" s="1">
        <v>61</v>
      </c>
      <c r="AC193" s="1">
        <v>25</v>
      </c>
      <c r="AD193" s="1">
        <v>24</v>
      </c>
      <c r="AE193" s="1">
        <v>154</v>
      </c>
      <c r="AF193" s="18">
        <f t="shared" si="2"/>
        <v>85.533333333333331</v>
      </c>
    </row>
    <row r="194" spans="1:32" x14ac:dyDescent="0.35">
      <c r="A194" s="1" t="s">
        <v>152</v>
      </c>
      <c r="B194" s="1">
        <v>226</v>
      </c>
      <c r="C194" s="1">
        <v>20</v>
      </c>
      <c r="D194" s="1">
        <v>43</v>
      </c>
      <c r="E194" s="1">
        <v>77</v>
      </c>
      <c r="F194" s="1">
        <v>61</v>
      </c>
      <c r="G194" s="1">
        <v>50</v>
      </c>
      <c r="H194" s="1">
        <v>280</v>
      </c>
      <c r="I194" s="1">
        <v>59</v>
      </c>
      <c r="J194" s="1">
        <v>142</v>
      </c>
      <c r="K194" s="1">
        <v>36</v>
      </c>
      <c r="L194" s="1">
        <v>29</v>
      </c>
      <c r="M194" s="1">
        <v>30</v>
      </c>
      <c r="N194" s="1">
        <v>24</v>
      </c>
      <c r="O194" s="1">
        <v>97</v>
      </c>
      <c r="P194" s="1">
        <v>14</v>
      </c>
      <c r="Q194" s="1">
        <v>206</v>
      </c>
      <c r="R194" s="1">
        <v>29</v>
      </c>
      <c r="S194" s="1">
        <v>53</v>
      </c>
      <c r="T194" s="1">
        <v>44</v>
      </c>
      <c r="U194" s="1">
        <v>40</v>
      </c>
      <c r="V194" s="1">
        <v>49</v>
      </c>
      <c r="W194" s="1">
        <v>141</v>
      </c>
      <c r="X194" s="1">
        <v>79</v>
      </c>
      <c r="Y194" s="1">
        <v>147</v>
      </c>
      <c r="Z194" s="1">
        <v>63</v>
      </c>
      <c r="AA194" s="1">
        <v>95</v>
      </c>
      <c r="AB194" s="1">
        <v>15</v>
      </c>
      <c r="AC194" s="1">
        <v>30</v>
      </c>
      <c r="AD194" s="1">
        <v>77</v>
      </c>
      <c r="AE194" s="1">
        <v>60</v>
      </c>
      <c r="AF194" s="18">
        <f t="shared" si="2"/>
        <v>77.2</v>
      </c>
    </row>
    <row r="195" spans="1:32" x14ac:dyDescent="0.35">
      <c r="A195" s="1" t="s">
        <v>153</v>
      </c>
      <c r="B195" s="1">
        <v>124</v>
      </c>
      <c r="C195" s="1">
        <v>77</v>
      </c>
      <c r="D195" s="1">
        <v>32</v>
      </c>
      <c r="E195" s="1">
        <v>119</v>
      </c>
      <c r="F195" s="1">
        <v>160</v>
      </c>
      <c r="G195" s="1">
        <v>30</v>
      </c>
      <c r="H195" s="1">
        <v>58</v>
      </c>
      <c r="I195" s="1">
        <v>30</v>
      </c>
      <c r="J195" s="1">
        <v>30</v>
      </c>
      <c r="K195" s="1">
        <v>43</v>
      </c>
      <c r="L195" s="1">
        <v>29</v>
      </c>
      <c r="M195" s="1">
        <v>35</v>
      </c>
      <c r="N195" s="1">
        <v>19</v>
      </c>
      <c r="O195" s="1">
        <v>16</v>
      </c>
      <c r="P195" s="1">
        <v>56</v>
      </c>
      <c r="Q195" s="1">
        <v>25</v>
      </c>
      <c r="R195" s="1">
        <v>30</v>
      </c>
      <c r="S195" s="1">
        <v>20</v>
      </c>
      <c r="T195" s="1">
        <v>61</v>
      </c>
      <c r="U195" s="1">
        <v>85</v>
      </c>
      <c r="V195" s="1">
        <v>40</v>
      </c>
      <c r="W195" s="1">
        <v>20</v>
      </c>
      <c r="X195" s="1">
        <v>47</v>
      </c>
      <c r="Y195" s="1">
        <v>61</v>
      </c>
      <c r="Z195" s="1">
        <v>29</v>
      </c>
      <c r="AA195" s="1">
        <v>137</v>
      </c>
      <c r="AB195" s="1">
        <v>36</v>
      </c>
      <c r="AC195" s="1">
        <v>26</v>
      </c>
      <c r="AD195" s="1">
        <v>36</v>
      </c>
      <c r="AE195" s="1">
        <v>38</v>
      </c>
      <c r="AF195" s="18">
        <f t="shared" si="2"/>
        <v>51.633333333333333</v>
      </c>
    </row>
    <row r="196" spans="1:32" x14ac:dyDescent="0.35">
      <c r="A196" s="1" t="s">
        <v>193</v>
      </c>
      <c r="B196" s="1">
        <v>62</v>
      </c>
      <c r="C196" s="1">
        <v>15</v>
      </c>
      <c r="D196" s="1">
        <v>143</v>
      </c>
      <c r="E196" s="1">
        <v>79</v>
      </c>
      <c r="F196" s="1">
        <v>21</v>
      </c>
      <c r="G196" s="1">
        <v>143</v>
      </c>
      <c r="H196" s="1">
        <v>23</v>
      </c>
      <c r="I196" s="1">
        <v>300</v>
      </c>
      <c r="J196" s="1">
        <v>36</v>
      </c>
      <c r="K196" s="1">
        <v>48</v>
      </c>
      <c r="L196" s="1">
        <v>56</v>
      </c>
      <c r="M196" s="1">
        <v>158</v>
      </c>
      <c r="N196" s="1">
        <v>50</v>
      </c>
      <c r="O196" s="1">
        <v>37</v>
      </c>
      <c r="P196" s="1">
        <v>64</v>
      </c>
      <c r="Q196" s="1">
        <v>112</v>
      </c>
      <c r="R196" s="1">
        <v>83</v>
      </c>
      <c r="S196" s="1">
        <v>45</v>
      </c>
      <c r="T196" s="1">
        <v>15</v>
      </c>
      <c r="U196" s="1">
        <v>167</v>
      </c>
      <c r="V196" s="1">
        <v>46</v>
      </c>
      <c r="W196" s="1">
        <v>90</v>
      </c>
      <c r="X196" s="1">
        <v>21</v>
      </c>
      <c r="Y196" s="1">
        <v>145</v>
      </c>
      <c r="Z196" s="1">
        <v>72</v>
      </c>
      <c r="AA196" s="1">
        <v>80</v>
      </c>
      <c r="AB196" s="1">
        <v>19</v>
      </c>
      <c r="AC196" s="1">
        <v>61</v>
      </c>
      <c r="AD196" s="1">
        <v>49</v>
      </c>
      <c r="AE196" s="1">
        <v>53</v>
      </c>
      <c r="AF196" s="18">
        <f t="shared" ref="AF196:AF202" si="3">AVERAGE(B196:AE196)</f>
        <v>76.433333333333337</v>
      </c>
    </row>
    <row r="197" spans="1:32" x14ac:dyDescent="0.35">
      <c r="A197" s="1" t="s">
        <v>154</v>
      </c>
      <c r="B197" s="1">
        <v>71</v>
      </c>
      <c r="C197" s="1">
        <v>15</v>
      </c>
      <c r="D197" s="1">
        <v>130</v>
      </c>
      <c r="E197" s="1">
        <v>89</v>
      </c>
      <c r="F197" s="1">
        <v>24</v>
      </c>
      <c r="G197" s="1">
        <v>92</v>
      </c>
      <c r="H197" s="1">
        <v>39</v>
      </c>
      <c r="I197" s="1">
        <v>14</v>
      </c>
      <c r="J197" s="1">
        <v>112</v>
      </c>
      <c r="K197" s="1">
        <v>118</v>
      </c>
      <c r="L197" s="1">
        <v>34</v>
      </c>
      <c r="M197" s="1">
        <v>49</v>
      </c>
      <c r="N197" s="1">
        <v>36</v>
      </c>
      <c r="O197" s="1">
        <v>122</v>
      </c>
      <c r="P197" s="1">
        <v>36</v>
      </c>
      <c r="Q197" s="1">
        <v>68</v>
      </c>
      <c r="R197" s="1">
        <v>58</v>
      </c>
      <c r="S197" s="1">
        <v>261</v>
      </c>
      <c r="T197" s="1">
        <v>17</v>
      </c>
      <c r="U197" s="1">
        <v>112</v>
      </c>
      <c r="V197" s="1">
        <v>23</v>
      </c>
      <c r="W197" s="1">
        <v>30</v>
      </c>
      <c r="X197" s="1">
        <v>68</v>
      </c>
      <c r="Y197" s="1">
        <v>38</v>
      </c>
      <c r="Z197" s="1">
        <v>57</v>
      </c>
      <c r="AA197" s="1">
        <v>30</v>
      </c>
      <c r="AB197" s="1">
        <v>152</v>
      </c>
      <c r="AC197" s="1">
        <v>158</v>
      </c>
      <c r="AD197" s="1">
        <v>12</v>
      </c>
      <c r="AE197" s="1">
        <v>47</v>
      </c>
      <c r="AF197" s="18">
        <f t="shared" si="3"/>
        <v>70.400000000000006</v>
      </c>
    </row>
    <row r="198" spans="1:32" x14ac:dyDescent="0.35">
      <c r="A198" s="1" t="s">
        <v>155</v>
      </c>
      <c r="B198" s="1">
        <v>36</v>
      </c>
      <c r="C198" s="1">
        <v>20</v>
      </c>
      <c r="D198" s="1">
        <v>60</v>
      </c>
      <c r="E198" s="1">
        <v>100</v>
      </c>
      <c r="F198" s="1">
        <v>21</v>
      </c>
      <c r="G198" s="1">
        <v>84</v>
      </c>
      <c r="H198" s="1">
        <v>145</v>
      </c>
      <c r="I198" s="1">
        <v>111</v>
      </c>
      <c r="J198" s="1">
        <v>15</v>
      </c>
      <c r="K198" s="1">
        <v>49</v>
      </c>
      <c r="L198" s="1">
        <v>21</v>
      </c>
      <c r="M198" s="1">
        <v>29</v>
      </c>
      <c r="N198" s="1">
        <v>64</v>
      </c>
      <c r="O198" s="1">
        <v>284</v>
      </c>
      <c r="P198" s="1">
        <v>25</v>
      </c>
      <c r="Q198" s="1">
        <v>80</v>
      </c>
      <c r="R198" s="1">
        <v>17</v>
      </c>
      <c r="S198" s="1">
        <v>68</v>
      </c>
      <c r="T198" s="1">
        <v>582</v>
      </c>
      <c r="U198" s="1">
        <v>74</v>
      </c>
      <c r="V198" s="1">
        <v>15</v>
      </c>
      <c r="W198" s="1">
        <v>86</v>
      </c>
      <c r="X198" s="1">
        <v>79</v>
      </c>
      <c r="Y198" s="1">
        <v>53</v>
      </c>
      <c r="Z198" s="1">
        <v>31</v>
      </c>
      <c r="AA198" s="1">
        <v>83</v>
      </c>
      <c r="AB198" s="1">
        <v>49</v>
      </c>
      <c r="AC198" s="1">
        <v>63</v>
      </c>
      <c r="AD198" s="1">
        <v>48</v>
      </c>
      <c r="AE198" s="1">
        <v>27</v>
      </c>
      <c r="AF198" s="18">
        <f t="shared" si="3"/>
        <v>80.63333333333334</v>
      </c>
    </row>
    <row r="199" spans="1:32" x14ac:dyDescent="0.35">
      <c r="A199" s="1" t="s">
        <v>163</v>
      </c>
      <c r="B199" s="1">
        <v>23</v>
      </c>
      <c r="C199" s="1">
        <v>69</v>
      </c>
      <c r="D199" s="1">
        <v>47</v>
      </c>
      <c r="E199" s="1">
        <v>169</v>
      </c>
      <c r="F199" s="1">
        <v>137</v>
      </c>
      <c r="G199" s="1">
        <v>32</v>
      </c>
      <c r="H199" s="1">
        <v>127</v>
      </c>
      <c r="I199" s="1">
        <v>154</v>
      </c>
      <c r="J199" s="1">
        <v>21</v>
      </c>
      <c r="K199" s="1">
        <v>30</v>
      </c>
      <c r="L199" s="1">
        <v>17</v>
      </c>
      <c r="M199" s="1">
        <v>133</v>
      </c>
      <c r="N199" s="1">
        <v>110</v>
      </c>
      <c r="O199" s="1">
        <v>33</v>
      </c>
      <c r="P199" s="1">
        <v>33</v>
      </c>
      <c r="Q199" s="1">
        <v>13</v>
      </c>
      <c r="R199" s="1">
        <v>22</v>
      </c>
      <c r="S199" s="1">
        <v>34</v>
      </c>
      <c r="T199" s="1">
        <v>69</v>
      </c>
      <c r="U199" s="1">
        <v>21</v>
      </c>
      <c r="V199" s="1">
        <v>25</v>
      </c>
      <c r="W199" s="1">
        <v>47</v>
      </c>
      <c r="X199" s="1">
        <v>65</v>
      </c>
      <c r="Y199" s="1">
        <v>79</v>
      </c>
      <c r="Z199" s="1">
        <v>92</v>
      </c>
      <c r="AA199" s="1">
        <v>16</v>
      </c>
      <c r="AB199" s="1">
        <v>27</v>
      </c>
      <c r="AC199" s="1">
        <v>27</v>
      </c>
      <c r="AD199" s="1">
        <v>80</v>
      </c>
      <c r="AE199" s="1">
        <v>54</v>
      </c>
      <c r="AF199" s="18">
        <f t="shared" si="3"/>
        <v>60.2</v>
      </c>
    </row>
    <row r="200" spans="1:32" x14ac:dyDescent="0.35">
      <c r="A200" s="1" t="s">
        <v>194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8">
        <f t="shared" si="3"/>
        <v>0</v>
      </c>
    </row>
    <row r="201" spans="1:32" x14ac:dyDescent="0.35">
      <c r="A201" s="1" t="s">
        <v>157</v>
      </c>
      <c r="B201" s="1">
        <v>256</v>
      </c>
      <c r="C201" s="1">
        <v>91</v>
      </c>
      <c r="D201" s="1">
        <v>27</v>
      </c>
      <c r="E201" s="1">
        <v>42</v>
      </c>
      <c r="F201" s="1">
        <v>19</v>
      </c>
      <c r="G201" s="1">
        <v>88</v>
      </c>
      <c r="H201" s="1">
        <v>61</v>
      </c>
      <c r="I201" s="1">
        <v>17</v>
      </c>
      <c r="J201" s="1">
        <v>43</v>
      </c>
      <c r="K201" s="1">
        <v>14</v>
      </c>
      <c r="L201" s="1">
        <v>12</v>
      </c>
      <c r="M201" s="1">
        <v>68</v>
      </c>
      <c r="N201" s="1">
        <v>27</v>
      </c>
      <c r="O201" s="1">
        <v>58</v>
      </c>
      <c r="P201" s="1">
        <v>35</v>
      </c>
      <c r="Q201" s="1">
        <v>94</v>
      </c>
      <c r="R201" s="1">
        <v>87</v>
      </c>
      <c r="S201" s="1">
        <v>177</v>
      </c>
      <c r="T201" s="1">
        <v>87</v>
      </c>
      <c r="U201" s="1">
        <v>32</v>
      </c>
      <c r="V201" s="1">
        <v>58</v>
      </c>
      <c r="W201" s="1">
        <v>14</v>
      </c>
      <c r="X201" s="1">
        <v>83</v>
      </c>
      <c r="Y201" s="1">
        <v>25</v>
      </c>
      <c r="Z201" s="1">
        <v>28</v>
      </c>
      <c r="AA201" s="1">
        <v>44</v>
      </c>
      <c r="AB201" s="1">
        <v>20</v>
      </c>
      <c r="AC201" s="1">
        <v>29</v>
      </c>
      <c r="AD201" s="1">
        <v>151</v>
      </c>
      <c r="AE201" s="1">
        <v>205</v>
      </c>
      <c r="AF201" s="18">
        <f t="shared" si="3"/>
        <v>66.400000000000006</v>
      </c>
    </row>
    <row r="202" spans="1:32" x14ac:dyDescent="0.35">
      <c r="A202" s="1" t="s">
        <v>158</v>
      </c>
      <c r="B202" s="1">
        <v>26</v>
      </c>
      <c r="C202" s="1">
        <v>167</v>
      </c>
      <c r="D202" s="1">
        <v>48</v>
      </c>
      <c r="E202" s="1">
        <v>27</v>
      </c>
      <c r="F202" s="1">
        <v>147</v>
      </c>
      <c r="G202" s="1">
        <v>136</v>
      </c>
      <c r="H202" s="1">
        <v>52</v>
      </c>
      <c r="I202" s="1">
        <v>25</v>
      </c>
      <c r="J202" s="1">
        <v>12</v>
      </c>
      <c r="K202" s="1">
        <v>36</v>
      </c>
      <c r="L202" s="1">
        <v>104</v>
      </c>
      <c r="M202" s="1">
        <v>64</v>
      </c>
      <c r="N202" s="1">
        <v>147</v>
      </c>
      <c r="O202" s="1">
        <v>37</v>
      </c>
      <c r="P202" s="1">
        <v>13</v>
      </c>
      <c r="Q202" s="1">
        <v>169</v>
      </c>
      <c r="R202" s="1">
        <v>19</v>
      </c>
      <c r="S202" s="1">
        <v>15</v>
      </c>
      <c r="T202" s="1">
        <v>14</v>
      </c>
      <c r="U202" s="1">
        <v>71</v>
      </c>
      <c r="V202" s="1">
        <v>59</v>
      </c>
      <c r="W202" s="1">
        <v>25</v>
      </c>
      <c r="X202" s="1">
        <v>27</v>
      </c>
      <c r="Y202" s="1">
        <v>78</v>
      </c>
      <c r="Z202" s="1">
        <v>68</v>
      </c>
      <c r="AA202" s="1">
        <v>12</v>
      </c>
      <c r="AB202" s="1">
        <v>14</v>
      </c>
      <c r="AC202" s="1">
        <v>91</v>
      </c>
      <c r="AD202" s="1">
        <v>150</v>
      </c>
      <c r="AE202" s="1">
        <v>54</v>
      </c>
      <c r="AF202" s="18">
        <f t="shared" si="3"/>
        <v>63.56666666666667</v>
      </c>
    </row>
    <row r="203" spans="1:32" x14ac:dyDescent="0.35"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29F1-6798-4988-B43D-340DC3870722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8">
        <f>AVERAGE(B3:AE3)</f>
        <v>0</v>
      </c>
    </row>
    <row r="4" spans="1:32" x14ac:dyDescent="0.35">
      <c r="A4" s="1" t="s">
        <v>166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8">
        <f t="shared" ref="AF4:AF67" si="0">AVERAGE(B4:AE4)</f>
        <v>0</v>
      </c>
    </row>
    <row r="5" spans="1:32" x14ac:dyDescent="0.35">
      <c r="A5" s="1" t="s">
        <v>167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8">
        <f t="shared" si="0"/>
        <v>0</v>
      </c>
    </row>
    <row r="6" spans="1:32" x14ac:dyDescent="0.35">
      <c r="A6" s="1" t="s">
        <v>211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8">
        <f t="shared" si="0"/>
        <v>0</v>
      </c>
    </row>
    <row r="7" spans="1:32" x14ac:dyDescent="0.35">
      <c r="A7" s="1" t="s">
        <v>168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8">
        <f t="shared" si="0"/>
        <v>0</v>
      </c>
    </row>
    <row r="8" spans="1:32" x14ac:dyDescent="0.35">
      <c r="A8" s="1" t="s">
        <v>169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8">
        <f t="shared" si="0"/>
        <v>0</v>
      </c>
    </row>
    <row r="9" spans="1:32" x14ac:dyDescent="0.35">
      <c r="A9" s="1" t="s">
        <v>170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8">
        <f t="shared" si="0"/>
        <v>0</v>
      </c>
    </row>
    <row r="10" spans="1:32" x14ac:dyDescent="0.35">
      <c r="A10" s="1" t="s">
        <v>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8">
        <f t="shared" si="0"/>
        <v>0</v>
      </c>
    </row>
    <row r="11" spans="1:32" x14ac:dyDescent="0.35">
      <c r="A11" s="1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8">
        <f t="shared" si="0"/>
        <v>0</v>
      </c>
    </row>
    <row r="12" spans="1:32" x14ac:dyDescent="0.35">
      <c r="A12" s="1" t="s">
        <v>161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8">
        <f t="shared" si="0"/>
        <v>0</v>
      </c>
    </row>
    <row r="13" spans="1:32" x14ac:dyDescent="0.35">
      <c r="A13" s="1" t="s">
        <v>212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8">
        <f t="shared" si="0"/>
        <v>0</v>
      </c>
    </row>
    <row r="14" spans="1:32" x14ac:dyDescent="0.35">
      <c r="A14" s="1" t="s">
        <v>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8">
        <f t="shared" si="0"/>
        <v>0</v>
      </c>
    </row>
    <row r="15" spans="1:32" x14ac:dyDescent="0.35">
      <c r="A15" s="1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8">
        <f t="shared" si="0"/>
        <v>0</v>
      </c>
    </row>
    <row r="16" spans="1:32" x14ac:dyDescent="0.35">
      <c r="A16" s="1" t="s">
        <v>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8">
        <f t="shared" si="0"/>
        <v>0</v>
      </c>
    </row>
    <row r="17" spans="1:32" x14ac:dyDescent="0.35">
      <c r="A17" s="1" t="s">
        <v>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8">
        <f t="shared" si="0"/>
        <v>0</v>
      </c>
    </row>
    <row r="18" spans="1:32" x14ac:dyDescent="0.35">
      <c r="A18" s="1" t="s">
        <v>213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8">
        <f t="shared" si="0"/>
        <v>0</v>
      </c>
    </row>
    <row r="19" spans="1:32" x14ac:dyDescent="0.35">
      <c r="A19" s="1" t="s">
        <v>171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8">
        <f t="shared" si="0"/>
        <v>0</v>
      </c>
    </row>
    <row r="20" spans="1:32" x14ac:dyDescent="0.35">
      <c r="A20" s="1" t="s">
        <v>214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8">
        <f t="shared" si="0"/>
        <v>0</v>
      </c>
    </row>
    <row r="21" spans="1:32" x14ac:dyDescent="0.35">
      <c r="A21" s="1" t="s">
        <v>10</v>
      </c>
      <c r="B21" s="1">
        <v>26</v>
      </c>
      <c r="C21" s="1">
        <v>203</v>
      </c>
      <c r="D21" s="1">
        <v>117</v>
      </c>
      <c r="E21" s="1">
        <v>69</v>
      </c>
      <c r="F21" s="1">
        <v>68</v>
      </c>
      <c r="G21" s="1">
        <v>22</v>
      </c>
      <c r="H21" s="1">
        <v>81</v>
      </c>
      <c r="I21" s="1">
        <v>69</v>
      </c>
      <c r="J21" s="1">
        <v>26</v>
      </c>
      <c r="K21" s="1">
        <v>65</v>
      </c>
      <c r="L21" s="1">
        <v>172</v>
      </c>
      <c r="M21" s="1">
        <v>53</v>
      </c>
      <c r="N21" s="1">
        <v>102</v>
      </c>
      <c r="O21" s="1">
        <v>119</v>
      </c>
      <c r="P21" s="1">
        <v>23</v>
      </c>
      <c r="Q21" s="1">
        <v>27</v>
      </c>
      <c r="R21" s="1">
        <v>133</v>
      </c>
      <c r="S21" s="1">
        <v>181</v>
      </c>
      <c r="T21" s="1">
        <v>84</v>
      </c>
      <c r="U21" s="1">
        <v>77</v>
      </c>
      <c r="V21" s="1">
        <v>97</v>
      </c>
      <c r="W21" s="1">
        <v>92</v>
      </c>
      <c r="X21" s="1">
        <v>57</v>
      </c>
      <c r="Y21" s="1">
        <v>32</v>
      </c>
      <c r="Z21" s="1">
        <v>37</v>
      </c>
      <c r="AA21" s="1">
        <v>112</v>
      </c>
      <c r="AB21" s="1">
        <v>266</v>
      </c>
      <c r="AC21" s="1">
        <v>16</v>
      </c>
      <c r="AD21" s="1">
        <v>16</v>
      </c>
      <c r="AE21" s="1">
        <v>47</v>
      </c>
      <c r="AF21" s="18">
        <f t="shared" si="0"/>
        <v>82.966666666666669</v>
      </c>
    </row>
    <row r="22" spans="1:32" x14ac:dyDescent="0.35">
      <c r="A22" s="1" t="s">
        <v>11</v>
      </c>
      <c r="B22" s="1">
        <v>36</v>
      </c>
      <c r="C22" s="1">
        <v>18</v>
      </c>
      <c r="D22" s="1">
        <v>35</v>
      </c>
      <c r="E22" s="1">
        <v>28</v>
      </c>
      <c r="F22" s="1">
        <v>75</v>
      </c>
      <c r="G22" s="1">
        <v>12</v>
      </c>
      <c r="H22" s="1">
        <v>28</v>
      </c>
      <c r="I22" s="1">
        <v>71</v>
      </c>
      <c r="J22" s="1">
        <v>269</v>
      </c>
      <c r="K22" s="1">
        <v>31</v>
      </c>
      <c r="L22" s="1">
        <v>32</v>
      </c>
      <c r="M22" s="1">
        <v>112</v>
      </c>
      <c r="N22" s="1">
        <v>68</v>
      </c>
      <c r="O22" s="1">
        <v>40</v>
      </c>
      <c r="P22" s="1">
        <v>13</v>
      </c>
      <c r="Q22" s="1">
        <v>15</v>
      </c>
      <c r="R22" s="1">
        <v>27</v>
      </c>
      <c r="S22" s="1">
        <v>29</v>
      </c>
      <c r="T22" s="1">
        <v>13</v>
      </c>
      <c r="U22" s="1">
        <v>19</v>
      </c>
      <c r="V22" s="1">
        <v>54</v>
      </c>
      <c r="W22" s="1">
        <v>27</v>
      </c>
      <c r="X22" s="1">
        <v>20</v>
      </c>
      <c r="Y22" s="1">
        <v>51</v>
      </c>
      <c r="Z22" s="1">
        <v>54</v>
      </c>
      <c r="AA22" s="1">
        <v>73</v>
      </c>
      <c r="AB22" s="1">
        <v>20</v>
      </c>
      <c r="AC22" s="1">
        <v>268</v>
      </c>
      <c r="AD22" s="1">
        <v>119</v>
      </c>
      <c r="AE22" s="1">
        <v>64</v>
      </c>
      <c r="AF22" s="18">
        <f t="shared" si="0"/>
        <v>57.366666666666667</v>
      </c>
    </row>
    <row r="23" spans="1:32" x14ac:dyDescent="0.35">
      <c r="A23" s="1" t="s">
        <v>12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8">
        <f t="shared" si="0"/>
        <v>0</v>
      </c>
    </row>
    <row r="24" spans="1:32" x14ac:dyDescent="0.35">
      <c r="A24" s="1" t="s">
        <v>13</v>
      </c>
      <c r="B24" s="1">
        <v>17</v>
      </c>
      <c r="C24" s="1">
        <v>13</v>
      </c>
      <c r="D24" s="1">
        <v>45</v>
      </c>
      <c r="E24" s="1">
        <v>34</v>
      </c>
      <c r="F24" s="1">
        <v>79</v>
      </c>
      <c r="G24" s="1">
        <v>90</v>
      </c>
      <c r="H24" s="1">
        <v>15</v>
      </c>
      <c r="I24" s="1">
        <v>53</v>
      </c>
      <c r="J24" s="1">
        <v>28</v>
      </c>
      <c r="K24" s="1">
        <v>14</v>
      </c>
      <c r="L24" s="1">
        <v>53</v>
      </c>
      <c r="M24" s="1">
        <v>23</v>
      </c>
      <c r="N24" s="1">
        <v>18</v>
      </c>
      <c r="O24" s="1">
        <v>12</v>
      </c>
      <c r="P24" s="1">
        <v>68</v>
      </c>
      <c r="Q24" s="1">
        <v>16</v>
      </c>
      <c r="R24" s="1">
        <v>18</v>
      </c>
      <c r="S24" s="1">
        <v>51</v>
      </c>
      <c r="T24" s="1">
        <v>29</v>
      </c>
      <c r="U24" s="1">
        <v>15</v>
      </c>
      <c r="V24" s="1">
        <v>38</v>
      </c>
      <c r="W24" s="1">
        <v>19</v>
      </c>
      <c r="X24" s="1">
        <v>16</v>
      </c>
      <c r="Y24" s="1">
        <v>39</v>
      </c>
      <c r="Z24" s="1">
        <v>30</v>
      </c>
      <c r="AA24" s="1">
        <v>18</v>
      </c>
      <c r="AB24" s="1">
        <v>71</v>
      </c>
      <c r="AC24" s="1">
        <v>81</v>
      </c>
      <c r="AD24" s="1">
        <v>55</v>
      </c>
      <c r="AE24" s="1">
        <v>51</v>
      </c>
      <c r="AF24" s="18">
        <f t="shared" si="0"/>
        <v>36.966666666666669</v>
      </c>
    </row>
    <row r="25" spans="1:32" x14ac:dyDescent="0.35">
      <c r="A25" s="1" t="s">
        <v>14</v>
      </c>
      <c r="B25" s="1">
        <v>39</v>
      </c>
      <c r="C25" s="1">
        <v>26</v>
      </c>
      <c r="D25" s="1">
        <v>42</v>
      </c>
      <c r="E25" s="1">
        <v>64</v>
      </c>
      <c r="F25" s="1">
        <v>95</v>
      </c>
      <c r="G25" s="1">
        <v>21</v>
      </c>
      <c r="H25" s="1">
        <v>30</v>
      </c>
      <c r="I25" s="1">
        <v>25</v>
      </c>
      <c r="J25" s="1">
        <v>13</v>
      </c>
      <c r="K25" s="1">
        <v>47</v>
      </c>
      <c r="L25" s="1">
        <v>37</v>
      </c>
      <c r="M25" s="1">
        <v>24</v>
      </c>
      <c r="N25" s="1">
        <v>33</v>
      </c>
      <c r="O25" s="1">
        <v>18</v>
      </c>
      <c r="P25" s="1">
        <v>46</v>
      </c>
      <c r="Q25" s="1">
        <v>65</v>
      </c>
      <c r="R25" s="1">
        <v>70</v>
      </c>
      <c r="S25" s="1">
        <v>36</v>
      </c>
      <c r="T25" s="1">
        <v>21</v>
      </c>
      <c r="U25" s="1">
        <v>12</v>
      </c>
      <c r="V25" s="1">
        <v>134</v>
      </c>
      <c r="W25" s="1">
        <v>21</v>
      </c>
      <c r="X25" s="1">
        <v>41</v>
      </c>
      <c r="Y25" s="1">
        <v>48</v>
      </c>
      <c r="Z25" s="1">
        <v>121</v>
      </c>
      <c r="AA25" s="1">
        <v>36</v>
      </c>
      <c r="AB25" s="1">
        <v>14</v>
      </c>
      <c r="AC25" s="1">
        <v>28</v>
      </c>
      <c r="AD25" s="1">
        <v>130</v>
      </c>
      <c r="AE25" s="1">
        <v>30</v>
      </c>
      <c r="AF25" s="18">
        <f t="shared" si="0"/>
        <v>45.56666666666667</v>
      </c>
    </row>
    <row r="26" spans="1:32" x14ac:dyDescent="0.35">
      <c r="A26" s="1" t="s">
        <v>15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8">
        <f t="shared" si="0"/>
        <v>0</v>
      </c>
    </row>
    <row r="27" spans="1:32" x14ac:dyDescent="0.35">
      <c r="A27" s="1" t="s">
        <v>172</v>
      </c>
      <c r="B27" s="1">
        <v>20</v>
      </c>
      <c r="C27" s="1">
        <v>15</v>
      </c>
      <c r="D27" s="1">
        <v>44</v>
      </c>
      <c r="E27" s="1">
        <v>14</v>
      </c>
      <c r="F27" s="1">
        <v>63</v>
      </c>
      <c r="G27" s="1">
        <v>27</v>
      </c>
      <c r="H27" s="1">
        <v>29</v>
      </c>
      <c r="I27" s="1">
        <v>42</v>
      </c>
      <c r="J27" s="1">
        <v>47</v>
      </c>
      <c r="K27" s="1">
        <v>52</v>
      </c>
      <c r="L27" s="1">
        <v>49</v>
      </c>
      <c r="M27" s="1">
        <v>79</v>
      </c>
      <c r="N27" s="1">
        <v>23</v>
      </c>
      <c r="O27" s="1">
        <v>36</v>
      </c>
      <c r="P27" s="1">
        <v>26</v>
      </c>
      <c r="Q27" s="1">
        <v>20</v>
      </c>
      <c r="R27" s="1">
        <v>23</v>
      </c>
      <c r="S27" s="1">
        <v>24</v>
      </c>
      <c r="T27" s="1">
        <v>43</v>
      </c>
      <c r="U27" s="1">
        <v>59</v>
      </c>
      <c r="V27" s="1">
        <v>68</v>
      </c>
      <c r="W27" s="1">
        <v>41</v>
      </c>
      <c r="X27" s="1">
        <v>14</v>
      </c>
      <c r="Y27" s="1">
        <v>17</v>
      </c>
      <c r="Z27" s="1">
        <v>39</v>
      </c>
      <c r="AA27" s="1">
        <v>17</v>
      </c>
      <c r="AB27" s="1">
        <v>21</v>
      </c>
      <c r="AC27" s="1">
        <v>30</v>
      </c>
      <c r="AD27" s="1">
        <v>19</v>
      </c>
      <c r="AE27" s="1">
        <v>14</v>
      </c>
      <c r="AF27" s="18">
        <f t="shared" si="0"/>
        <v>33.833333333333336</v>
      </c>
    </row>
    <row r="28" spans="1:32" x14ac:dyDescent="0.35">
      <c r="A28" s="1" t="s">
        <v>16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8">
        <f t="shared" si="0"/>
        <v>0</v>
      </c>
    </row>
    <row r="29" spans="1:32" x14ac:dyDescent="0.35">
      <c r="A29" s="1" t="s">
        <v>195</v>
      </c>
      <c r="B29" s="1">
        <v>113</v>
      </c>
      <c r="C29" s="1">
        <v>159</v>
      </c>
      <c r="D29" s="1">
        <v>23</v>
      </c>
      <c r="E29" s="1">
        <v>43</v>
      </c>
      <c r="F29" s="1">
        <v>120</v>
      </c>
      <c r="G29" s="1">
        <v>29</v>
      </c>
      <c r="H29" s="1">
        <v>18</v>
      </c>
      <c r="I29" s="1">
        <v>121</v>
      </c>
      <c r="J29" s="1">
        <v>16</v>
      </c>
      <c r="K29" s="1">
        <v>105</v>
      </c>
      <c r="L29" s="1">
        <v>75</v>
      </c>
      <c r="M29" s="1">
        <v>31</v>
      </c>
      <c r="N29" s="1">
        <v>74</v>
      </c>
      <c r="O29" s="1">
        <v>15</v>
      </c>
      <c r="P29" s="1">
        <v>65</v>
      </c>
      <c r="Q29" s="1">
        <v>70</v>
      </c>
      <c r="R29" s="1">
        <v>115</v>
      </c>
      <c r="S29" s="1">
        <v>201</v>
      </c>
      <c r="T29" s="1">
        <v>93</v>
      </c>
      <c r="U29" s="1">
        <v>49</v>
      </c>
      <c r="V29" s="1">
        <v>25</v>
      </c>
      <c r="W29" s="1">
        <v>110</v>
      </c>
      <c r="X29" s="1">
        <v>40</v>
      </c>
      <c r="Y29" s="1">
        <v>39</v>
      </c>
      <c r="Z29" s="1">
        <v>17</v>
      </c>
      <c r="AA29" s="1">
        <v>127</v>
      </c>
      <c r="AB29" s="1">
        <v>90</v>
      </c>
      <c r="AC29" s="1">
        <v>99</v>
      </c>
      <c r="AD29" s="1">
        <v>23</v>
      </c>
      <c r="AE29" s="1">
        <v>28</v>
      </c>
      <c r="AF29" s="18">
        <f t="shared" si="0"/>
        <v>71.099999999999994</v>
      </c>
    </row>
    <row r="30" spans="1:32" x14ac:dyDescent="0.35">
      <c r="A30" s="1" t="s">
        <v>173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8">
        <f t="shared" si="0"/>
        <v>0</v>
      </c>
    </row>
    <row r="31" spans="1:32" x14ac:dyDescent="0.35">
      <c r="A31" s="1" t="s">
        <v>17</v>
      </c>
      <c r="B31" s="1">
        <v>17</v>
      </c>
      <c r="C31" s="1">
        <v>26</v>
      </c>
      <c r="D31" s="1">
        <v>41</v>
      </c>
      <c r="E31" s="1">
        <v>87</v>
      </c>
      <c r="F31" s="1">
        <v>69</v>
      </c>
      <c r="G31" s="1">
        <v>17</v>
      </c>
      <c r="H31" s="1">
        <v>46</v>
      </c>
      <c r="I31" s="1">
        <v>16</v>
      </c>
      <c r="J31" s="1">
        <v>78</v>
      </c>
      <c r="K31" s="1">
        <v>63</v>
      </c>
      <c r="L31" s="1">
        <v>32</v>
      </c>
      <c r="M31" s="1">
        <v>26</v>
      </c>
      <c r="N31" s="1">
        <v>52</v>
      </c>
      <c r="O31" s="1">
        <v>27</v>
      </c>
      <c r="P31" s="1">
        <v>28</v>
      </c>
      <c r="Q31" s="1">
        <v>84</v>
      </c>
      <c r="R31" s="1">
        <v>22</v>
      </c>
      <c r="S31" s="1">
        <v>39</v>
      </c>
      <c r="T31" s="1">
        <v>16</v>
      </c>
      <c r="U31" s="1">
        <v>70</v>
      </c>
      <c r="V31" s="1">
        <v>151</v>
      </c>
      <c r="W31" s="1">
        <v>127</v>
      </c>
      <c r="X31" s="1">
        <v>48</v>
      </c>
      <c r="Y31" s="1">
        <v>13</v>
      </c>
      <c r="Z31" s="1">
        <v>34</v>
      </c>
      <c r="AA31" s="1">
        <v>272</v>
      </c>
      <c r="AB31" s="1">
        <v>13</v>
      </c>
      <c r="AC31" s="1">
        <v>22</v>
      </c>
      <c r="AD31" s="1">
        <v>83</v>
      </c>
      <c r="AE31" s="1">
        <v>135</v>
      </c>
      <c r="AF31" s="18">
        <f t="shared" si="0"/>
        <v>58.466666666666669</v>
      </c>
    </row>
    <row r="32" spans="1:32" x14ac:dyDescent="0.35">
      <c r="A32" s="1" t="s">
        <v>18</v>
      </c>
      <c r="B32" s="1">
        <v>109</v>
      </c>
      <c r="C32" s="1">
        <v>140</v>
      </c>
      <c r="D32" s="1">
        <v>75</v>
      </c>
      <c r="E32" s="1">
        <v>341</v>
      </c>
      <c r="F32" s="1">
        <v>165</v>
      </c>
      <c r="G32" s="1">
        <v>100</v>
      </c>
      <c r="H32" s="1">
        <v>101</v>
      </c>
      <c r="I32" s="1">
        <v>41</v>
      </c>
      <c r="J32" s="1">
        <v>74</v>
      </c>
      <c r="K32" s="1">
        <v>45</v>
      </c>
      <c r="L32" s="1">
        <v>80</v>
      </c>
      <c r="M32" s="1">
        <v>17</v>
      </c>
      <c r="N32" s="1">
        <v>167</v>
      </c>
      <c r="O32" s="1">
        <v>17</v>
      </c>
      <c r="P32" s="1">
        <v>347</v>
      </c>
      <c r="Q32" s="1">
        <v>178</v>
      </c>
      <c r="R32" s="1">
        <v>13</v>
      </c>
      <c r="S32" s="1">
        <v>43</v>
      </c>
      <c r="T32" s="1">
        <v>344</v>
      </c>
      <c r="U32" s="1">
        <v>72</v>
      </c>
      <c r="V32" s="1">
        <v>21</v>
      </c>
      <c r="W32" s="1">
        <v>38</v>
      </c>
      <c r="X32" s="1">
        <v>29</v>
      </c>
      <c r="Y32" s="1">
        <v>104</v>
      </c>
      <c r="Z32" s="1">
        <v>104</v>
      </c>
      <c r="AA32" s="1">
        <v>23</v>
      </c>
      <c r="AB32" s="1">
        <v>29</v>
      </c>
      <c r="AC32" s="1">
        <v>57</v>
      </c>
      <c r="AD32" s="1">
        <v>96</v>
      </c>
      <c r="AE32" s="1">
        <v>78</v>
      </c>
      <c r="AF32" s="18">
        <f t="shared" si="0"/>
        <v>101.6</v>
      </c>
    </row>
    <row r="33" spans="1:32" x14ac:dyDescent="0.35">
      <c r="A33" s="1" t="s">
        <v>19</v>
      </c>
      <c r="B33" s="1">
        <v>107</v>
      </c>
      <c r="C33" s="1">
        <v>17</v>
      </c>
      <c r="D33" s="1">
        <v>93</v>
      </c>
      <c r="E33" s="1">
        <v>25</v>
      </c>
      <c r="F33" s="1">
        <v>43</v>
      </c>
      <c r="G33" s="1">
        <v>43</v>
      </c>
      <c r="H33" s="1">
        <v>89</v>
      </c>
      <c r="I33" s="1">
        <v>49</v>
      </c>
      <c r="J33" s="1">
        <v>41</v>
      </c>
      <c r="K33" s="1">
        <v>25</v>
      </c>
      <c r="L33" s="1">
        <v>77</v>
      </c>
      <c r="M33" s="1">
        <v>88</v>
      </c>
      <c r="N33" s="1">
        <v>29</v>
      </c>
      <c r="O33" s="1">
        <v>56</v>
      </c>
      <c r="P33" s="1">
        <v>80</v>
      </c>
      <c r="Q33" s="1">
        <v>18</v>
      </c>
      <c r="R33" s="1">
        <v>36</v>
      </c>
      <c r="S33" s="1">
        <v>26</v>
      </c>
      <c r="T33" s="1">
        <v>20</v>
      </c>
      <c r="U33" s="1">
        <v>18</v>
      </c>
      <c r="V33" s="1">
        <v>47</v>
      </c>
      <c r="W33" s="1">
        <v>14</v>
      </c>
      <c r="X33" s="1">
        <v>22</v>
      </c>
      <c r="Y33" s="1">
        <v>67</v>
      </c>
      <c r="Z33" s="1">
        <v>69</v>
      </c>
      <c r="AA33" s="1">
        <v>18</v>
      </c>
      <c r="AB33" s="1">
        <v>18</v>
      </c>
      <c r="AC33" s="1">
        <v>99</v>
      </c>
      <c r="AD33" s="1">
        <v>66</v>
      </c>
      <c r="AE33" s="1">
        <v>54</v>
      </c>
      <c r="AF33" s="18">
        <f t="shared" si="0"/>
        <v>48.466666666666669</v>
      </c>
    </row>
    <row r="34" spans="1:32" x14ac:dyDescent="0.35">
      <c r="A34" s="1" t="s">
        <v>174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8">
        <f t="shared" si="0"/>
        <v>0</v>
      </c>
    </row>
    <row r="35" spans="1:32" x14ac:dyDescent="0.35">
      <c r="A35" s="1" t="s">
        <v>20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8">
        <f t="shared" si="0"/>
        <v>0</v>
      </c>
    </row>
    <row r="36" spans="1:32" x14ac:dyDescent="0.35">
      <c r="A36" s="1" t="s">
        <v>21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8">
        <f t="shared" si="0"/>
        <v>0</v>
      </c>
    </row>
    <row r="37" spans="1:32" x14ac:dyDescent="0.35">
      <c r="A37" s="1" t="s">
        <v>22</v>
      </c>
      <c r="B37" s="1">
        <v>20</v>
      </c>
      <c r="C37" s="1">
        <v>32</v>
      </c>
      <c r="D37" s="1">
        <v>27</v>
      </c>
      <c r="E37" s="1">
        <v>56</v>
      </c>
      <c r="F37" s="1">
        <v>73</v>
      </c>
      <c r="G37" s="1">
        <v>15</v>
      </c>
      <c r="H37" s="1">
        <v>40</v>
      </c>
      <c r="I37" s="1">
        <v>85</v>
      </c>
      <c r="J37" s="1">
        <v>32</v>
      </c>
      <c r="K37" s="1">
        <v>22</v>
      </c>
      <c r="L37" s="1">
        <v>63</v>
      </c>
      <c r="M37" s="1">
        <v>25</v>
      </c>
      <c r="N37" s="1">
        <v>30</v>
      </c>
      <c r="O37" s="1">
        <v>16</v>
      </c>
      <c r="P37" s="1">
        <v>24</v>
      </c>
      <c r="Q37" s="1">
        <v>14</v>
      </c>
      <c r="R37" s="1">
        <v>108</v>
      </c>
      <c r="S37" s="1">
        <v>26</v>
      </c>
      <c r="T37" s="1">
        <v>23</v>
      </c>
      <c r="U37" s="1">
        <v>65</v>
      </c>
      <c r="V37" s="1">
        <v>19</v>
      </c>
      <c r="W37" s="1">
        <v>13</v>
      </c>
      <c r="X37" s="1">
        <v>69</v>
      </c>
      <c r="Y37" s="1">
        <v>32</v>
      </c>
      <c r="Z37" s="1">
        <v>110</v>
      </c>
      <c r="AA37" s="1">
        <v>72</v>
      </c>
      <c r="AB37" s="1">
        <v>66</v>
      </c>
      <c r="AC37" s="1">
        <v>45</v>
      </c>
      <c r="AD37" s="1">
        <v>44</v>
      </c>
      <c r="AE37" s="1">
        <v>12</v>
      </c>
      <c r="AF37" s="18">
        <f t="shared" si="0"/>
        <v>42.6</v>
      </c>
    </row>
    <row r="38" spans="1:32" x14ac:dyDescent="0.35">
      <c r="A38" s="1" t="s">
        <v>23</v>
      </c>
      <c r="B38" s="1">
        <v>217</v>
      </c>
      <c r="C38" s="1">
        <v>14</v>
      </c>
      <c r="D38" s="1">
        <v>21</v>
      </c>
      <c r="E38" s="1">
        <v>13</v>
      </c>
      <c r="F38" s="1">
        <v>53</v>
      </c>
      <c r="G38" s="1">
        <v>92</v>
      </c>
      <c r="H38" s="1">
        <v>32</v>
      </c>
      <c r="I38" s="1">
        <v>24</v>
      </c>
      <c r="J38" s="1">
        <v>79</v>
      </c>
      <c r="K38" s="1">
        <v>16</v>
      </c>
      <c r="L38" s="1">
        <v>20</v>
      </c>
      <c r="M38" s="1">
        <v>404</v>
      </c>
      <c r="N38" s="1">
        <v>14</v>
      </c>
      <c r="O38" s="1">
        <v>65</v>
      </c>
      <c r="P38" s="1">
        <v>102</v>
      </c>
      <c r="Q38" s="1">
        <v>62</v>
      </c>
      <c r="R38" s="1">
        <v>15</v>
      </c>
      <c r="S38" s="1">
        <v>53</v>
      </c>
      <c r="T38" s="1">
        <v>43</v>
      </c>
      <c r="U38" s="1">
        <v>18</v>
      </c>
      <c r="V38" s="1">
        <v>32</v>
      </c>
      <c r="W38" s="1">
        <v>42</v>
      </c>
      <c r="X38" s="1">
        <v>16</v>
      </c>
      <c r="Y38" s="1">
        <v>59</v>
      </c>
      <c r="Z38" s="1">
        <v>117</v>
      </c>
      <c r="AA38" s="1">
        <v>276</v>
      </c>
      <c r="AB38" s="1">
        <v>25</v>
      </c>
      <c r="AC38" s="1">
        <v>99</v>
      </c>
      <c r="AD38" s="1">
        <v>31</v>
      </c>
      <c r="AE38" s="1">
        <v>116</v>
      </c>
      <c r="AF38" s="18">
        <f t="shared" si="0"/>
        <v>72.333333333333329</v>
      </c>
    </row>
    <row r="39" spans="1:32" x14ac:dyDescent="0.35">
      <c r="A39" s="1" t="s">
        <v>24</v>
      </c>
      <c r="B39" s="1">
        <v>40</v>
      </c>
      <c r="C39" s="1">
        <v>39</v>
      </c>
      <c r="D39" s="1">
        <v>111</v>
      </c>
      <c r="E39" s="1">
        <v>182</v>
      </c>
      <c r="F39" s="1">
        <v>17</v>
      </c>
      <c r="G39" s="1">
        <v>90</v>
      </c>
      <c r="H39" s="1">
        <v>56</v>
      </c>
      <c r="I39" s="1">
        <v>115</v>
      </c>
      <c r="J39" s="1">
        <v>28</v>
      </c>
      <c r="K39" s="1">
        <v>13</v>
      </c>
      <c r="L39" s="1">
        <v>60</v>
      </c>
      <c r="M39" s="1">
        <v>58</v>
      </c>
      <c r="N39" s="1">
        <v>47</v>
      </c>
      <c r="O39" s="1">
        <v>15</v>
      </c>
      <c r="P39" s="1">
        <v>44</v>
      </c>
      <c r="Q39" s="1">
        <v>26</v>
      </c>
      <c r="R39" s="1">
        <v>148</v>
      </c>
      <c r="S39" s="1">
        <v>30</v>
      </c>
      <c r="T39" s="1">
        <v>21</v>
      </c>
      <c r="U39" s="1">
        <v>88</v>
      </c>
      <c r="V39" s="1">
        <v>60</v>
      </c>
      <c r="W39" s="1">
        <v>27</v>
      </c>
      <c r="X39" s="1">
        <v>41</v>
      </c>
      <c r="Y39" s="1">
        <v>12</v>
      </c>
      <c r="Z39" s="1">
        <v>50</v>
      </c>
      <c r="AA39" s="1">
        <v>77</v>
      </c>
      <c r="AB39" s="1">
        <v>51</v>
      </c>
      <c r="AC39" s="1">
        <v>137</v>
      </c>
      <c r="AD39" s="1">
        <v>41</v>
      </c>
      <c r="AE39" s="1">
        <v>57</v>
      </c>
      <c r="AF39" s="18">
        <f t="shared" si="0"/>
        <v>59.366666666666667</v>
      </c>
    </row>
    <row r="40" spans="1:32" x14ac:dyDescent="0.35">
      <c r="A40" s="1" t="s">
        <v>25</v>
      </c>
      <c r="B40" s="1">
        <v>219</v>
      </c>
      <c r="C40" s="1">
        <v>14</v>
      </c>
      <c r="D40" s="1">
        <v>87</v>
      </c>
      <c r="E40" s="1">
        <v>89</v>
      </c>
      <c r="F40" s="1">
        <v>66</v>
      </c>
      <c r="G40" s="1">
        <v>75</v>
      </c>
      <c r="H40" s="1">
        <v>163</v>
      </c>
      <c r="I40" s="1">
        <v>197</v>
      </c>
      <c r="J40" s="1">
        <v>190</v>
      </c>
      <c r="K40" s="1">
        <v>96</v>
      </c>
      <c r="L40" s="1">
        <v>44</v>
      </c>
      <c r="M40" s="1">
        <v>141</v>
      </c>
      <c r="N40" s="1">
        <v>18</v>
      </c>
      <c r="O40" s="1">
        <v>33</v>
      </c>
      <c r="P40" s="1">
        <v>32</v>
      </c>
      <c r="Q40" s="1">
        <v>15</v>
      </c>
      <c r="R40" s="1">
        <v>223</v>
      </c>
      <c r="S40" s="1">
        <v>110</v>
      </c>
      <c r="T40" s="1">
        <v>58</v>
      </c>
      <c r="U40" s="1">
        <v>79</v>
      </c>
      <c r="V40" s="1">
        <v>62</v>
      </c>
      <c r="W40" s="1">
        <v>25</v>
      </c>
      <c r="X40" s="1">
        <v>25</v>
      </c>
      <c r="Y40" s="1">
        <v>63</v>
      </c>
      <c r="Z40" s="1">
        <v>141</v>
      </c>
      <c r="AA40" s="1">
        <v>29</v>
      </c>
      <c r="AB40" s="1">
        <v>29</v>
      </c>
      <c r="AC40" s="1">
        <v>69</v>
      </c>
      <c r="AD40" s="1">
        <v>55</v>
      </c>
      <c r="AE40" s="1">
        <v>47</v>
      </c>
      <c r="AF40" s="18">
        <f t="shared" si="0"/>
        <v>83.13333333333334</v>
      </c>
    </row>
    <row r="41" spans="1:32" x14ac:dyDescent="0.35">
      <c r="A41" s="1" t="s">
        <v>26</v>
      </c>
      <c r="B41" s="1">
        <v>14</v>
      </c>
      <c r="C41" s="1">
        <v>42</v>
      </c>
      <c r="D41" s="1">
        <v>72</v>
      </c>
      <c r="E41" s="1">
        <v>178</v>
      </c>
      <c r="F41" s="1">
        <v>25</v>
      </c>
      <c r="G41" s="1">
        <v>17</v>
      </c>
      <c r="H41" s="1">
        <v>90</v>
      </c>
      <c r="I41" s="1">
        <v>22</v>
      </c>
      <c r="J41" s="1">
        <v>14</v>
      </c>
      <c r="K41" s="1">
        <v>19</v>
      </c>
      <c r="L41" s="1">
        <v>403</v>
      </c>
      <c r="M41" s="1">
        <v>35</v>
      </c>
      <c r="N41" s="1">
        <v>46</v>
      </c>
      <c r="O41" s="1">
        <v>99</v>
      </c>
      <c r="P41" s="1">
        <v>224</v>
      </c>
      <c r="Q41" s="1">
        <v>29</v>
      </c>
      <c r="R41" s="1">
        <v>158</v>
      </c>
      <c r="S41" s="1">
        <v>64</v>
      </c>
      <c r="T41" s="1">
        <v>240</v>
      </c>
      <c r="U41" s="1">
        <v>57</v>
      </c>
      <c r="V41" s="1">
        <v>40</v>
      </c>
      <c r="W41" s="1">
        <v>50</v>
      </c>
      <c r="X41" s="1">
        <v>72</v>
      </c>
      <c r="Y41" s="1">
        <v>109</v>
      </c>
      <c r="Z41" s="1">
        <v>37</v>
      </c>
      <c r="AA41" s="1">
        <v>67</v>
      </c>
      <c r="AB41" s="1">
        <v>124</v>
      </c>
      <c r="AC41" s="1">
        <v>350</v>
      </c>
      <c r="AD41" s="1">
        <v>28</v>
      </c>
      <c r="AE41" s="1">
        <v>14</v>
      </c>
      <c r="AF41" s="18">
        <f t="shared" si="0"/>
        <v>91.3</v>
      </c>
    </row>
    <row r="42" spans="1:32" x14ac:dyDescent="0.35">
      <c r="A42" s="1" t="s">
        <v>27</v>
      </c>
      <c r="B42" s="1">
        <v>35</v>
      </c>
      <c r="C42" s="1">
        <v>21</v>
      </c>
      <c r="D42" s="1">
        <v>16</v>
      </c>
      <c r="E42" s="1">
        <v>27</v>
      </c>
      <c r="F42" s="1">
        <v>67</v>
      </c>
      <c r="G42" s="1">
        <v>29</v>
      </c>
      <c r="H42" s="1">
        <v>13</v>
      </c>
      <c r="I42" s="1">
        <v>98</v>
      </c>
      <c r="J42" s="1">
        <v>12</v>
      </c>
      <c r="K42" s="1">
        <v>137</v>
      </c>
      <c r="L42" s="1">
        <v>90</v>
      </c>
      <c r="M42" s="1">
        <v>28</v>
      </c>
      <c r="N42" s="1">
        <v>33</v>
      </c>
      <c r="O42" s="1">
        <v>29</v>
      </c>
      <c r="P42" s="1">
        <v>17</v>
      </c>
      <c r="Q42" s="1">
        <v>19</v>
      </c>
      <c r="R42" s="1">
        <v>12</v>
      </c>
      <c r="S42" s="1">
        <v>48</v>
      </c>
      <c r="T42" s="1">
        <v>32</v>
      </c>
      <c r="U42" s="1">
        <v>14</v>
      </c>
      <c r="V42" s="1">
        <v>27</v>
      </c>
      <c r="W42" s="1">
        <v>68</v>
      </c>
      <c r="X42" s="1">
        <v>32</v>
      </c>
      <c r="Y42" s="1">
        <v>13</v>
      </c>
      <c r="Z42" s="1">
        <v>38</v>
      </c>
      <c r="AA42" s="1">
        <v>30</v>
      </c>
      <c r="AB42" s="1">
        <v>23</v>
      </c>
      <c r="AC42" s="1">
        <v>50</v>
      </c>
      <c r="AD42" s="1">
        <v>68</v>
      </c>
      <c r="AE42" s="1">
        <v>75</v>
      </c>
      <c r="AF42" s="18">
        <f t="shared" si="0"/>
        <v>40.033333333333331</v>
      </c>
    </row>
    <row r="43" spans="1:32" x14ac:dyDescent="0.35">
      <c r="A43" s="1" t="s">
        <v>164</v>
      </c>
      <c r="B43" s="1">
        <v>50</v>
      </c>
      <c r="C43" s="1">
        <v>23</v>
      </c>
      <c r="D43" s="1">
        <v>52</v>
      </c>
      <c r="E43" s="1">
        <v>30</v>
      </c>
      <c r="F43" s="1">
        <v>27</v>
      </c>
      <c r="G43" s="1">
        <v>79</v>
      </c>
      <c r="H43" s="1">
        <v>122</v>
      </c>
      <c r="I43" s="1">
        <v>53</v>
      </c>
      <c r="J43" s="1">
        <v>22</v>
      </c>
      <c r="K43" s="1">
        <v>119</v>
      </c>
      <c r="L43" s="1">
        <v>112</v>
      </c>
      <c r="M43" s="1">
        <v>33</v>
      </c>
      <c r="N43" s="1">
        <v>25</v>
      </c>
      <c r="O43" s="1">
        <v>21</v>
      </c>
      <c r="P43" s="1">
        <v>55</v>
      </c>
      <c r="Q43" s="1">
        <v>31</v>
      </c>
      <c r="R43" s="1">
        <v>13</v>
      </c>
      <c r="S43" s="1">
        <v>58</v>
      </c>
      <c r="T43" s="1">
        <v>75</v>
      </c>
      <c r="U43" s="1">
        <v>75</v>
      </c>
      <c r="V43" s="1">
        <v>20</v>
      </c>
      <c r="W43" s="1">
        <v>13</v>
      </c>
      <c r="X43" s="1">
        <v>21</v>
      </c>
      <c r="Y43" s="1">
        <v>238</v>
      </c>
      <c r="Z43" s="1">
        <v>25</v>
      </c>
      <c r="AA43" s="1">
        <v>50</v>
      </c>
      <c r="AB43" s="1">
        <v>100</v>
      </c>
      <c r="AC43" s="1">
        <v>31</v>
      </c>
      <c r="AD43" s="1">
        <v>41</v>
      </c>
      <c r="AE43" s="1">
        <v>85</v>
      </c>
      <c r="AF43" s="18">
        <f t="shared" si="0"/>
        <v>56.633333333333333</v>
      </c>
    </row>
    <row r="44" spans="1:32" x14ac:dyDescent="0.35">
      <c r="A44" s="1" t="s">
        <v>28</v>
      </c>
      <c r="B44" s="1">
        <v>78</v>
      </c>
      <c r="C44" s="1">
        <v>16</v>
      </c>
      <c r="D44" s="1">
        <v>58</v>
      </c>
      <c r="E44" s="1">
        <v>35</v>
      </c>
      <c r="F44" s="1">
        <v>186</v>
      </c>
      <c r="G44" s="1">
        <v>25</v>
      </c>
      <c r="H44" s="1">
        <v>194</v>
      </c>
      <c r="I44" s="1">
        <v>22</v>
      </c>
      <c r="J44" s="1">
        <v>22</v>
      </c>
      <c r="K44" s="1">
        <v>50</v>
      </c>
      <c r="L44" s="1">
        <v>186</v>
      </c>
      <c r="M44" s="1">
        <v>72</v>
      </c>
      <c r="N44" s="1">
        <v>24</v>
      </c>
      <c r="O44" s="1">
        <v>45</v>
      </c>
      <c r="P44" s="1">
        <v>82</v>
      </c>
      <c r="Q44" s="1">
        <v>12</v>
      </c>
      <c r="R44" s="1">
        <v>18</v>
      </c>
      <c r="S44" s="1">
        <v>39</v>
      </c>
      <c r="T44" s="1">
        <v>64</v>
      </c>
      <c r="U44" s="1">
        <v>16</v>
      </c>
      <c r="V44" s="1">
        <v>32</v>
      </c>
      <c r="W44" s="1">
        <v>26</v>
      </c>
      <c r="X44" s="1">
        <v>116</v>
      </c>
      <c r="Y44" s="1">
        <v>142</v>
      </c>
      <c r="Z44" s="1">
        <v>39</v>
      </c>
      <c r="AA44" s="1">
        <v>42</v>
      </c>
      <c r="AB44" s="1">
        <v>24</v>
      </c>
      <c r="AC44" s="1">
        <v>102</v>
      </c>
      <c r="AD44" s="1">
        <v>80</v>
      </c>
      <c r="AE44" s="1">
        <v>12</v>
      </c>
      <c r="AF44" s="18">
        <f t="shared" si="0"/>
        <v>61.966666666666669</v>
      </c>
    </row>
    <row r="45" spans="1:32" x14ac:dyDescent="0.35">
      <c r="A45" s="1" t="s">
        <v>29</v>
      </c>
      <c r="B45" s="1">
        <v>22</v>
      </c>
      <c r="C45" s="1">
        <v>38</v>
      </c>
      <c r="D45" s="1">
        <v>47</v>
      </c>
      <c r="E45" s="1">
        <v>39</v>
      </c>
      <c r="F45" s="1">
        <v>34</v>
      </c>
      <c r="G45" s="1">
        <v>61</v>
      </c>
      <c r="H45" s="1">
        <v>16</v>
      </c>
      <c r="I45" s="1">
        <v>23</v>
      </c>
      <c r="J45" s="1">
        <v>69</v>
      </c>
      <c r="K45" s="1">
        <v>135</v>
      </c>
      <c r="L45" s="1">
        <v>31</v>
      </c>
      <c r="M45" s="1">
        <v>36</v>
      </c>
      <c r="N45" s="1">
        <v>34</v>
      </c>
      <c r="O45" s="1">
        <v>46</v>
      </c>
      <c r="P45" s="1">
        <v>13</v>
      </c>
      <c r="Q45" s="1">
        <v>58</v>
      </c>
      <c r="R45" s="1">
        <v>64</v>
      </c>
      <c r="S45" s="1">
        <v>36</v>
      </c>
      <c r="T45" s="1">
        <v>57</v>
      </c>
      <c r="U45" s="1">
        <v>24</v>
      </c>
      <c r="V45" s="1">
        <v>43</v>
      </c>
      <c r="W45" s="1">
        <v>27</v>
      </c>
      <c r="X45" s="1">
        <v>13</v>
      </c>
      <c r="Y45" s="1">
        <v>19</v>
      </c>
      <c r="Z45" s="1">
        <v>20</v>
      </c>
      <c r="AA45" s="1">
        <v>218</v>
      </c>
      <c r="AB45" s="1">
        <v>26</v>
      </c>
      <c r="AC45" s="1">
        <v>111</v>
      </c>
      <c r="AD45" s="1">
        <v>31</v>
      </c>
      <c r="AE45" s="1">
        <v>90</v>
      </c>
      <c r="AF45" s="18">
        <f t="shared" si="0"/>
        <v>49.366666666666667</v>
      </c>
    </row>
    <row r="46" spans="1:32" x14ac:dyDescent="0.35">
      <c r="A46" s="1" t="s">
        <v>30</v>
      </c>
      <c r="B46" s="1">
        <v>81</v>
      </c>
      <c r="C46" s="1">
        <v>30</v>
      </c>
      <c r="D46" s="1">
        <v>39</v>
      </c>
      <c r="E46" s="1">
        <v>37</v>
      </c>
      <c r="F46" s="1">
        <v>113</v>
      </c>
      <c r="G46" s="1">
        <v>13</v>
      </c>
      <c r="H46" s="1">
        <v>115</v>
      </c>
      <c r="I46" s="1">
        <v>86</v>
      </c>
      <c r="J46" s="1">
        <v>12</v>
      </c>
      <c r="K46" s="1">
        <v>25</v>
      </c>
      <c r="L46" s="1">
        <v>65</v>
      </c>
      <c r="M46" s="1">
        <v>25</v>
      </c>
      <c r="N46" s="1">
        <v>14</v>
      </c>
      <c r="O46" s="1">
        <v>46</v>
      </c>
      <c r="P46" s="1">
        <v>13</v>
      </c>
      <c r="Q46" s="1">
        <v>163</v>
      </c>
      <c r="R46" s="1">
        <v>149</v>
      </c>
      <c r="S46" s="1">
        <v>66</v>
      </c>
      <c r="T46" s="1">
        <v>55</v>
      </c>
      <c r="U46" s="1">
        <v>160</v>
      </c>
      <c r="V46" s="1">
        <v>157</v>
      </c>
      <c r="W46" s="1">
        <v>61</v>
      </c>
      <c r="X46" s="1">
        <v>65</v>
      </c>
      <c r="Y46" s="1">
        <v>77</v>
      </c>
      <c r="Z46" s="1">
        <v>74</v>
      </c>
      <c r="AA46" s="1">
        <v>16</v>
      </c>
      <c r="AB46" s="1">
        <v>156</v>
      </c>
      <c r="AC46" s="1">
        <v>77</v>
      </c>
      <c r="AD46" s="1">
        <v>25</v>
      </c>
      <c r="AE46" s="1">
        <v>116</v>
      </c>
      <c r="AF46" s="18">
        <f t="shared" si="0"/>
        <v>71.033333333333331</v>
      </c>
    </row>
    <row r="47" spans="1:32" x14ac:dyDescent="0.35">
      <c r="A47" s="1" t="s">
        <v>175</v>
      </c>
      <c r="B47" s="1">
        <v>12</v>
      </c>
      <c r="C47" s="1">
        <v>33</v>
      </c>
      <c r="D47" s="1">
        <v>37</v>
      </c>
      <c r="E47" s="1">
        <v>47</v>
      </c>
      <c r="F47" s="1">
        <v>36</v>
      </c>
      <c r="G47" s="1">
        <v>19</v>
      </c>
      <c r="H47" s="1">
        <v>167</v>
      </c>
      <c r="I47" s="1">
        <v>415</v>
      </c>
      <c r="J47" s="1">
        <v>13</v>
      </c>
      <c r="K47" s="1">
        <v>44</v>
      </c>
      <c r="L47" s="1">
        <v>70</v>
      </c>
      <c r="M47" s="1">
        <v>16</v>
      </c>
      <c r="N47" s="1">
        <v>47</v>
      </c>
      <c r="O47" s="1">
        <v>172</v>
      </c>
      <c r="P47" s="1">
        <v>36</v>
      </c>
      <c r="Q47" s="1">
        <v>76</v>
      </c>
      <c r="R47" s="1">
        <v>27</v>
      </c>
      <c r="S47" s="1">
        <v>105</v>
      </c>
      <c r="T47" s="1">
        <v>90</v>
      </c>
      <c r="U47" s="1">
        <v>64</v>
      </c>
      <c r="V47" s="1">
        <v>112</v>
      </c>
      <c r="W47" s="1">
        <v>65</v>
      </c>
      <c r="X47" s="1">
        <v>30</v>
      </c>
      <c r="Y47" s="1">
        <v>38</v>
      </c>
      <c r="Z47" s="1">
        <v>198</v>
      </c>
      <c r="AA47" s="1">
        <v>13</v>
      </c>
      <c r="AB47" s="1">
        <v>27</v>
      </c>
      <c r="AC47" s="1">
        <v>51</v>
      </c>
      <c r="AD47" s="1">
        <v>35</v>
      </c>
      <c r="AE47" s="1">
        <v>168</v>
      </c>
      <c r="AF47" s="18">
        <f t="shared" si="0"/>
        <v>75.433333333333337</v>
      </c>
    </row>
    <row r="48" spans="1:32" x14ac:dyDescent="0.35">
      <c r="A48" s="1" t="s">
        <v>31</v>
      </c>
      <c r="B48" s="1">
        <v>13</v>
      </c>
      <c r="C48" s="1">
        <v>77</v>
      </c>
      <c r="D48" s="1">
        <v>58</v>
      </c>
      <c r="E48" s="1">
        <v>42</v>
      </c>
      <c r="F48" s="1">
        <v>56</v>
      </c>
      <c r="G48" s="1">
        <v>78</v>
      </c>
      <c r="H48" s="1">
        <v>25</v>
      </c>
      <c r="I48" s="1">
        <v>25</v>
      </c>
      <c r="J48" s="1">
        <v>37</v>
      </c>
      <c r="K48" s="1">
        <v>27</v>
      </c>
      <c r="L48" s="1">
        <v>89</v>
      </c>
      <c r="M48" s="1">
        <v>18</v>
      </c>
      <c r="N48" s="1">
        <v>30</v>
      </c>
      <c r="O48" s="1">
        <v>18</v>
      </c>
      <c r="P48" s="1">
        <v>35</v>
      </c>
      <c r="Q48" s="1">
        <v>72</v>
      </c>
      <c r="R48" s="1">
        <v>63</v>
      </c>
      <c r="S48" s="1">
        <v>104</v>
      </c>
      <c r="T48" s="1">
        <v>51</v>
      </c>
      <c r="U48" s="1">
        <v>25</v>
      </c>
      <c r="V48" s="1">
        <v>48</v>
      </c>
      <c r="W48" s="1">
        <v>26</v>
      </c>
      <c r="X48" s="1">
        <v>28</v>
      </c>
      <c r="Y48" s="1">
        <v>64</v>
      </c>
      <c r="Z48" s="1">
        <v>101</v>
      </c>
      <c r="AA48" s="1">
        <v>84</v>
      </c>
      <c r="AB48" s="1">
        <v>30</v>
      </c>
      <c r="AC48" s="1">
        <v>60</v>
      </c>
      <c r="AD48" s="1">
        <v>75</v>
      </c>
      <c r="AE48" s="1">
        <v>12</v>
      </c>
      <c r="AF48" s="18">
        <f t="shared" si="0"/>
        <v>49.033333333333331</v>
      </c>
    </row>
    <row r="49" spans="1:32" x14ac:dyDescent="0.35">
      <c r="A49" s="1" t="s">
        <v>32</v>
      </c>
      <c r="B49" s="1">
        <v>55</v>
      </c>
      <c r="C49" s="1">
        <v>94</v>
      </c>
      <c r="D49" s="1">
        <v>113</v>
      </c>
      <c r="E49" s="1">
        <v>132</v>
      </c>
      <c r="F49" s="1">
        <v>16</v>
      </c>
      <c r="G49" s="1">
        <v>122</v>
      </c>
      <c r="H49" s="1">
        <v>18</v>
      </c>
      <c r="I49" s="1">
        <v>173</v>
      </c>
      <c r="J49" s="1">
        <v>75</v>
      </c>
      <c r="K49" s="1">
        <v>18</v>
      </c>
      <c r="L49" s="1">
        <v>81</v>
      </c>
      <c r="M49" s="1">
        <v>36</v>
      </c>
      <c r="N49" s="1">
        <v>116</v>
      </c>
      <c r="O49" s="1">
        <v>127</v>
      </c>
      <c r="P49" s="1">
        <v>35</v>
      </c>
      <c r="Q49" s="1">
        <v>342</v>
      </c>
      <c r="R49" s="1">
        <v>14</v>
      </c>
      <c r="S49" s="1">
        <v>60</v>
      </c>
      <c r="T49" s="1">
        <v>30</v>
      </c>
      <c r="U49" s="1">
        <v>17</v>
      </c>
      <c r="V49" s="1">
        <v>112</v>
      </c>
      <c r="W49" s="1">
        <v>27</v>
      </c>
      <c r="X49" s="1">
        <v>16</v>
      </c>
      <c r="Y49" s="1">
        <v>123</v>
      </c>
      <c r="Z49" s="1">
        <v>43</v>
      </c>
      <c r="AA49" s="1">
        <v>95</v>
      </c>
      <c r="AB49" s="1">
        <v>15</v>
      </c>
      <c r="AC49" s="1">
        <v>20</v>
      </c>
      <c r="AD49" s="1">
        <v>36</v>
      </c>
      <c r="AE49" s="1">
        <v>36</v>
      </c>
      <c r="AF49" s="18">
        <f t="shared" si="0"/>
        <v>73.233333333333334</v>
      </c>
    </row>
    <row r="50" spans="1:32" x14ac:dyDescent="0.35">
      <c r="A50" s="1" t="s">
        <v>33</v>
      </c>
      <c r="B50" s="1">
        <v>12</v>
      </c>
      <c r="C50" s="1">
        <v>21</v>
      </c>
      <c r="D50" s="1">
        <v>71</v>
      </c>
      <c r="E50" s="1">
        <v>75</v>
      </c>
      <c r="F50" s="1">
        <v>42</v>
      </c>
      <c r="G50" s="1">
        <v>95</v>
      </c>
      <c r="H50" s="1">
        <v>124</v>
      </c>
      <c r="I50" s="1">
        <v>149</v>
      </c>
      <c r="J50" s="1">
        <v>98</v>
      </c>
      <c r="K50" s="1">
        <v>179</v>
      </c>
      <c r="L50" s="1">
        <v>23</v>
      </c>
      <c r="M50" s="1">
        <v>165</v>
      </c>
      <c r="N50" s="1">
        <v>23</v>
      </c>
      <c r="O50" s="1">
        <v>31</v>
      </c>
      <c r="P50" s="1">
        <v>18</v>
      </c>
      <c r="Q50" s="1">
        <v>305</v>
      </c>
      <c r="R50" s="1">
        <v>116</v>
      </c>
      <c r="S50" s="1">
        <v>149</v>
      </c>
      <c r="T50" s="1">
        <v>57</v>
      </c>
      <c r="U50" s="1">
        <v>114</v>
      </c>
      <c r="V50" s="1">
        <v>13</v>
      </c>
      <c r="W50" s="1">
        <v>85</v>
      </c>
      <c r="X50" s="1">
        <v>59</v>
      </c>
      <c r="Y50" s="1">
        <v>85</v>
      </c>
      <c r="Z50" s="1">
        <v>13</v>
      </c>
      <c r="AA50" s="1">
        <v>53</v>
      </c>
      <c r="AB50" s="1">
        <v>54</v>
      </c>
      <c r="AC50" s="1">
        <v>29</v>
      </c>
      <c r="AD50" s="1">
        <v>58</v>
      </c>
      <c r="AE50" s="1">
        <v>27</v>
      </c>
      <c r="AF50" s="18">
        <f t="shared" si="0"/>
        <v>78.099999999999994</v>
      </c>
    </row>
    <row r="51" spans="1:32" x14ac:dyDescent="0.35">
      <c r="A51" s="1" t="s">
        <v>34</v>
      </c>
      <c r="B51" s="1">
        <v>181</v>
      </c>
      <c r="C51" s="1">
        <v>106</v>
      </c>
      <c r="D51" s="1">
        <v>86</v>
      </c>
      <c r="E51" s="1">
        <v>61</v>
      </c>
      <c r="F51" s="1">
        <v>14</v>
      </c>
      <c r="G51" s="1">
        <v>60</v>
      </c>
      <c r="H51" s="1">
        <v>21</v>
      </c>
      <c r="I51" s="1">
        <v>72</v>
      </c>
      <c r="J51" s="1">
        <v>107</v>
      </c>
      <c r="K51" s="1">
        <v>23</v>
      </c>
      <c r="L51" s="1">
        <v>19</v>
      </c>
      <c r="M51" s="1">
        <v>16</v>
      </c>
      <c r="N51" s="1">
        <v>57</v>
      </c>
      <c r="O51" s="1">
        <v>30</v>
      </c>
      <c r="P51" s="1">
        <v>103</v>
      </c>
      <c r="Q51" s="1">
        <v>42</v>
      </c>
      <c r="R51" s="1">
        <v>37</v>
      </c>
      <c r="S51" s="1">
        <v>41</v>
      </c>
      <c r="T51" s="1">
        <v>81</v>
      </c>
      <c r="U51" s="1">
        <v>90</v>
      </c>
      <c r="V51" s="1">
        <v>39</v>
      </c>
      <c r="W51" s="1">
        <v>19</v>
      </c>
      <c r="X51" s="1">
        <v>16</v>
      </c>
      <c r="Y51" s="1">
        <v>12</v>
      </c>
      <c r="Z51" s="1">
        <v>88</v>
      </c>
      <c r="AA51" s="1">
        <v>160</v>
      </c>
      <c r="AB51" s="1">
        <v>89</v>
      </c>
      <c r="AC51" s="1">
        <v>125</v>
      </c>
      <c r="AD51" s="1">
        <v>155</v>
      </c>
      <c r="AE51" s="1">
        <v>33</v>
      </c>
      <c r="AF51" s="18">
        <f t="shared" si="0"/>
        <v>66.099999999999994</v>
      </c>
    </row>
    <row r="52" spans="1:32" x14ac:dyDescent="0.35">
      <c r="A52" s="1" t="s">
        <v>35</v>
      </c>
      <c r="B52" s="1">
        <v>41</v>
      </c>
      <c r="C52" s="1">
        <v>20</v>
      </c>
      <c r="D52" s="1">
        <v>13</v>
      </c>
      <c r="E52" s="1">
        <v>135</v>
      </c>
      <c r="F52" s="1">
        <v>54</v>
      </c>
      <c r="G52" s="1">
        <v>22</v>
      </c>
      <c r="H52" s="1">
        <v>51</v>
      </c>
      <c r="I52" s="1">
        <v>17</v>
      </c>
      <c r="J52" s="1">
        <v>90</v>
      </c>
      <c r="K52" s="1">
        <v>12</v>
      </c>
      <c r="L52" s="1">
        <v>42</v>
      </c>
      <c r="M52" s="1">
        <v>32</v>
      </c>
      <c r="N52" s="1">
        <v>57</v>
      </c>
      <c r="O52" s="1">
        <v>30</v>
      </c>
      <c r="P52" s="1">
        <v>28</v>
      </c>
      <c r="Q52" s="1">
        <v>18</v>
      </c>
      <c r="R52" s="1">
        <v>24</v>
      </c>
      <c r="S52" s="1">
        <v>58</v>
      </c>
      <c r="T52" s="1">
        <v>16</v>
      </c>
      <c r="U52" s="1">
        <v>58</v>
      </c>
      <c r="V52" s="1">
        <v>42</v>
      </c>
      <c r="W52" s="1">
        <v>18</v>
      </c>
      <c r="X52" s="1">
        <v>22</v>
      </c>
      <c r="Y52" s="1">
        <v>109</v>
      </c>
      <c r="Z52" s="1">
        <v>38</v>
      </c>
      <c r="AA52" s="1">
        <v>32</v>
      </c>
      <c r="AB52" s="1">
        <v>21</v>
      </c>
      <c r="AC52" s="1">
        <v>32</v>
      </c>
      <c r="AD52" s="1">
        <v>19</v>
      </c>
      <c r="AE52" s="1">
        <v>14</v>
      </c>
      <c r="AF52" s="18">
        <f t="shared" si="0"/>
        <v>38.833333333333336</v>
      </c>
    </row>
    <row r="53" spans="1:32" x14ac:dyDescent="0.35">
      <c r="A53" s="1" t="s">
        <v>36</v>
      </c>
      <c r="B53" s="1">
        <v>81</v>
      </c>
      <c r="C53" s="1">
        <v>42</v>
      </c>
      <c r="D53" s="1">
        <v>94</v>
      </c>
      <c r="E53" s="1">
        <v>66</v>
      </c>
      <c r="F53" s="1">
        <v>18</v>
      </c>
      <c r="G53" s="1">
        <v>15</v>
      </c>
      <c r="H53" s="1">
        <v>22</v>
      </c>
      <c r="I53" s="1">
        <v>16</v>
      </c>
      <c r="J53" s="1">
        <v>19</v>
      </c>
      <c r="K53" s="1">
        <v>45</v>
      </c>
      <c r="L53" s="1">
        <v>190</v>
      </c>
      <c r="M53" s="1">
        <v>100</v>
      </c>
      <c r="N53" s="1">
        <v>36</v>
      </c>
      <c r="O53" s="1">
        <v>29</v>
      </c>
      <c r="P53" s="1">
        <v>55</v>
      </c>
      <c r="Q53" s="1">
        <v>93</v>
      </c>
      <c r="R53" s="1">
        <v>39</v>
      </c>
      <c r="S53" s="1">
        <v>25</v>
      </c>
      <c r="T53" s="1">
        <v>74</v>
      </c>
      <c r="U53" s="1">
        <v>21</v>
      </c>
      <c r="V53" s="1">
        <v>50</v>
      </c>
      <c r="W53" s="1">
        <v>30</v>
      </c>
      <c r="X53" s="1">
        <v>22</v>
      </c>
      <c r="Y53" s="1">
        <v>21</v>
      </c>
      <c r="Z53" s="1">
        <v>64</v>
      </c>
      <c r="AA53" s="1">
        <v>28</v>
      </c>
      <c r="AB53" s="1">
        <v>49</v>
      </c>
      <c r="AC53" s="1">
        <v>64</v>
      </c>
      <c r="AD53" s="1">
        <v>22</v>
      </c>
      <c r="AE53" s="1">
        <v>30</v>
      </c>
      <c r="AF53" s="18">
        <f t="shared" si="0"/>
        <v>48.666666666666664</v>
      </c>
    </row>
    <row r="54" spans="1:32" x14ac:dyDescent="0.35">
      <c r="A54" s="1" t="s">
        <v>37</v>
      </c>
      <c r="B54" s="1">
        <v>67</v>
      </c>
      <c r="C54" s="1">
        <v>43</v>
      </c>
      <c r="D54" s="1">
        <v>42</v>
      </c>
      <c r="E54" s="1">
        <v>95</v>
      </c>
      <c r="F54" s="1">
        <v>22</v>
      </c>
      <c r="G54" s="1">
        <v>15</v>
      </c>
      <c r="H54" s="1">
        <v>45</v>
      </c>
      <c r="I54" s="1">
        <v>153</v>
      </c>
      <c r="J54" s="1">
        <v>47</v>
      </c>
      <c r="K54" s="1">
        <v>78</v>
      </c>
      <c r="L54" s="1">
        <v>29</v>
      </c>
      <c r="M54" s="1">
        <v>26</v>
      </c>
      <c r="N54" s="1">
        <v>55</v>
      </c>
      <c r="O54" s="1">
        <v>91</v>
      </c>
      <c r="P54" s="1">
        <v>14</v>
      </c>
      <c r="Q54" s="1">
        <v>19</v>
      </c>
      <c r="R54" s="1">
        <v>30</v>
      </c>
      <c r="S54" s="1">
        <v>124</v>
      </c>
      <c r="T54" s="1">
        <v>19</v>
      </c>
      <c r="U54" s="1">
        <v>76</v>
      </c>
      <c r="V54" s="1">
        <v>25</v>
      </c>
      <c r="W54" s="1">
        <v>13</v>
      </c>
      <c r="X54" s="1">
        <v>15</v>
      </c>
      <c r="Y54" s="1">
        <v>15</v>
      </c>
      <c r="Z54" s="1">
        <v>45</v>
      </c>
      <c r="AA54" s="1">
        <v>20</v>
      </c>
      <c r="AB54" s="1">
        <v>18</v>
      </c>
      <c r="AC54" s="1">
        <v>38</v>
      </c>
      <c r="AD54" s="1">
        <v>60</v>
      </c>
      <c r="AE54" s="1">
        <v>48</v>
      </c>
      <c r="AF54" s="18">
        <f t="shared" si="0"/>
        <v>46.233333333333334</v>
      </c>
    </row>
    <row r="55" spans="1:32" x14ac:dyDescent="0.35">
      <c r="A55" s="1" t="s">
        <v>38</v>
      </c>
      <c r="B55" s="1">
        <v>54</v>
      </c>
      <c r="C55" s="1">
        <v>54</v>
      </c>
      <c r="D55" s="1">
        <v>42</v>
      </c>
      <c r="E55" s="1">
        <v>136</v>
      </c>
      <c r="F55" s="1">
        <v>15</v>
      </c>
      <c r="G55" s="1">
        <v>14</v>
      </c>
      <c r="H55" s="1">
        <v>196</v>
      </c>
      <c r="I55" s="1">
        <v>25</v>
      </c>
      <c r="J55" s="1">
        <v>16</v>
      </c>
      <c r="K55" s="1">
        <v>67</v>
      </c>
      <c r="L55" s="1">
        <v>53</v>
      </c>
      <c r="M55" s="1">
        <v>30</v>
      </c>
      <c r="N55" s="1">
        <v>39</v>
      </c>
      <c r="O55" s="1">
        <v>23</v>
      </c>
      <c r="P55" s="1">
        <v>79</v>
      </c>
      <c r="Q55" s="1">
        <v>122</v>
      </c>
      <c r="R55" s="1">
        <v>17</v>
      </c>
      <c r="S55" s="1">
        <v>162</v>
      </c>
      <c r="T55" s="1">
        <v>50</v>
      </c>
      <c r="U55" s="1">
        <v>101</v>
      </c>
      <c r="V55" s="1">
        <v>184</v>
      </c>
      <c r="W55" s="1">
        <v>35</v>
      </c>
      <c r="X55" s="1">
        <v>25</v>
      </c>
      <c r="Y55" s="1">
        <v>82</v>
      </c>
      <c r="Z55" s="1">
        <v>16</v>
      </c>
      <c r="AA55" s="1">
        <v>61</v>
      </c>
      <c r="AB55" s="1">
        <v>14</v>
      </c>
      <c r="AC55" s="1">
        <v>23</v>
      </c>
      <c r="AD55" s="1">
        <v>205</v>
      </c>
      <c r="AE55" s="1">
        <v>34</v>
      </c>
      <c r="AF55" s="18">
        <f t="shared" si="0"/>
        <v>65.8</v>
      </c>
    </row>
    <row r="56" spans="1:32" x14ac:dyDescent="0.35">
      <c r="A56" s="1" t="s">
        <v>39</v>
      </c>
      <c r="B56" s="1">
        <v>16</v>
      </c>
      <c r="C56" s="1">
        <v>47</v>
      </c>
      <c r="D56" s="1">
        <v>31</v>
      </c>
      <c r="E56" s="1">
        <v>77</v>
      </c>
      <c r="F56" s="1">
        <v>14</v>
      </c>
      <c r="G56" s="1">
        <v>64</v>
      </c>
      <c r="H56" s="1">
        <v>23</v>
      </c>
      <c r="I56" s="1">
        <v>74</v>
      </c>
      <c r="J56" s="1">
        <v>168</v>
      </c>
      <c r="K56" s="1">
        <v>124</v>
      </c>
      <c r="L56" s="1">
        <v>29</v>
      </c>
      <c r="M56" s="1">
        <v>54</v>
      </c>
      <c r="N56" s="1">
        <v>35</v>
      </c>
      <c r="O56" s="1">
        <v>34</v>
      </c>
      <c r="P56" s="1">
        <v>60</v>
      </c>
      <c r="Q56" s="1">
        <v>67</v>
      </c>
      <c r="R56" s="1">
        <v>122</v>
      </c>
      <c r="S56" s="1">
        <v>22</v>
      </c>
      <c r="T56" s="1">
        <v>100</v>
      </c>
      <c r="U56" s="1">
        <v>23</v>
      </c>
      <c r="V56" s="1">
        <v>24</v>
      </c>
      <c r="W56" s="1">
        <v>46</v>
      </c>
      <c r="X56" s="1">
        <v>78</v>
      </c>
      <c r="Y56" s="1">
        <v>15</v>
      </c>
      <c r="Z56" s="1">
        <v>55</v>
      </c>
      <c r="AA56" s="1">
        <v>111</v>
      </c>
      <c r="AB56" s="1">
        <v>113</v>
      </c>
      <c r="AC56" s="1">
        <v>30</v>
      </c>
      <c r="AD56" s="1">
        <v>110</v>
      </c>
      <c r="AE56" s="1">
        <v>18</v>
      </c>
      <c r="AF56" s="18">
        <f t="shared" si="0"/>
        <v>59.466666666666669</v>
      </c>
    </row>
    <row r="57" spans="1:32" x14ac:dyDescent="0.35">
      <c r="A57" s="1" t="s">
        <v>176</v>
      </c>
      <c r="B57" s="1">
        <v>81</v>
      </c>
      <c r="C57" s="1">
        <v>40</v>
      </c>
      <c r="D57" s="1">
        <v>50</v>
      </c>
      <c r="E57" s="1">
        <v>23</v>
      </c>
      <c r="F57" s="1">
        <v>14</v>
      </c>
      <c r="G57" s="1">
        <v>62</v>
      </c>
      <c r="H57" s="1">
        <v>34</v>
      </c>
      <c r="I57" s="1">
        <v>89</v>
      </c>
      <c r="J57" s="1">
        <v>93</v>
      </c>
      <c r="K57" s="1">
        <v>26</v>
      </c>
      <c r="L57" s="1">
        <v>67</v>
      </c>
      <c r="M57" s="1">
        <v>27</v>
      </c>
      <c r="N57" s="1">
        <v>19</v>
      </c>
      <c r="O57" s="1">
        <v>81</v>
      </c>
      <c r="P57" s="1">
        <v>14</v>
      </c>
      <c r="Q57" s="1">
        <v>13</v>
      </c>
      <c r="R57" s="1">
        <v>21</v>
      </c>
      <c r="S57" s="1">
        <v>141</v>
      </c>
      <c r="T57" s="1">
        <v>141</v>
      </c>
      <c r="U57" s="1">
        <v>63</v>
      </c>
      <c r="V57" s="1">
        <v>62</v>
      </c>
      <c r="W57" s="1">
        <v>102</v>
      </c>
      <c r="X57" s="1">
        <v>30</v>
      </c>
      <c r="Y57" s="1">
        <v>27</v>
      </c>
      <c r="Z57" s="1">
        <v>33</v>
      </c>
      <c r="AA57" s="1">
        <v>48</v>
      </c>
      <c r="AB57" s="1">
        <v>149</v>
      </c>
      <c r="AC57" s="1">
        <v>23</v>
      </c>
      <c r="AD57" s="1">
        <v>27</v>
      </c>
      <c r="AE57" s="1">
        <v>168</v>
      </c>
      <c r="AF57" s="18">
        <f t="shared" si="0"/>
        <v>58.93333333333333</v>
      </c>
    </row>
    <row r="58" spans="1:32" x14ac:dyDescent="0.35">
      <c r="A58" s="1" t="s">
        <v>40</v>
      </c>
      <c r="B58" s="1">
        <v>20</v>
      </c>
      <c r="C58" s="1">
        <v>23</v>
      </c>
      <c r="D58" s="1">
        <v>21</v>
      </c>
      <c r="E58" s="1">
        <v>49</v>
      </c>
      <c r="F58" s="1">
        <v>48</v>
      </c>
      <c r="G58" s="1">
        <v>56</v>
      </c>
      <c r="H58" s="1">
        <v>59</v>
      </c>
      <c r="I58" s="1">
        <v>30</v>
      </c>
      <c r="J58" s="1">
        <v>72</v>
      </c>
      <c r="K58" s="1">
        <v>12</v>
      </c>
      <c r="L58" s="1">
        <v>49</v>
      </c>
      <c r="M58" s="1">
        <v>71</v>
      </c>
      <c r="N58" s="1">
        <v>31</v>
      </c>
      <c r="O58" s="1">
        <v>40</v>
      </c>
      <c r="P58" s="1">
        <v>28</v>
      </c>
      <c r="Q58" s="1">
        <v>61</v>
      </c>
      <c r="R58" s="1">
        <v>200</v>
      </c>
      <c r="S58" s="1">
        <v>149</v>
      </c>
      <c r="T58" s="1">
        <v>220</v>
      </c>
      <c r="U58" s="1">
        <v>22</v>
      </c>
      <c r="V58" s="1">
        <v>36</v>
      </c>
      <c r="W58" s="1">
        <v>141</v>
      </c>
      <c r="X58" s="1">
        <v>128</v>
      </c>
      <c r="Y58" s="1">
        <v>15</v>
      </c>
      <c r="Z58" s="1">
        <v>47</v>
      </c>
      <c r="AA58" s="1">
        <v>92</v>
      </c>
      <c r="AB58" s="1">
        <v>37</v>
      </c>
      <c r="AC58" s="1">
        <v>23</v>
      </c>
      <c r="AD58" s="1">
        <v>98</v>
      </c>
      <c r="AE58" s="1">
        <v>49</v>
      </c>
      <c r="AF58" s="18">
        <f t="shared" si="0"/>
        <v>64.233333333333334</v>
      </c>
    </row>
    <row r="59" spans="1:32" x14ac:dyDescent="0.35">
      <c r="A59" s="1" t="s">
        <v>41</v>
      </c>
      <c r="B59" s="1">
        <v>125</v>
      </c>
      <c r="C59" s="1">
        <v>102</v>
      </c>
      <c r="D59" s="1">
        <v>41</v>
      </c>
      <c r="E59" s="1">
        <v>78</v>
      </c>
      <c r="F59" s="1">
        <v>23</v>
      </c>
      <c r="G59" s="1">
        <v>20</v>
      </c>
      <c r="H59" s="1">
        <v>37</v>
      </c>
      <c r="I59" s="1">
        <v>22</v>
      </c>
      <c r="J59" s="1">
        <v>13</v>
      </c>
      <c r="K59" s="1">
        <v>53</v>
      </c>
      <c r="L59" s="1">
        <v>58</v>
      </c>
      <c r="M59" s="1">
        <v>105</v>
      </c>
      <c r="N59" s="1">
        <v>18</v>
      </c>
      <c r="O59" s="1">
        <v>46</v>
      </c>
      <c r="P59" s="1">
        <v>43</v>
      </c>
      <c r="Q59" s="1">
        <v>31</v>
      </c>
      <c r="R59" s="1">
        <v>96</v>
      </c>
      <c r="S59" s="1">
        <v>39</v>
      </c>
      <c r="T59" s="1">
        <v>14</v>
      </c>
      <c r="U59" s="1">
        <v>65</v>
      </c>
      <c r="V59" s="1">
        <v>66</v>
      </c>
      <c r="W59" s="1">
        <v>38</v>
      </c>
      <c r="X59" s="1">
        <v>39</v>
      </c>
      <c r="Y59" s="1">
        <v>51</v>
      </c>
      <c r="Z59" s="1">
        <v>27</v>
      </c>
      <c r="AA59" s="1">
        <v>30</v>
      </c>
      <c r="AB59" s="1">
        <v>108</v>
      </c>
      <c r="AC59" s="1">
        <v>306</v>
      </c>
      <c r="AD59" s="1">
        <v>88</v>
      </c>
      <c r="AE59" s="1">
        <v>50</v>
      </c>
      <c r="AF59" s="18">
        <f t="shared" si="0"/>
        <v>61.06666666666667</v>
      </c>
    </row>
    <row r="60" spans="1:32" x14ac:dyDescent="0.35">
      <c r="A60" s="1" t="s">
        <v>42</v>
      </c>
      <c r="B60" s="1">
        <v>106</v>
      </c>
      <c r="C60" s="1">
        <v>79</v>
      </c>
      <c r="D60" s="1">
        <v>41</v>
      </c>
      <c r="E60" s="1">
        <v>26</v>
      </c>
      <c r="F60" s="1">
        <v>63</v>
      </c>
      <c r="G60" s="1">
        <v>46</v>
      </c>
      <c r="H60" s="1">
        <v>39</v>
      </c>
      <c r="I60" s="1">
        <v>56</v>
      </c>
      <c r="J60" s="1">
        <v>72</v>
      </c>
      <c r="K60" s="1">
        <v>53</v>
      </c>
      <c r="L60" s="1">
        <v>16</v>
      </c>
      <c r="M60" s="1">
        <v>41</v>
      </c>
      <c r="N60" s="1">
        <v>16</v>
      </c>
      <c r="O60" s="1">
        <v>34</v>
      </c>
      <c r="P60" s="1">
        <v>37</v>
      </c>
      <c r="Q60" s="1">
        <v>13</v>
      </c>
      <c r="R60" s="1">
        <v>15</v>
      </c>
      <c r="S60" s="1">
        <v>47</v>
      </c>
      <c r="T60" s="1">
        <v>48</v>
      </c>
      <c r="U60" s="1">
        <v>18</v>
      </c>
      <c r="V60" s="1">
        <v>37</v>
      </c>
      <c r="W60" s="1">
        <v>35</v>
      </c>
      <c r="X60" s="1">
        <v>150</v>
      </c>
      <c r="Y60" s="1">
        <v>91</v>
      </c>
      <c r="Z60" s="1">
        <v>29</v>
      </c>
      <c r="AA60" s="1">
        <v>125</v>
      </c>
      <c r="AB60" s="1">
        <v>96</v>
      </c>
      <c r="AC60" s="1">
        <v>104</v>
      </c>
      <c r="AD60" s="1">
        <v>22</v>
      </c>
      <c r="AE60" s="1">
        <v>33</v>
      </c>
      <c r="AF60" s="18">
        <f t="shared" si="0"/>
        <v>52.93333333333333</v>
      </c>
    </row>
    <row r="61" spans="1:32" x14ac:dyDescent="0.35">
      <c r="A61" s="1" t="s">
        <v>43</v>
      </c>
      <c r="B61" s="1">
        <v>60</v>
      </c>
      <c r="C61" s="1">
        <v>23</v>
      </c>
      <c r="D61" s="1">
        <v>17</v>
      </c>
      <c r="E61" s="1">
        <v>18</v>
      </c>
      <c r="F61" s="1">
        <v>138</v>
      </c>
      <c r="G61" s="1">
        <v>20</v>
      </c>
      <c r="H61" s="1">
        <v>123</v>
      </c>
      <c r="I61" s="1">
        <v>13</v>
      </c>
      <c r="J61" s="1">
        <v>58</v>
      </c>
      <c r="K61" s="1">
        <v>50</v>
      </c>
      <c r="L61" s="1">
        <v>20</v>
      </c>
      <c r="M61" s="1">
        <v>31</v>
      </c>
      <c r="N61" s="1">
        <v>155</v>
      </c>
      <c r="O61" s="1">
        <v>19</v>
      </c>
      <c r="P61" s="1">
        <v>17</v>
      </c>
      <c r="Q61" s="1">
        <v>12</v>
      </c>
      <c r="R61" s="1">
        <v>47</v>
      </c>
      <c r="S61" s="1">
        <v>19</v>
      </c>
      <c r="T61" s="1">
        <v>54</v>
      </c>
      <c r="U61" s="1">
        <v>97</v>
      </c>
      <c r="V61" s="1">
        <v>26</v>
      </c>
      <c r="W61" s="1">
        <v>42</v>
      </c>
      <c r="X61" s="1">
        <v>313</v>
      </c>
      <c r="Y61" s="1">
        <v>90</v>
      </c>
      <c r="Z61" s="1">
        <v>61</v>
      </c>
      <c r="AA61" s="1">
        <v>27</v>
      </c>
      <c r="AB61" s="1">
        <v>33</v>
      </c>
      <c r="AC61" s="1">
        <v>42</v>
      </c>
      <c r="AD61" s="1">
        <v>26</v>
      </c>
      <c r="AE61" s="1">
        <v>15</v>
      </c>
      <c r="AF61" s="18">
        <f t="shared" si="0"/>
        <v>55.533333333333331</v>
      </c>
    </row>
    <row r="62" spans="1:32" x14ac:dyDescent="0.35">
      <c r="A62" s="1" t="s">
        <v>44</v>
      </c>
      <c r="B62" s="1">
        <v>93</v>
      </c>
      <c r="C62" s="1">
        <v>51</v>
      </c>
      <c r="D62" s="1">
        <v>165</v>
      </c>
      <c r="E62" s="1">
        <v>31</v>
      </c>
      <c r="F62" s="1">
        <v>97</v>
      </c>
      <c r="G62" s="1">
        <v>30</v>
      </c>
      <c r="H62" s="1">
        <v>18</v>
      </c>
      <c r="I62" s="1">
        <v>66</v>
      </c>
      <c r="J62" s="1">
        <v>53</v>
      </c>
      <c r="K62" s="1">
        <v>93</v>
      </c>
      <c r="L62" s="1">
        <v>130</v>
      </c>
      <c r="M62" s="1">
        <v>51</v>
      </c>
      <c r="N62" s="1">
        <v>87</v>
      </c>
      <c r="O62" s="1">
        <v>121</v>
      </c>
      <c r="P62" s="1">
        <v>66</v>
      </c>
      <c r="Q62" s="1">
        <v>96</v>
      </c>
      <c r="R62" s="1">
        <v>62</v>
      </c>
      <c r="S62" s="1">
        <v>55</v>
      </c>
      <c r="T62" s="1">
        <v>23</v>
      </c>
      <c r="U62" s="1">
        <v>68</v>
      </c>
      <c r="V62" s="1">
        <v>145</v>
      </c>
      <c r="W62" s="1">
        <v>97</v>
      </c>
      <c r="X62" s="1">
        <v>48</v>
      </c>
      <c r="Y62" s="1">
        <v>40</v>
      </c>
      <c r="Z62" s="1">
        <v>59</v>
      </c>
      <c r="AA62" s="1">
        <v>104</v>
      </c>
      <c r="AB62" s="1">
        <v>39</v>
      </c>
      <c r="AC62" s="1">
        <v>80</v>
      </c>
      <c r="AD62" s="1">
        <v>106</v>
      </c>
      <c r="AE62" s="1">
        <v>28</v>
      </c>
      <c r="AF62" s="18">
        <f t="shared" si="0"/>
        <v>73.400000000000006</v>
      </c>
    </row>
    <row r="63" spans="1:32" x14ac:dyDescent="0.35">
      <c r="A63" s="1" t="s">
        <v>177</v>
      </c>
      <c r="B63" s="1">
        <v>59</v>
      </c>
      <c r="C63" s="1">
        <v>17</v>
      </c>
      <c r="D63" s="1">
        <v>70</v>
      </c>
      <c r="E63" s="1">
        <v>93</v>
      </c>
      <c r="F63" s="1">
        <v>13</v>
      </c>
      <c r="G63" s="1">
        <v>14</v>
      </c>
      <c r="H63" s="1">
        <v>50</v>
      </c>
      <c r="I63" s="1">
        <v>32</v>
      </c>
      <c r="J63" s="1">
        <v>218</v>
      </c>
      <c r="K63" s="1">
        <v>395</v>
      </c>
      <c r="L63" s="1">
        <v>52</v>
      </c>
      <c r="M63" s="1">
        <v>50</v>
      </c>
      <c r="N63" s="1">
        <v>62</v>
      </c>
      <c r="O63" s="1">
        <v>32</v>
      </c>
      <c r="P63" s="1">
        <v>96</v>
      </c>
      <c r="Q63" s="1">
        <v>55</v>
      </c>
      <c r="R63" s="1">
        <v>162</v>
      </c>
      <c r="S63" s="1">
        <v>25</v>
      </c>
      <c r="T63" s="1">
        <v>44</v>
      </c>
      <c r="U63" s="1">
        <v>61</v>
      </c>
      <c r="V63" s="1">
        <v>15</v>
      </c>
      <c r="W63" s="1">
        <v>26</v>
      </c>
      <c r="X63" s="1">
        <v>27</v>
      </c>
      <c r="Y63" s="1">
        <v>19</v>
      </c>
      <c r="Z63" s="1">
        <v>26</v>
      </c>
      <c r="AA63" s="1">
        <v>139</v>
      </c>
      <c r="AB63" s="1">
        <v>52</v>
      </c>
      <c r="AC63" s="1">
        <v>88</v>
      </c>
      <c r="AD63" s="1">
        <v>73</v>
      </c>
      <c r="AE63" s="1">
        <v>27</v>
      </c>
      <c r="AF63" s="18">
        <f t="shared" si="0"/>
        <v>69.733333333333334</v>
      </c>
    </row>
    <row r="64" spans="1:32" x14ac:dyDescent="0.35">
      <c r="A64" s="1" t="s">
        <v>178</v>
      </c>
      <c r="B64" s="1">
        <v>19</v>
      </c>
      <c r="C64" s="1">
        <v>51</v>
      </c>
      <c r="D64" s="1">
        <v>19</v>
      </c>
      <c r="E64" s="1">
        <v>40</v>
      </c>
      <c r="F64" s="1">
        <v>12</v>
      </c>
      <c r="G64" s="1">
        <v>19</v>
      </c>
      <c r="H64" s="1">
        <v>22</v>
      </c>
      <c r="I64" s="1">
        <v>34</v>
      </c>
      <c r="J64" s="1">
        <v>45</v>
      </c>
      <c r="K64" s="1">
        <v>31</v>
      </c>
      <c r="L64" s="1">
        <v>39</v>
      </c>
      <c r="M64" s="1">
        <v>15</v>
      </c>
      <c r="N64" s="1">
        <v>106</v>
      </c>
      <c r="O64" s="1">
        <v>21</v>
      </c>
      <c r="P64" s="1">
        <v>25</v>
      </c>
      <c r="Q64" s="1">
        <v>15</v>
      </c>
      <c r="R64" s="1">
        <v>14</v>
      </c>
      <c r="S64" s="1">
        <v>72</v>
      </c>
      <c r="T64" s="1">
        <v>23</v>
      </c>
      <c r="U64" s="1">
        <v>65</v>
      </c>
      <c r="V64" s="1">
        <v>92</v>
      </c>
      <c r="W64" s="1">
        <v>42</v>
      </c>
      <c r="X64" s="1">
        <v>25</v>
      </c>
      <c r="Y64" s="1">
        <v>43</v>
      </c>
      <c r="Z64" s="1">
        <v>40</v>
      </c>
      <c r="AA64" s="1">
        <v>29</v>
      </c>
      <c r="AB64" s="1">
        <v>31</v>
      </c>
      <c r="AC64" s="1">
        <v>21</v>
      </c>
      <c r="AD64" s="1">
        <v>12</v>
      </c>
      <c r="AE64" s="1">
        <v>16</v>
      </c>
      <c r="AF64" s="18">
        <f t="shared" si="0"/>
        <v>34.6</v>
      </c>
    </row>
    <row r="65" spans="1:32" x14ac:dyDescent="0.35">
      <c r="A65" s="1" t="s">
        <v>45</v>
      </c>
      <c r="B65" s="1">
        <v>12</v>
      </c>
      <c r="C65" s="1">
        <v>29</v>
      </c>
      <c r="D65" s="1">
        <v>19</v>
      </c>
      <c r="E65" s="1">
        <v>32</v>
      </c>
      <c r="F65" s="1">
        <v>30</v>
      </c>
      <c r="G65" s="1">
        <v>24</v>
      </c>
      <c r="H65" s="1">
        <v>28</v>
      </c>
      <c r="I65" s="1">
        <v>24</v>
      </c>
      <c r="J65" s="1">
        <v>12</v>
      </c>
      <c r="K65" s="1">
        <v>30</v>
      </c>
      <c r="L65" s="1">
        <v>144</v>
      </c>
      <c r="M65" s="1">
        <v>75</v>
      </c>
      <c r="N65" s="1">
        <v>53</v>
      </c>
      <c r="O65" s="1">
        <v>56</v>
      </c>
      <c r="P65" s="1">
        <v>42</v>
      </c>
      <c r="Q65" s="1">
        <v>14</v>
      </c>
      <c r="R65" s="1">
        <v>21</v>
      </c>
      <c r="S65" s="1">
        <v>49</v>
      </c>
      <c r="T65" s="1">
        <v>12</v>
      </c>
      <c r="U65" s="1">
        <v>48</v>
      </c>
      <c r="V65" s="1">
        <v>67</v>
      </c>
      <c r="W65" s="1">
        <v>65</v>
      </c>
      <c r="X65" s="1">
        <v>26</v>
      </c>
      <c r="Y65" s="1">
        <v>12</v>
      </c>
      <c r="Z65" s="1">
        <v>61</v>
      </c>
      <c r="AA65" s="1">
        <v>14</v>
      </c>
      <c r="AB65" s="1">
        <v>27</v>
      </c>
      <c r="AC65" s="1">
        <v>16</v>
      </c>
      <c r="AD65" s="1">
        <v>108</v>
      </c>
      <c r="AE65" s="1">
        <v>15</v>
      </c>
      <c r="AF65" s="18">
        <f t="shared" si="0"/>
        <v>38.833333333333336</v>
      </c>
    </row>
    <row r="66" spans="1:32" x14ac:dyDescent="0.35">
      <c r="A66" s="1" t="s">
        <v>46</v>
      </c>
      <c r="B66" s="1">
        <v>69</v>
      </c>
      <c r="C66" s="1">
        <v>27</v>
      </c>
      <c r="D66" s="1">
        <v>32</v>
      </c>
      <c r="E66" s="1">
        <v>73</v>
      </c>
      <c r="F66" s="1">
        <v>46</v>
      </c>
      <c r="G66" s="1">
        <v>37</v>
      </c>
      <c r="H66" s="1">
        <v>22</v>
      </c>
      <c r="I66" s="1">
        <v>52</v>
      </c>
      <c r="J66" s="1">
        <v>37</v>
      </c>
      <c r="K66" s="1">
        <v>18</v>
      </c>
      <c r="L66" s="1">
        <v>34</v>
      </c>
      <c r="M66" s="1">
        <v>26</v>
      </c>
      <c r="N66" s="1">
        <v>21</v>
      </c>
      <c r="O66" s="1">
        <v>17</v>
      </c>
      <c r="P66" s="1">
        <v>23</v>
      </c>
      <c r="Q66" s="1">
        <v>41</v>
      </c>
      <c r="R66" s="1">
        <v>86</v>
      </c>
      <c r="S66" s="1">
        <v>64</v>
      </c>
      <c r="T66" s="1">
        <v>32</v>
      </c>
      <c r="U66" s="1">
        <v>19</v>
      </c>
      <c r="V66" s="1">
        <v>14</v>
      </c>
      <c r="W66" s="1">
        <v>27</v>
      </c>
      <c r="X66" s="1">
        <v>69</v>
      </c>
      <c r="Y66" s="1">
        <v>21</v>
      </c>
      <c r="Z66" s="1">
        <v>50</v>
      </c>
      <c r="AA66" s="1">
        <v>43</v>
      </c>
      <c r="AB66" s="1">
        <v>40</v>
      </c>
      <c r="AC66" s="1">
        <v>23</v>
      </c>
      <c r="AD66" s="1">
        <v>34</v>
      </c>
      <c r="AE66" s="1">
        <v>21</v>
      </c>
      <c r="AF66" s="18">
        <f t="shared" si="0"/>
        <v>37.266666666666666</v>
      </c>
    </row>
    <row r="67" spans="1:32" x14ac:dyDescent="0.35">
      <c r="A67" s="1" t="s">
        <v>47</v>
      </c>
      <c r="B67" s="1">
        <v>32</v>
      </c>
      <c r="C67" s="1">
        <v>87</v>
      </c>
      <c r="D67" s="1">
        <v>57</v>
      </c>
      <c r="E67" s="1">
        <v>24</v>
      </c>
      <c r="F67" s="1">
        <v>122</v>
      </c>
      <c r="G67" s="1">
        <v>42</v>
      </c>
      <c r="H67" s="1">
        <v>49</v>
      </c>
      <c r="I67" s="1">
        <v>119</v>
      </c>
      <c r="J67" s="1">
        <v>18</v>
      </c>
      <c r="K67" s="1">
        <v>34</v>
      </c>
      <c r="L67" s="1">
        <v>109</v>
      </c>
      <c r="M67" s="1">
        <v>27</v>
      </c>
      <c r="N67" s="1">
        <v>44</v>
      </c>
      <c r="O67" s="1">
        <v>14</v>
      </c>
      <c r="P67" s="1">
        <v>17</v>
      </c>
      <c r="Q67" s="1">
        <v>53</v>
      </c>
      <c r="R67" s="1">
        <v>41</v>
      </c>
      <c r="S67" s="1">
        <v>17</v>
      </c>
      <c r="T67" s="1">
        <v>20</v>
      </c>
      <c r="U67" s="1">
        <v>65</v>
      </c>
      <c r="V67" s="1">
        <v>121</v>
      </c>
      <c r="W67" s="1">
        <v>22</v>
      </c>
      <c r="X67" s="1">
        <v>69</v>
      </c>
      <c r="Y67" s="1">
        <v>12</v>
      </c>
      <c r="Z67" s="1">
        <v>31</v>
      </c>
      <c r="AA67" s="1">
        <v>16</v>
      </c>
      <c r="AB67" s="1">
        <v>61</v>
      </c>
      <c r="AC67" s="1">
        <v>91</v>
      </c>
      <c r="AD67" s="1">
        <v>55</v>
      </c>
      <c r="AE67" s="1">
        <v>111</v>
      </c>
      <c r="AF67" s="18">
        <f t="shared" si="0"/>
        <v>52.666666666666664</v>
      </c>
    </row>
    <row r="68" spans="1:32" x14ac:dyDescent="0.35">
      <c r="A68" s="1" t="s">
        <v>48</v>
      </c>
      <c r="B68" s="1">
        <v>16</v>
      </c>
      <c r="C68" s="1">
        <v>33</v>
      </c>
      <c r="D68" s="1">
        <v>53</v>
      </c>
      <c r="E68" s="1">
        <v>52</v>
      </c>
      <c r="F68" s="1">
        <v>30</v>
      </c>
      <c r="G68" s="1">
        <v>42</v>
      </c>
      <c r="H68" s="1">
        <v>18</v>
      </c>
      <c r="I68" s="1">
        <v>37</v>
      </c>
      <c r="J68" s="1">
        <v>45</v>
      </c>
      <c r="K68" s="1">
        <v>33</v>
      </c>
      <c r="L68" s="1">
        <v>54</v>
      </c>
      <c r="M68" s="1">
        <v>16</v>
      </c>
      <c r="N68" s="1">
        <v>22</v>
      </c>
      <c r="O68" s="1">
        <v>27</v>
      </c>
      <c r="P68" s="1">
        <v>13</v>
      </c>
      <c r="Q68" s="1">
        <v>28</v>
      </c>
      <c r="R68" s="1">
        <v>69</v>
      </c>
      <c r="S68" s="1">
        <v>47</v>
      </c>
      <c r="T68" s="1">
        <v>46</v>
      </c>
      <c r="U68" s="1">
        <v>35</v>
      </c>
      <c r="V68" s="1">
        <v>12</v>
      </c>
      <c r="W68" s="1">
        <v>23</v>
      </c>
      <c r="X68" s="1">
        <v>211</v>
      </c>
      <c r="Y68" s="1">
        <v>52</v>
      </c>
      <c r="Z68" s="1">
        <v>33</v>
      </c>
      <c r="AA68" s="1">
        <v>100</v>
      </c>
      <c r="AB68" s="1">
        <v>26</v>
      </c>
      <c r="AC68" s="1">
        <v>17</v>
      </c>
      <c r="AD68" s="1">
        <v>89</v>
      </c>
      <c r="AE68" s="1">
        <v>16</v>
      </c>
      <c r="AF68" s="18">
        <f t="shared" ref="AF68:AF131" si="1">AVERAGE(B68:AE68)</f>
        <v>43.166666666666664</v>
      </c>
    </row>
    <row r="69" spans="1:32" x14ac:dyDescent="0.35">
      <c r="A69" s="1" t="s">
        <v>179</v>
      </c>
      <c r="B69" s="1">
        <v>88</v>
      </c>
      <c r="C69" s="1">
        <v>42</v>
      </c>
      <c r="D69" s="1">
        <v>14</v>
      </c>
      <c r="E69" s="1">
        <v>21</v>
      </c>
      <c r="F69" s="1">
        <v>183</v>
      </c>
      <c r="G69" s="1">
        <v>153</v>
      </c>
      <c r="H69" s="1">
        <v>162</v>
      </c>
      <c r="I69" s="1">
        <v>58</v>
      </c>
      <c r="J69" s="1">
        <v>160</v>
      </c>
      <c r="K69" s="1">
        <v>68</v>
      </c>
      <c r="L69" s="1">
        <v>71</v>
      </c>
      <c r="M69" s="1">
        <v>41</v>
      </c>
      <c r="N69" s="1">
        <v>95</v>
      </c>
      <c r="O69" s="1">
        <v>59</v>
      </c>
      <c r="P69" s="1">
        <v>189</v>
      </c>
      <c r="Q69" s="1">
        <v>136</v>
      </c>
      <c r="R69" s="1">
        <v>36</v>
      </c>
      <c r="S69" s="1">
        <v>35</v>
      </c>
      <c r="T69" s="1">
        <v>90</v>
      </c>
      <c r="U69" s="1">
        <v>24</v>
      </c>
      <c r="V69" s="1">
        <v>157</v>
      </c>
      <c r="W69" s="1">
        <v>46</v>
      </c>
      <c r="X69" s="1">
        <v>57</v>
      </c>
      <c r="Y69" s="1">
        <v>176</v>
      </c>
      <c r="Z69" s="1">
        <v>87</v>
      </c>
      <c r="AA69" s="1">
        <v>50</v>
      </c>
      <c r="AB69" s="1">
        <v>125</v>
      </c>
      <c r="AC69" s="1">
        <v>15</v>
      </c>
      <c r="AD69" s="1">
        <v>42</v>
      </c>
      <c r="AE69" s="1">
        <v>76</v>
      </c>
      <c r="AF69" s="18">
        <f t="shared" si="1"/>
        <v>85.2</v>
      </c>
    </row>
    <row r="70" spans="1:32" x14ac:dyDescent="0.35">
      <c r="A70" s="1" t="s">
        <v>49</v>
      </c>
      <c r="B70" s="1">
        <v>31</v>
      </c>
      <c r="C70" s="1">
        <v>49</v>
      </c>
      <c r="D70" s="1">
        <v>48</v>
      </c>
      <c r="E70" s="1">
        <v>26</v>
      </c>
      <c r="F70" s="1">
        <v>88</v>
      </c>
      <c r="G70" s="1">
        <v>45</v>
      </c>
      <c r="H70" s="1">
        <v>33</v>
      </c>
      <c r="I70" s="1">
        <v>19</v>
      </c>
      <c r="J70" s="1">
        <v>35</v>
      </c>
      <c r="K70" s="1">
        <v>18</v>
      </c>
      <c r="L70" s="1">
        <v>33</v>
      </c>
      <c r="M70" s="1">
        <v>17</v>
      </c>
      <c r="N70" s="1">
        <v>78</v>
      </c>
      <c r="O70" s="1">
        <v>17</v>
      </c>
      <c r="P70" s="1">
        <v>12</v>
      </c>
      <c r="Q70" s="1">
        <v>29</v>
      </c>
      <c r="R70" s="1">
        <v>48</v>
      </c>
      <c r="S70" s="1">
        <v>18</v>
      </c>
      <c r="T70" s="1">
        <v>26</v>
      </c>
      <c r="U70" s="1">
        <v>16</v>
      </c>
      <c r="V70" s="1">
        <v>29</v>
      </c>
      <c r="W70" s="1">
        <v>12</v>
      </c>
      <c r="X70" s="1">
        <v>19</v>
      </c>
      <c r="Y70" s="1">
        <v>27</v>
      </c>
      <c r="Z70" s="1">
        <v>39</v>
      </c>
      <c r="AA70" s="1">
        <v>23</v>
      </c>
      <c r="AB70" s="1">
        <v>31</v>
      </c>
      <c r="AC70" s="1">
        <v>69</v>
      </c>
      <c r="AD70" s="1">
        <v>24</v>
      </c>
      <c r="AE70" s="1">
        <v>131</v>
      </c>
      <c r="AF70" s="18">
        <f t="shared" si="1"/>
        <v>36.333333333333336</v>
      </c>
    </row>
    <row r="71" spans="1:32" x14ac:dyDescent="0.35">
      <c r="A71" s="1" t="s">
        <v>50</v>
      </c>
      <c r="B71" s="1">
        <v>146</v>
      </c>
      <c r="C71" s="1">
        <v>31</v>
      </c>
      <c r="D71" s="1">
        <v>222</v>
      </c>
      <c r="E71" s="1">
        <v>33</v>
      </c>
      <c r="F71" s="1">
        <v>25</v>
      </c>
      <c r="G71" s="1">
        <v>16</v>
      </c>
      <c r="H71" s="1">
        <v>77</v>
      </c>
      <c r="I71" s="1">
        <v>33</v>
      </c>
      <c r="J71" s="1">
        <v>13</v>
      </c>
      <c r="K71" s="1">
        <v>134</v>
      </c>
      <c r="L71" s="1">
        <v>53</v>
      </c>
      <c r="M71" s="1">
        <v>156</v>
      </c>
      <c r="N71" s="1">
        <v>45</v>
      </c>
      <c r="O71" s="1">
        <v>14</v>
      </c>
      <c r="P71" s="1">
        <v>51</v>
      </c>
      <c r="Q71" s="1">
        <v>21</v>
      </c>
      <c r="R71" s="1">
        <v>73</v>
      </c>
      <c r="S71" s="1">
        <v>31</v>
      </c>
      <c r="T71" s="1">
        <v>96</v>
      </c>
      <c r="U71" s="1">
        <v>54</v>
      </c>
      <c r="V71" s="1">
        <v>19</v>
      </c>
      <c r="W71" s="1">
        <v>292</v>
      </c>
      <c r="X71" s="1">
        <v>110</v>
      </c>
      <c r="Y71" s="1">
        <v>14</v>
      </c>
      <c r="Z71" s="1">
        <v>16</v>
      </c>
      <c r="AA71" s="1">
        <v>34</v>
      </c>
      <c r="AB71" s="1">
        <v>21</v>
      </c>
      <c r="AC71" s="1">
        <v>37</v>
      </c>
      <c r="AD71" s="1">
        <v>51</v>
      </c>
      <c r="AE71" s="1">
        <v>14</v>
      </c>
      <c r="AF71" s="18">
        <f t="shared" si="1"/>
        <v>64.400000000000006</v>
      </c>
    </row>
    <row r="72" spans="1:32" x14ac:dyDescent="0.35">
      <c r="A72" s="1" t="s">
        <v>51</v>
      </c>
      <c r="B72" s="1">
        <v>73</v>
      </c>
      <c r="C72" s="1">
        <v>19</v>
      </c>
      <c r="D72" s="1">
        <v>15</v>
      </c>
      <c r="E72" s="1">
        <v>35</v>
      </c>
      <c r="F72" s="1">
        <v>60</v>
      </c>
      <c r="G72" s="1">
        <v>80</v>
      </c>
      <c r="H72" s="1">
        <v>45</v>
      </c>
      <c r="I72" s="1">
        <v>13</v>
      </c>
      <c r="J72" s="1">
        <v>109</v>
      </c>
      <c r="K72" s="1">
        <v>23</v>
      </c>
      <c r="L72" s="1">
        <v>17</v>
      </c>
      <c r="M72" s="1">
        <v>57</v>
      </c>
      <c r="N72" s="1">
        <v>148</v>
      </c>
      <c r="O72" s="1">
        <v>42</v>
      </c>
      <c r="P72" s="1">
        <v>12</v>
      </c>
      <c r="Q72" s="1">
        <v>22</v>
      </c>
      <c r="R72" s="1">
        <v>28</v>
      </c>
      <c r="S72" s="1">
        <v>40</v>
      </c>
      <c r="T72" s="1">
        <v>48</v>
      </c>
      <c r="U72" s="1">
        <v>24</v>
      </c>
      <c r="V72" s="1">
        <v>45</v>
      </c>
      <c r="W72" s="1">
        <v>105</v>
      </c>
      <c r="X72" s="1">
        <v>18</v>
      </c>
      <c r="Y72" s="1">
        <v>38</v>
      </c>
      <c r="Z72" s="1">
        <v>22</v>
      </c>
      <c r="AA72" s="1">
        <v>44</v>
      </c>
      <c r="AB72" s="1">
        <v>61</v>
      </c>
      <c r="AC72" s="1">
        <v>32</v>
      </c>
      <c r="AD72" s="1">
        <v>176</v>
      </c>
      <c r="AE72" s="1">
        <v>13</v>
      </c>
      <c r="AF72" s="18">
        <f t="shared" si="1"/>
        <v>48.8</v>
      </c>
    </row>
    <row r="73" spans="1:32" x14ac:dyDescent="0.35">
      <c r="A73" s="1" t="s">
        <v>52</v>
      </c>
      <c r="B73" s="1">
        <v>33</v>
      </c>
      <c r="C73" s="1">
        <v>53</v>
      </c>
      <c r="D73" s="1">
        <v>13</v>
      </c>
      <c r="E73" s="1">
        <v>172</v>
      </c>
      <c r="F73" s="1">
        <v>13</v>
      </c>
      <c r="G73" s="1">
        <v>122</v>
      </c>
      <c r="H73" s="1">
        <v>32</v>
      </c>
      <c r="I73" s="1">
        <v>15</v>
      </c>
      <c r="J73" s="1">
        <v>64</v>
      </c>
      <c r="K73" s="1">
        <v>26</v>
      </c>
      <c r="L73" s="1">
        <v>73</v>
      </c>
      <c r="M73" s="1">
        <v>18</v>
      </c>
      <c r="N73" s="1">
        <v>31</v>
      </c>
      <c r="O73" s="1">
        <v>47</v>
      </c>
      <c r="P73" s="1">
        <v>18</v>
      </c>
      <c r="Q73" s="1">
        <v>92</v>
      </c>
      <c r="R73" s="1">
        <v>64</v>
      </c>
      <c r="S73" s="1">
        <v>58</v>
      </c>
      <c r="T73" s="1">
        <v>12</v>
      </c>
      <c r="U73" s="1">
        <v>33</v>
      </c>
      <c r="V73" s="1">
        <v>47</v>
      </c>
      <c r="W73" s="1">
        <v>13</v>
      </c>
      <c r="X73" s="1">
        <v>108</v>
      </c>
      <c r="Y73" s="1">
        <v>18</v>
      </c>
      <c r="Z73" s="1">
        <v>91</v>
      </c>
      <c r="AA73" s="1">
        <v>96</v>
      </c>
      <c r="AB73" s="1">
        <v>104</v>
      </c>
      <c r="AC73" s="1">
        <v>14</v>
      </c>
      <c r="AD73" s="1">
        <v>76</v>
      </c>
      <c r="AE73" s="1">
        <v>21</v>
      </c>
      <c r="AF73" s="18">
        <f t="shared" si="1"/>
        <v>52.56666666666667</v>
      </c>
    </row>
    <row r="74" spans="1:32" x14ac:dyDescent="0.35">
      <c r="A74" s="1" t="s">
        <v>53</v>
      </c>
      <c r="B74" s="1">
        <v>25</v>
      </c>
      <c r="C74" s="1">
        <v>41</v>
      </c>
      <c r="D74" s="1">
        <v>343</v>
      </c>
      <c r="E74" s="1">
        <v>68</v>
      </c>
      <c r="F74" s="1">
        <v>94</v>
      </c>
      <c r="G74" s="1">
        <v>41</v>
      </c>
      <c r="H74" s="1">
        <v>13</v>
      </c>
      <c r="I74" s="1">
        <v>81</v>
      </c>
      <c r="J74" s="1">
        <v>44</v>
      </c>
      <c r="K74" s="1">
        <v>17</v>
      </c>
      <c r="L74" s="1">
        <v>98</v>
      </c>
      <c r="M74" s="1">
        <v>18</v>
      </c>
      <c r="N74" s="1">
        <v>92</v>
      </c>
      <c r="O74" s="1">
        <v>25</v>
      </c>
      <c r="P74" s="1">
        <v>36</v>
      </c>
      <c r="Q74" s="1">
        <v>58</v>
      </c>
      <c r="R74" s="1">
        <v>20</v>
      </c>
      <c r="S74" s="1">
        <v>115</v>
      </c>
      <c r="T74" s="1">
        <v>31</v>
      </c>
      <c r="U74" s="1">
        <v>15</v>
      </c>
      <c r="V74" s="1">
        <v>70</v>
      </c>
      <c r="W74" s="1">
        <v>52</v>
      </c>
      <c r="X74" s="1">
        <v>60</v>
      </c>
      <c r="Y74" s="1">
        <v>16</v>
      </c>
      <c r="Z74" s="1">
        <v>45</v>
      </c>
      <c r="AA74" s="1">
        <v>87</v>
      </c>
      <c r="AB74" s="1">
        <v>23</v>
      </c>
      <c r="AC74" s="1">
        <v>14</v>
      </c>
      <c r="AD74" s="1">
        <v>39</v>
      </c>
      <c r="AE74" s="1">
        <v>128</v>
      </c>
      <c r="AF74" s="18">
        <f t="shared" si="1"/>
        <v>60.3</v>
      </c>
    </row>
    <row r="75" spans="1:32" x14ac:dyDescent="0.35">
      <c r="A75" s="1" t="s">
        <v>54</v>
      </c>
      <c r="B75" s="1">
        <v>16</v>
      </c>
      <c r="C75" s="1">
        <v>12</v>
      </c>
      <c r="D75" s="1">
        <v>122</v>
      </c>
      <c r="E75" s="1">
        <v>232</v>
      </c>
      <c r="F75" s="1">
        <v>82</v>
      </c>
      <c r="G75" s="1">
        <v>149</v>
      </c>
      <c r="H75" s="1">
        <v>18</v>
      </c>
      <c r="I75" s="1">
        <v>106</v>
      </c>
      <c r="J75" s="1">
        <v>27</v>
      </c>
      <c r="K75" s="1">
        <v>26</v>
      </c>
      <c r="L75" s="1">
        <v>28</v>
      </c>
      <c r="M75" s="1">
        <v>18</v>
      </c>
      <c r="N75" s="1">
        <v>12</v>
      </c>
      <c r="O75" s="1">
        <v>43</v>
      </c>
      <c r="P75" s="1">
        <v>47</v>
      </c>
      <c r="Q75" s="1">
        <v>14</v>
      </c>
      <c r="R75" s="1">
        <v>144</v>
      </c>
      <c r="S75" s="1">
        <v>39</v>
      </c>
      <c r="T75" s="1">
        <v>90</v>
      </c>
      <c r="U75" s="1">
        <v>89</v>
      </c>
      <c r="V75" s="1">
        <v>21</v>
      </c>
      <c r="W75" s="1">
        <v>134</v>
      </c>
      <c r="X75" s="1">
        <v>27</v>
      </c>
      <c r="Y75" s="1">
        <v>70</v>
      </c>
      <c r="Z75" s="1">
        <v>27</v>
      </c>
      <c r="AA75" s="1">
        <v>29</v>
      </c>
      <c r="AB75" s="1">
        <v>52</v>
      </c>
      <c r="AC75" s="1">
        <v>13</v>
      </c>
      <c r="AD75" s="1">
        <v>49</v>
      </c>
      <c r="AE75" s="1">
        <v>83</v>
      </c>
      <c r="AF75" s="18">
        <f t="shared" si="1"/>
        <v>60.633333333333333</v>
      </c>
    </row>
    <row r="76" spans="1:32" x14ac:dyDescent="0.35">
      <c r="A76" s="1" t="s">
        <v>180</v>
      </c>
      <c r="B76" s="1">
        <v>363</v>
      </c>
      <c r="C76" s="1">
        <v>125</v>
      </c>
      <c r="D76" s="1">
        <v>76</v>
      </c>
      <c r="E76" s="1">
        <v>128</v>
      </c>
      <c r="F76" s="1">
        <v>17</v>
      </c>
      <c r="G76" s="1">
        <v>25</v>
      </c>
      <c r="H76" s="1">
        <v>73</v>
      </c>
      <c r="I76" s="1">
        <v>29</v>
      </c>
      <c r="J76" s="1">
        <v>46</v>
      </c>
      <c r="K76" s="1">
        <v>33</v>
      </c>
      <c r="L76" s="1">
        <v>70</v>
      </c>
      <c r="M76" s="1">
        <v>31</v>
      </c>
      <c r="N76" s="1">
        <v>26</v>
      </c>
      <c r="O76" s="1">
        <v>143</v>
      </c>
      <c r="P76" s="1">
        <v>20</v>
      </c>
      <c r="Q76" s="1">
        <v>99</v>
      </c>
      <c r="R76" s="1">
        <v>30</v>
      </c>
      <c r="S76" s="1">
        <v>12</v>
      </c>
      <c r="T76" s="1">
        <v>19</v>
      </c>
      <c r="U76" s="1">
        <v>88</v>
      </c>
      <c r="V76" s="1">
        <v>89</v>
      </c>
      <c r="W76" s="1">
        <v>92</v>
      </c>
      <c r="X76" s="1">
        <v>22</v>
      </c>
      <c r="Y76" s="1">
        <v>30</v>
      </c>
      <c r="Z76" s="1">
        <v>75</v>
      </c>
      <c r="AA76" s="1">
        <v>63</v>
      </c>
      <c r="AB76" s="1">
        <v>70</v>
      </c>
      <c r="AC76" s="1">
        <v>62</v>
      </c>
      <c r="AD76" s="1">
        <v>74</v>
      </c>
      <c r="AE76" s="1">
        <v>110</v>
      </c>
      <c r="AF76" s="18">
        <f t="shared" si="1"/>
        <v>71.333333333333329</v>
      </c>
    </row>
    <row r="77" spans="1:32" x14ac:dyDescent="0.35">
      <c r="A77" s="1" t="s">
        <v>55</v>
      </c>
      <c r="B77" s="1">
        <v>14</v>
      </c>
      <c r="C77" s="1">
        <v>51</v>
      </c>
      <c r="D77" s="1">
        <v>43</v>
      </c>
      <c r="E77" s="1">
        <v>60</v>
      </c>
      <c r="F77" s="1">
        <v>20</v>
      </c>
      <c r="G77" s="1">
        <v>29</v>
      </c>
      <c r="H77" s="1">
        <v>29</v>
      </c>
      <c r="I77" s="1">
        <v>44</v>
      </c>
      <c r="J77" s="1">
        <v>19</v>
      </c>
      <c r="K77" s="1">
        <v>28</v>
      </c>
      <c r="L77" s="1">
        <v>15</v>
      </c>
      <c r="M77" s="1">
        <v>43</v>
      </c>
      <c r="N77" s="1">
        <v>47</v>
      </c>
      <c r="O77" s="1">
        <v>106</v>
      </c>
      <c r="P77" s="1">
        <v>36</v>
      </c>
      <c r="Q77" s="1">
        <v>63</v>
      </c>
      <c r="R77" s="1">
        <v>101</v>
      </c>
      <c r="S77" s="1">
        <v>31</v>
      </c>
      <c r="T77" s="1">
        <v>24</v>
      </c>
      <c r="U77" s="1">
        <v>24</v>
      </c>
      <c r="V77" s="1">
        <v>18</v>
      </c>
      <c r="W77" s="1">
        <v>75</v>
      </c>
      <c r="X77" s="1">
        <v>57</v>
      </c>
      <c r="Y77" s="1">
        <v>64</v>
      </c>
      <c r="Z77" s="1">
        <v>122</v>
      </c>
      <c r="AA77" s="1">
        <v>194</v>
      </c>
      <c r="AB77" s="1">
        <v>92</v>
      </c>
      <c r="AC77" s="1">
        <v>59</v>
      </c>
      <c r="AD77" s="1">
        <v>19</v>
      </c>
      <c r="AE77" s="1">
        <v>20</v>
      </c>
      <c r="AF77" s="18">
        <f t="shared" si="1"/>
        <v>51.56666666666667</v>
      </c>
    </row>
    <row r="78" spans="1:32" x14ac:dyDescent="0.35">
      <c r="A78" s="1" t="s">
        <v>56</v>
      </c>
      <c r="B78" s="1">
        <v>41</v>
      </c>
      <c r="C78" s="1">
        <v>48</v>
      </c>
      <c r="D78" s="1">
        <v>33</v>
      </c>
      <c r="E78" s="1">
        <v>60</v>
      </c>
      <c r="F78" s="1">
        <v>48</v>
      </c>
      <c r="G78" s="1">
        <v>43</v>
      </c>
      <c r="H78" s="1">
        <v>42</v>
      </c>
      <c r="I78" s="1">
        <v>107</v>
      </c>
      <c r="J78" s="1">
        <v>20</v>
      </c>
      <c r="K78" s="1">
        <v>30</v>
      </c>
      <c r="L78" s="1">
        <v>161</v>
      </c>
      <c r="M78" s="1">
        <v>71</v>
      </c>
      <c r="N78" s="1">
        <v>19</v>
      </c>
      <c r="O78" s="1">
        <v>128</v>
      </c>
      <c r="P78" s="1">
        <v>22</v>
      </c>
      <c r="Q78" s="1">
        <v>100</v>
      </c>
      <c r="R78" s="1">
        <v>86</v>
      </c>
      <c r="S78" s="1">
        <v>56</v>
      </c>
      <c r="T78" s="1">
        <v>32</v>
      </c>
      <c r="U78" s="1">
        <v>63</v>
      </c>
      <c r="V78" s="1">
        <v>102</v>
      </c>
      <c r="W78" s="1">
        <v>26</v>
      </c>
      <c r="X78" s="1">
        <v>30</v>
      </c>
      <c r="Y78" s="1">
        <v>96</v>
      </c>
      <c r="Z78" s="1">
        <v>30</v>
      </c>
      <c r="AA78" s="1">
        <v>59</v>
      </c>
      <c r="AB78" s="1">
        <v>47</v>
      </c>
      <c r="AC78" s="1">
        <v>58</v>
      </c>
      <c r="AD78" s="1">
        <v>40</v>
      </c>
      <c r="AE78" s="1">
        <v>16</v>
      </c>
      <c r="AF78" s="18">
        <f t="shared" si="1"/>
        <v>57.133333333333333</v>
      </c>
    </row>
    <row r="79" spans="1:32" x14ac:dyDescent="0.35">
      <c r="A79" s="1" t="s">
        <v>57</v>
      </c>
      <c r="B79" s="1">
        <v>28</v>
      </c>
      <c r="C79" s="1">
        <v>12</v>
      </c>
      <c r="D79" s="1">
        <v>14</v>
      </c>
      <c r="E79" s="1">
        <v>28</v>
      </c>
      <c r="F79" s="1">
        <v>13</v>
      </c>
      <c r="G79" s="1">
        <v>23</v>
      </c>
      <c r="H79" s="1">
        <v>22</v>
      </c>
      <c r="I79" s="1">
        <v>63</v>
      </c>
      <c r="J79" s="1">
        <v>19</v>
      </c>
      <c r="K79" s="1">
        <v>39</v>
      </c>
      <c r="L79" s="1">
        <v>89</v>
      </c>
      <c r="M79" s="1">
        <v>21</v>
      </c>
      <c r="N79" s="1">
        <v>14</v>
      </c>
      <c r="O79" s="1">
        <v>38</v>
      </c>
      <c r="P79" s="1">
        <v>58</v>
      </c>
      <c r="Q79" s="1">
        <v>36</v>
      </c>
      <c r="R79" s="1">
        <v>19</v>
      </c>
      <c r="S79" s="1">
        <v>48</v>
      </c>
      <c r="T79" s="1">
        <v>39</v>
      </c>
      <c r="U79" s="1">
        <v>35</v>
      </c>
      <c r="V79" s="1">
        <v>49</v>
      </c>
      <c r="W79" s="1">
        <v>16</v>
      </c>
      <c r="X79" s="1">
        <v>18</v>
      </c>
      <c r="Y79" s="1">
        <v>18</v>
      </c>
      <c r="Z79" s="1">
        <v>130</v>
      </c>
      <c r="AA79" s="1">
        <v>57</v>
      </c>
      <c r="AB79" s="1">
        <v>22</v>
      </c>
      <c r="AC79" s="1">
        <v>18</v>
      </c>
      <c r="AD79" s="1">
        <v>78</v>
      </c>
      <c r="AE79" s="1">
        <v>13</v>
      </c>
      <c r="AF79" s="18">
        <f t="shared" si="1"/>
        <v>35.9</v>
      </c>
    </row>
    <row r="80" spans="1:32" x14ac:dyDescent="0.35">
      <c r="A80" s="1" t="s">
        <v>58</v>
      </c>
      <c r="B80" s="1">
        <v>70</v>
      </c>
      <c r="C80" s="1">
        <v>43</v>
      </c>
      <c r="D80" s="1">
        <v>38</v>
      </c>
      <c r="E80" s="1">
        <v>23</v>
      </c>
      <c r="F80" s="1">
        <v>35</v>
      </c>
      <c r="G80" s="1">
        <v>67</v>
      </c>
      <c r="H80" s="1">
        <v>113</v>
      </c>
      <c r="I80" s="1">
        <v>181</v>
      </c>
      <c r="J80" s="1">
        <v>44</v>
      </c>
      <c r="K80" s="1">
        <v>82</v>
      </c>
      <c r="L80" s="1">
        <v>16</v>
      </c>
      <c r="M80" s="1">
        <v>17</v>
      </c>
      <c r="N80" s="1">
        <v>45</v>
      </c>
      <c r="O80" s="1">
        <v>39</v>
      </c>
      <c r="P80" s="1">
        <v>137</v>
      </c>
      <c r="Q80" s="1">
        <v>113</v>
      </c>
      <c r="R80" s="1">
        <v>51</v>
      </c>
      <c r="S80" s="1">
        <v>87</v>
      </c>
      <c r="T80" s="1">
        <v>36</v>
      </c>
      <c r="U80" s="1">
        <v>32</v>
      </c>
      <c r="V80" s="1">
        <v>54</v>
      </c>
      <c r="W80" s="1">
        <v>163</v>
      </c>
      <c r="X80" s="1">
        <v>83</v>
      </c>
      <c r="Y80" s="1">
        <v>14</v>
      </c>
      <c r="Z80" s="1">
        <v>55</v>
      </c>
      <c r="AA80" s="1">
        <v>30</v>
      </c>
      <c r="AB80" s="1">
        <v>22</v>
      </c>
      <c r="AC80" s="1">
        <v>18</v>
      </c>
      <c r="AD80" s="1">
        <v>66</v>
      </c>
      <c r="AE80" s="1">
        <v>13</v>
      </c>
      <c r="AF80" s="18">
        <f t="shared" si="1"/>
        <v>59.56666666666667</v>
      </c>
    </row>
    <row r="81" spans="1:32" x14ac:dyDescent="0.35">
      <c r="A81" s="1" t="s">
        <v>59</v>
      </c>
      <c r="B81" s="1">
        <v>37</v>
      </c>
      <c r="C81" s="1">
        <v>38</v>
      </c>
      <c r="D81" s="1">
        <v>72</v>
      </c>
      <c r="E81" s="1">
        <v>13</v>
      </c>
      <c r="F81" s="1">
        <v>48</v>
      </c>
      <c r="G81" s="1">
        <v>40</v>
      </c>
      <c r="H81" s="1">
        <v>36</v>
      </c>
      <c r="I81" s="1">
        <v>47</v>
      </c>
      <c r="J81" s="1">
        <v>14</v>
      </c>
      <c r="K81" s="1">
        <v>67</v>
      </c>
      <c r="L81" s="1">
        <v>17</v>
      </c>
      <c r="M81" s="1">
        <v>289</v>
      </c>
      <c r="N81" s="1">
        <v>100</v>
      </c>
      <c r="O81" s="1">
        <v>12</v>
      </c>
      <c r="P81" s="1">
        <v>23</v>
      </c>
      <c r="Q81" s="1">
        <v>62</v>
      </c>
      <c r="R81" s="1">
        <v>30</v>
      </c>
      <c r="S81" s="1">
        <v>130</v>
      </c>
      <c r="T81" s="1">
        <v>17</v>
      </c>
      <c r="U81" s="1">
        <v>26</v>
      </c>
      <c r="V81" s="1">
        <v>13</v>
      </c>
      <c r="W81" s="1">
        <v>39</v>
      </c>
      <c r="X81" s="1">
        <v>17</v>
      </c>
      <c r="Y81" s="1">
        <v>139</v>
      </c>
      <c r="Z81" s="1">
        <v>77</v>
      </c>
      <c r="AA81" s="1">
        <v>75</v>
      </c>
      <c r="AB81" s="1">
        <v>37</v>
      </c>
      <c r="AC81" s="1">
        <v>46</v>
      </c>
      <c r="AD81" s="1">
        <v>40</v>
      </c>
      <c r="AE81" s="1">
        <v>37</v>
      </c>
      <c r="AF81" s="18">
        <f t="shared" si="1"/>
        <v>54.6</v>
      </c>
    </row>
    <row r="82" spans="1:32" x14ac:dyDescent="0.35">
      <c r="A82" s="1" t="s">
        <v>181</v>
      </c>
      <c r="B82" s="1">
        <v>35</v>
      </c>
      <c r="C82" s="1">
        <v>51</v>
      </c>
      <c r="D82" s="1">
        <v>22</v>
      </c>
      <c r="E82" s="1">
        <v>40</v>
      </c>
      <c r="F82" s="1">
        <v>282</v>
      </c>
      <c r="G82" s="1">
        <v>29</v>
      </c>
      <c r="H82" s="1">
        <v>89</v>
      </c>
      <c r="I82" s="1">
        <v>21</v>
      </c>
      <c r="J82" s="1">
        <v>118</v>
      </c>
      <c r="K82" s="1">
        <v>84</v>
      </c>
      <c r="L82" s="1">
        <v>102</v>
      </c>
      <c r="M82" s="1">
        <v>39</v>
      </c>
      <c r="N82" s="1">
        <v>23</v>
      </c>
      <c r="O82" s="1">
        <v>59</v>
      </c>
      <c r="P82" s="1">
        <v>15</v>
      </c>
      <c r="Q82" s="1">
        <v>46</v>
      </c>
      <c r="R82" s="1">
        <v>69</v>
      </c>
      <c r="S82" s="1">
        <v>25</v>
      </c>
      <c r="T82" s="1">
        <v>24</v>
      </c>
      <c r="U82" s="1">
        <v>38</v>
      </c>
      <c r="V82" s="1">
        <v>34</v>
      </c>
      <c r="W82" s="1">
        <v>188</v>
      </c>
      <c r="X82" s="1">
        <v>23</v>
      </c>
      <c r="Y82" s="1">
        <v>35</v>
      </c>
      <c r="Z82" s="1">
        <v>90</v>
      </c>
      <c r="AA82" s="1">
        <v>105</v>
      </c>
      <c r="AB82" s="1">
        <v>56</v>
      </c>
      <c r="AC82" s="1">
        <v>87</v>
      </c>
      <c r="AD82" s="1">
        <v>224</v>
      </c>
      <c r="AE82" s="1">
        <v>14</v>
      </c>
      <c r="AF82" s="18">
        <f t="shared" si="1"/>
        <v>68.900000000000006</v>
      </c>
    </row>
    <row r="83" spans="1:32" x14ac:dyDescent="0.35">
      <c r="A83" s="1" t="s">
        <v>60</v>
      </c>
      <c r="B83" s="1">
        <v>12</v>
      </c>
      <c r="C83" s="1">
        <v>86</v>
      </c>
      <c r="D83" s="1">
        <v>28</v>
      </c>
      <c r="E83" s="1">
        <v>42</v>
      </c>
      <c r="F83" s="1">
        <v>83</v>
      </c>
      <c r="G83" s="1">
        <v>39</v>
      </c>
      <c r="H83" s="1">
        <v>13</v>
      </c>
      <c r="I83" s="1">
        <v>106</v>
      </c>
      <c r="J83" s="1">
        <v>34</v>
      </c>
      <c r="K83" s="1">
        <v>22</v>
      </c>
      <c r="L83" s="1">
        <v>25</v>
      </c>
      <c r="M83" s="1">
        <v>14</v>
      </c>
      <c r="N83" s="1">
        <v>57</v>
      </c>
      <c r="O83" s="1">
        <v>52</v>
      </c>
      <c r="P83" s="1">
        <v>95</v>
      </c>
      <c r="Q83" s="1">
        <v>20</v>
      </c>
      <c r="R83" s="1">
        <v>13</v>
      </c>
      <c r="S83" s="1">
        <v>24</v>
      </c>
      <c r="T83" s="1">
        <v>27</v>
      </c>
      <c r="U83" s="1">
        <v>15</v>
      </c>
      <c r="V83" s="1">
        <v>17</v>
      </c>
      <c r="W83" s="1">
        <v>29</v>
      </c>
      <c r="X83" s="1">
        <v>34</v>
      </c>
      <c r="Y83" s="1">
        <v>21</v>
      </c>
      <c r="Z83" s="1">
        <v>25</v>
      </c>
      <c r="AA83" s="1">
        <v>21</v>
      </c>
      <c r="AB83" s="1">
        <v>14</v>
      </c>
      <c r="AC83" s="1">
        <v>40</v>
      </c>
      <c r="AD83" s="1">
        <v>13</v>
      </c>
      <c r="AE83" s="1">
        <v>37</v>
      </c>
      <c r="AF83" s="18">
        <f t="shared" si="1"/>
        <v>35.266666666666666</v>
      </c>
    </row>
    <row r="84" spans="1:32" x14ac:dyDescent="0.35">
      <c r="A84" s="1" t="s">
        <v>61</v>
      </c>
      <c r="B84" s="1">
        <v>16</v>
      </c>
      <c r="C84" s="1">
        <v>46</v>
      </c>
      <c r="D84" s="1">
        <v>93</v>
      </c>
      <c r="E84" s="1">
        <v>74</v>
      </c>
      <c r="F84" s="1">
        <v>19</v>
      </c>
      <c r="G84" s="1">
        <v>13</v>
      </c>
      <c r="H84" s="1">
        <v>33</v>
      </c>
      <c r="I84" s="1">
        <v>68</v>
      </c>
      <c r="J84" s="1">
        <v>12</v>
      </c>
      <c r="K84" s="1">
        <v>168</v>
      </c>
      <c r="L84" s="1">
        <v>29</v>
      </c>
      <c r="M84" s="1">
        <v>58</v>
      </c>
      <c r="N84" s="1">
        <v>39</v>
      </c>
      <c r="O84" s="1">
        <v>13</v>
      </c>
      <c r="P84" s="1">
        <v>98</v>
      </c>
      <c r="Q84" s="1">
        <v>33</v>
      </c>
      <c r="R84" s="1">
        <v>54</v>
      </c>
      <c r="S84" s="1">
        <v>85</v>
      </c>
      <c r="T84" s="1">
        <v>60</v>
      </c>
      <c r="U84" s="1">
        <v>50</v>
      </c>
      <c r="V84" s="1">
        <v>32</v>
      </c>
      <c r="W84" s="1">
        <v>84</v>
      </c>
      <c r="X84" s="1">
        <v>105</v>
      </c>
      <c r="Y84" s="1">
        <v>95</v>
      </c>
      <c r="Z84" s="1">
        <v>47</v>
      </c>
      <c r="AA84" s="1">
        <v>107</v>
      </c>
      <c r="AB84" s="1">
        <v>26</v>
      </c>
      <c r="AC84" s="1">
        <v>34</v>
      </c>
      <c r="AD84" s="1">
        <v>30</v>
      </c>
      <c r="AE84" s="1">
        <v>50</v>
      </c>
      <c r="AF84" s="18">
        <f t="shared" si="1"/>
        <v>55.7</v>
      </c>
    </row>
    <row r="85" spans="1:32" x14ac:dyDescent="0.35">
      <c r="A85" s="1" t="s">
        <v>62</v>
      </c>
      <c r="B85" s="1">
        <v>26</v>
      </c>
      <c r="C85" s="1">
        <v>31</v>
      </c>
      <c r="D85" s="1">
        <v>15</v>
      </c>
      <c r="E85" s="1">
        <v>57</v>
      </c>
      <c r="F85" s="1">
        <v>28</v>
      </c>
      <c r="G85" s="1">
        <v>14</v>
      </c>
      <c r="H85" s="1">
        <v>27</v>
      </c>
      <c r="I85" s="1">
        <v>62</v>
      </c>
      <c r="J85" s="1">
        <v>40</v>
      </c>
      <c r="K85" s="1">
        <v>15</v>
      </c>
      <c r="L85" s="1">
        <v>70</v>
      </c>
      <c r="M85" s="1">
        <v>97</v>
      </c>
      <c r="N85" s="1">
        <v>29</v>
      </c>
      <c r="O85" s="1">
        <v>86</v>
      </c>
      <c r="P85" s="1">
        <v>23</v>
      </c>
      <c r="Q85" s="1">
        <v>57</v>
      </c>
      <c r="R85" s="1">
        <v>26</v>
      </c>
      <c r="S85" s="1">
        <v>38</v>
      </c>
      <c r="T85" s="1">
        <v>49</v>
      </c>
      <c r="U85" s="1">
        <v>45</v>
      </c>
      <c r="V85" s="1">
        <v>16</v>
      </c>
      <c r="W85" s="1">
        <v>24</v>
      </c>
      <c r="X85" s="1">
        <v>45</v>
      </c>
      <c r="Y85" s="1">
        <v>15</v>
      </c>
      <c r="Z85" s="1">
        <v>12</v>
      </c>
      <c r="AA85" s="1">
        <v>14</v>
      </c>
      <c r="AB85" s="1">
        <v>22</v>
      </c>
      <c r="AC85" s="1">
        <v>23</v>
      </c>
      <c r="AD85" s="1">
        <v>14</v>
      </c>
      <c r="AE85" s="1">
        <v>14</v>
      </c>
      <c r="AF85" s="18">
        <f t="shared" si="1"/>
        <v>34.466666666666669</v>
      </c>
    </row>
    <row r="86" spans="1:32" x14ac:dyDescent="0.35">
      <c r="A86" s="1" t="s">
        <v>63</v>
      </c>
      <c r="B86" s="1">
        <v>24</v>
      </c>
      <c r="C86" s="1">
        <v>23</v>
      </c>
      <c r="D86" s="1">
        <v>98</v>
      </c>
      <c r="E86" s="1">
        <v>59</v>
      </c>
      <c r="F86" s="1">
        <v>28</v>
      </c>
      <c r="G86" s="1">
        <v>34</v>
      </c>
      <c r="H86" s="1">
        <v>16</v>
      </c>
      <c r="I86" s="1">
        <v>79</v>
      </c>
      <c r="J86" s="1">
        <v>132</v>
      </c>
      <c r="K86" s="1">
        <v>15</v>
      </c>
      <c r="L86" s="1">
        <v>19</v>
      </c>
      <c r="M86" s="1">
        <v>28</v>
      </c>
      <c r="N86" s="1">
        <v>30</v>
      </c>
      <c r="O86" s="1">
        <v>12</v>
      </c>
      <c r="P86" s="1">
        <v>52</v>
      </c>
      <c r="Q86" s="1">
        <v>43</v>
      </c>
      <c r="R86" s="1">
        <v>22</v>
      </c>
      <c r="S86" s="1">
        <v>139</v>
      </c>
      <c r="T86" s="1">
        <v>203</v>
      </c>
      <c r="U86" s="1">
        <v>54</v>
      </c>
      <c r="V86" s="1">
        <v>67</v>
      </c>
      <c r="W86" s="1">
        <v>17</v>
      </c>
      <c r="X86" s="1">
        <v>45</v>
      </c>
      <c r="Y86" s="1">
        <v>44</v>
      </c>
      <c r="Z86" s="1">
        <v>12</v>
      </c>
      <c r="AA86" s="1">
        <v>36</v>
      </c>
      <c r="AB86" s="1">
        <v>83</v>
      </c>
      <c r="AC86" s="1">
        <v>24</v>
      </c>
      <c r="AD86" s="1">
        <v>16</v>
      </c>
      <c r="AE86" s="1">
        <v>23</v>
      </c>
      <c r="AF86" s="18">
        <f t="shared" si="1"/>
        <v>49.233333333333334</v>
      </c>
    </row>
    <row r="87" spans="1:32" x14ac:dyDescent="0.35">
      <c r="A87" s="1" t="s">
        <v>64</v>
      </c>
      <c r="B87" s="1">
        <v>15</v>
      </c>
      <c r="C87" s="1">
        <v>35</v>
      </c>
      <c r="D87" s="1">
        <v>12</v>
      </c>
      <c r="E87" s="1">
        <v>23</v>
      </c>
      <c r="F87" s="1">
        <v>80</v>
      </c>
      <c r="G87" s="1">
        <v>44</v>
      </c>
      <c r="H87" s="1">
        <v>96</v>
      </c>
      <c r="I87" s="1">
        <v>73</v>
      </c>
      <c r="J87" s="1">
        <v>28</v>
      </c>
      <c r="K87" s="1">
        <v>39</v>
      </c>
      <c r="L87" s="1">
        <v>130</v>
      </c>
      <c r="M87" s="1">
        <v>19</v>
      </c>
      <c r="N87" s="1">
        <v>84</v>
      </c>
      <c r="O87" s="1">
        <v>191</v>
      </c>
      <c r="P87" s="1">
        <v>54</v>
      </c>
      <c r="Q87" s="1">
        <v>28</v>
      </c>
      <c r="R87" s="1">
        <v>64</v>
      </c>
      <c r="S87" s="1">
        <v>175</v>
      </c>
      <c r="T87" s="1">
        <v>23</v>
      </c>
      <c r="U87" s="1">
        <v>14</v>
      </c>
      <c r="V87" s="1">
        <v>53</v>
      </c>
      <c r="W87" s="1">
        <v>13</v>
      </c>
      <c r="X87" s="1">
        <v>14</v>
      </c>
      <c r="Y87" s="1">
        <v>60</v>
      </c>
      <c r="Z87" s="1">
        <v>23</v>
      </c>
      <c r="AA87" s="1">
        <v>79</v>
      </c>
      <c r="AB87" s="1">
        <v>13</v>
      </c>
      <c r="AC87" s="1">
        <v>57</v>
      </c>
      <c r="AD87" s="1">
        <v>129</v>
      </c>
      <c r="AE87" s="1">
        <v>23</v>
      </c>
      <c r="AF87" s="18">
        <f t="shared" si="1"/>
        <v>56.366666666666667</v>
      </c>
    </row>
    <row r="88" spans="1:32" x14ac:dyDescent="0.35">
      <c r="A88" s="1" t="s">
        <v>182</v>
      </c>
      <c r="B88" s="1">
        <v>20</v>
      </c>
      <c r="C88" s="1">
        <v>39</v>
      </c>
      <c r="D88" s="1">
        <v>96</v>
      </c>
      <c r="E88" s="1">
        <v>32</v>
      </c>
      <c r="F88" s="1">
        <v>14</v>
      </c>
      <c r="G88" s="1">
        <v>67</v>
      </c>
      <c r="H88" s="1">
        <v>25</v>
      </c>
      <c r="I88" s="1">
        <v>49</v>
      </c>
      <c r="J88" s="1">
        <v>12</v>
      </c>
      <c r="K88" s="1">
        <v>19</v>
      </c>
      <c r="L88" s="1">
        <v>20</v>
      </c>
      <c r="M88" s="1">
        <v>14</v>
      </c>
      <c r="N88" s="1">
        <v>23</v>
      </c>
      <c r="O88" s="1">
        <v>50</v>
      </c>
      <c r="P88" s="1">
        <v>17</v>
      </c>
      <c r="Q88" s="1">
        <v>71</v>
      </c>
      <c r="R88" s="1">
        <v>48</v>
      </c>
      <c r="S88" s="1">
        <v>99</v>
      </c>
      <c r="T88" s="1">
        <v>25</v>
      </c>
      <c r="U88" s="1">
        <v>12</v>
      </c>
      <c r="V88" s="1">
        <v>15</v>
      </c>
      <c r="W88" s="1">
        <v>44</v>
      </c>
      <c r="X88" s="1">
        <v>22</v>
      </c>
      <c r="Y88" s="1">
        <v>20</v>
      </c>
      <c r="Z88" s="1">
        <v>73</v>
      </c>
      <c r="AA88" s="1">
        <v>27</v>
      </c>
      <c r="AB88" s="1">
        <v>15</v>
      </c>
      <c r="AC88" s="1">
        <v>65</v>
      </c>
      <c r="AD88" s="1">
        <v>88</v>
      </c>
      <c r="AE88" s="1">
        <v>43</v>
      </c>
      <c r="AF88" s="18">
        <f t="shared" si="1"/>
        <v>38.799999999999997</v>
      </c>
    </row>
    <row r="89" spans="1:32" x14ac:dyDescent="0.35">
      <c r="A89" s="1" t="s">
        <v>65</v>
      </c>
      <c r="B89" s="1">
        <v>176</v>
      </c>
      <c r="C89" s="1">
        <v>17</v>
      </c>
      <c r="D89" s="1">
        <v>20</v>
      </c>
      <c r="E89" s="1">
        <v>56</v>
      </c>
      <c r="F89" s="1">
        <v>101</v>
      </c>
      <c r="G89" s="1">
        <v>116</v>
      </c>
      <c r="H89" s="1">
        <v>72</v>
      </c>
      <c r="I89" s="1">
        <v>21</v>
      </c>
      <c r="J89" s="1">
        <v>43</v>
      </c>
      <c r="K89" s="1">
        <v>36</v>
      </c>
      <c r="L89" s="1">
        <v>57</v>
      </c>
      <c r="M89" s="1">
        <v>98</v>
      </c>
      <c r="N89" s="1">
        <v>87</v>
      </c>
      <c r="O89" s="1">
        <v>105</v>
      </c>
      <c r="P89" s="1">
        <v>62</v>
      </c>
      <c r="Q89" s="1">
        <v>193</v>
      </c>
      <c r="R89" s="1">
        <v>92</v>
      </c>
      <c r="S89" s="1">
        <v>45</v>
      </c>
      <c r="T89" s="1">
        <v>27</v>
      </c>
      <c r="U89" s="1">
        <v>47</v>
      </c>
      <c r="V89" s="1">
        <v>115</v>
      </c>
      <c r="W89" s="1">
        <v>227</v>
      </c>
      <c r="X89" s="1">
        <v>158</v>
      </c>
      <c r="Y89" s="1">
        <v>62</v>
      </c>
      <c r="Z89" s="1">
        <v>38</v>
      </c>
      <c r="AA89" s="1">
        <v>55</v>
      </c>
      <c r="AB89" s="1">
        <v>14</v>
      </c>
      <c r="AC89" s="1">
        <v>161</v>
      </c>
      <c r="AD89" s="1">
        <v>19</v>
      </c>
      <c r="AE89" s="1">
        <v>31</v>
      </c>
      <c r="AF89" s="18">
        <f t="shared" si="1"/>
        <v>78.36666666666666</v>
      </c>
    </row>
    <row r="90" spans="1:32" x14ac:dyDescent="0.35">
      <c r="A90" s="1" t="s">
        <v>66</v>
      </c>
      <c r="B90" s="1">
        <v>78</v>
      </c>
      <c r="C90" s="1">
        <v>151</v>
      </c>
      <c r="D90" s="1">
        <v>48</v>
      </c>
      <c r="E90" s="1">
        <v>12</v>
      </c>
      <c r="F90" s="1">
        <v>84</v>
      </c>
      <c r="G90" s="1">
        <v>29</v>
      </c>
      <c r="H90" s="1">
        <v>36</v>
      </c>
      <c r="I90" s="1">
        <v>71</v>
      </c>
      <c r="J90" s="1">
        <v>39</v>
      </c>
      <c r="K90" s="1">
        <v>13</v>
      </c>
      <c r="L90" s="1">
        <v>13</v>
      </c>
      <c r="M90" s="1">
        <v>45</v>
      </c>
      <c r="N90" s="1">
        <v>36</v>
      </c>
      <c r="O90" s="1">
        <v>31</v>
      </c>
      <c r="P90" s="1">
        <v>56</v>
      </c>
      <c r="Q90" s="1">
        <v>72</v>
      </c>
      <c r="R90" s="1">
        <v>119</v>
      </c>
      <c r="S90" s="1">
        <v>17</v>
      </c>
      <c r="T90" s="1">
        <v>37</v>
      </c>
      <c r="U90" s="1">
        <v>57</v>
      </c>
      <c r="V90" s="1">
        <v>47</v>
      </c>
      <c r="W90" s="1">
        <v>16</v>
      </c>
      <c r="X90" s="1">
        <v>41</v>
      </c>
      <c r="Y90" s="1">
        <v>25</v>
      </c>
      <c r="Z90" s="1">
        <v>49</v>
      </c>
      <c r="AA90" s="1">
        <v>54</v>
      </c>
      <c r="AB90" s="1">
        <v>15</v>
      </c>
      <c r="AC90" s="1">
        <v>25</v>
      </c>
      <c r="AD90" s="1">
        <v>55</v>
      </c>
      <c r="AE90" s="1">
        <v>21</v>
      </c>
      <c r="AF90" s="18">
        <f t="shared" si="1"/>
        <v>46.4</v>
      </c>
    </row>
    <row r="91" spans="1:32" x14ac:dyDescent="0.35">
      <c r="A91" s="1" t="s">
        <v>67</v>
      </c>
      <c r="B91" s="1">
        <v>39</v>
      </c>
      <c r="C91" s="1">
        <v>23</v>
      </c>
      <c r="D91" s="1">
        <v>39</v>
      </c>
      <c r="E91" s="1">
        <v>13</v>
      </c>
      <c r="F91" s="1">
        <v>141</v>
      </c>
      <c r="G91" s="1">
        <v>16</v>
      </c>
      <c r="H91" s="1">
        <v>45</v>
      </c>
      <c r="I91" s="1">
        <v>15</v>
      </c>
      <c r="J91" s="1">
        <v>18</v>
      </c>
      <c r="K91" s="1">
        <v>46</v>
      </c>
      <c r="L91" s="1">
        <v>18</v>
      </c>
      <c r="M91" s="1">
        <v>36</v>
      </c>
      <c r="N91" s="1">
        <v>63</v>
      </c>
      <c r="O91" s="1">
        <v>28</v>
      </c>
      <c r="P91" s="1">
        <v>16</v>
      </c>
      <c r="Q91" s="1">
        <v>20</v>
      </c>
      <c r="R91" s="1">
        <v>109</v>
      </c>
      <c r="S91" s="1">
        <v>22</v>
      </c>
      <c r="T91" s="1">
        <v>66</v>
      </c>
      <c r="U91" s="1">
        <v>37</v>
      </c>
      <c r="V91" s="1">
        <v>13</v>
      </c>
      <c r="W91" s="1">
        <v>61</v>
      </c>
      <c r="X91" s="1">
        <v>52</v>
      </c>
      <c r="Y91" s="1">
        <v>30</v>
      </c>
      <c r="Z91" s="1">
        <v>18</v>
      </c>
      <c r="AA91" s="1">
        <v>56</v>
      </c>
      <c r="AB91" s="1">
        <v>255</v>
      </c>
      <c r="AC91" s="1">
        <v>33</v>
      </c>
      <c r="AD91" s="1">
        <v>37</v>
      </c>
      <c r="AE91" s="1">
        <v>49</v>
      </c>
      <c r="AF91" s="18">
        <f t="shared" si="1"/>
        <v>47.133333333333333</v>
      </c>
    </row>
    <row r="92" spans="1:32" x14ac:dyDescent="0.35">
      <c r="A92" s="1" t="s">
        <v>68</v>
      </c>
      <c r="B92" s="1">
        <v>36</v>
      </c>
      <c r="C92" s="1">
        <v>22</v>
      </c>
      <c r="D92" s="1">
        <v>14</v>
      </c>
      <c r="E92" s="1">
        <v>52</v>
      </c>
      <c r="F92" s="1">
        <v>36</v>
      </c>
      <c r="G92" s="1">
        <v>33</v>
      </c>
      <c r="H92" s="1">
        <v>42</v>
      </c>
      <c r="I92" s="1">
        <v>44</v>
      </c>
      <c r="J92" s="1">
        <v>12</v>
      </c>
      <c r="K92" s="1">
        <v>65</v>
      </c>
      <c r="L92" s="1">
        <v>39</v>
      </c>
      <c r="M92" s="1">
        <v>13</v>
      </c>
      <c r="N92" s="1">
        <v>116</v>
      </c>
      <c r="O92" s="1">
        <v>20</v>
      </c>
      <c r="P92" s="1">
        <v>20</v>
      </c>
      <c r="Q92" s="1">
        <v>29</v>
      </c>
      <c r="R92" s="1">
        <v>65</v>
      </c>
      <c r="S92" s="1">
        <v>57</v>
      </c>
      <c r="T92" s="1">
        <v>224</v>
      </c>
      <c r="U92" s="1">
        <v>55</v>
      </c>
      <c r="V92" s="1">
        <v>14</v>
      </c>
      <c r="W92" s="1">
        <v>83</v>
      </c>
      <c r="X92" s="1">
        <v>46</v>
      </c>
      <c r="Y92" s="1">
        <v>90</v>
      </c>
      <c r="Z92" s="1">
        <v>24</v>
      </c>
      <c r="AA92" s="1">
        <v>60</v>
      </c>
      <c r="AB92" s="1">
        <v>16</v>
      </c>
      <c r="AC92" s="1">
        <v>47</v>
      </c>
      <c r="AD92" s="1">
        <v>54</v>
      </c>
      <c r="AE92" s="1">
        <v>143</v>
      </c>
      <c r="AF92" s="18">
        <f t="shared" si="1"/>
        <v>52.366666666666667</v>
      </c>
    </row>
    <row r="93" spans="1:32" x14ac:dyDescent="0.35">
      <c r="A93" s="1" t="s">
        <v>69</v>
      </c>
      <c r="B93" s="1">
        <v>153</v>
      </c>
      <c r="C93" s="1">
        <v>33</v>
      </c>
      <c r="D93" s="1">
        <v>40</v>
      </c>
      <c r="E93" s="1">
        <v>18</v>
      </c>
      <c r="F93" s="1">
        <v>86</v>
      </c>
      <c r="G93" s="1">
        <v>15</v>
      </c>
      <c r="H93" s="1">
        <v>174</v>
      </c>
      <c r="I93" s="1">
        <v>46</v>
      </c>
      <c r="J93" s="1">
        <v>14</v>
      </c>
      <c r="K93" s="1">
        <v>34</v>
      </c>
      <c r="L93" s="1">
        <v>61</v>
      </c>
      <c r="M93" s="1">
        <v>46</v>
      </c>
      <c r="N93" s="1">
        <v>28</v>
      </c>
      <c r="O93" s="1">
        <v>190</v>
      </c>
      <c r="P93" s="1">
        <v>77</v>
      </c>
      <c r="Q93" s="1">
        <v>26</v>
      </c>
      <c r="R93" s="1">
        <v>44</v>
      </c>
      <c r="S93" s="1">
        <v>24</v>
      </c>
      <c r="T93" s="1">
        <v>20</v>
      </c>
      <c r="U93" s="1">
        <v>209</v>
      </c>
      <c r="V93" s="1">
        <v>134</v>
      </c>
      <c r="W93" s="1">
        <v>107</v>
      </c>
      <c r="X93" s="1">
        <v>62</v>
      </c>
      <c r="Y93" s="1">
        <v>44</v>
      </c>
      <c r="Z93" s="1">
        <v>30</v>
      </c>
      <c r="AA93" s="1">
        <v>22</v>
      </c>
      <c r="AB93" s="1">
        <v>17</v>
      </c>
      <c r="AC93" s="1">
        <v>19</v>
      </c>
      <c r="AD93" s="1">
        <v>55</v>
      </c>
      <c r="AE93" s="1">
        <v>57</v>
      </c>
      <c r="AF93" s="18">
        <f t="shared" si="1"/>
        <v>62.833333333333336</v>
      </c>
    </row>
    <row r="94" spans="1:32" x14ac:dyDescent="0.35">
      <c r="A94" s="1" t="s">
        <v>70</v>
      </c>
      <c r="B94" s="1">
        <v>206</v>
      </c>
      <c r="C94" s="1">
        <v>81</v>
      </c>
      <c r="D94" s="1">
        <v>91</v>
      </c>
      <c r="E94" s="1">
        <v>39</v>
      </c>
      <c r="F94" s="1">
        <v>41</v>
      </c>
      <c r="G94" s="1">
        <v>25</v>
      </c>
      <c r="H94" s="1">
        <v>71</v>
      </c>
      <c r="I94" s="1">
        <v>21</v>
      </c>
      <c r="J94" s="1">
        <v>37</v>
      </c>
      <c r="K94" s="1">
        <v>80</v>
      </c>
      <c r="L94" s="1">
        <v>60</v>
      </c>
      <c r="M94" s="1">
        <v>33</v>
      </c>
      <c r="N94" s="1">
        <v>72</v>
      </c>
      <c r="O94" s="1">
        <v>49</v>
      </c>
      <c r="P94" s="1">
        <v>23</v>
      </c>
      <c r="Q94" s="1">
        <v>20</v>
      </c>
      <c r="R94" s="1">
        <v>16</v>
      </c>
      <c r="S94" s="1">
        <v>23</v>
      </c>
      <c r="T94" s="1">
        <v>104</v>
      </c>
      <c r="U94" s="1">
        <v>35</v>
      </c>
      <c r="V94" s="1">
        <v>69</v>
      </c>
      <c r="W94" s="1">
        <v>14</v>
      </c>
      <c r="X94" s="1">
        <v>50</v>
      </c>
      <c r="Y94" s="1">
        <v>16</v>
      </c>
      <c r="Z94" s="1">
        <v>67</v>
      </c>
      <c r="AA94" s="1">
        <v>52</v>
      </c>
      <c r="AB94" s="1">
        <v>88</v>
      </c>
      <c r="AC94" s="1">
        <v>24</v>
      </c>
      <c r="AD94" s="1">
        <v>19</v>
      </c>
      <c r="AE94" s="1">
        <v>65</v>
      </c>
      <c r="AF94" s="18">
        <f t="shared" si="1"/>
        <v>53.033333333333331</v>
      </c>
    </row>
    <row r="95" spans="1:32" x14ac:dyDescent="0.35">
      <c r="A95" s="1" t="s">
        <v>71</v>
      </c>
      <c r="B95" s="1">
        <v>44</v>
      </c>
      <c r="C95" s="1">
        <v>15</v>
      </c>
      <c r="D95" s="1">
        <v>55</v>
      </c>
      <c r="E95" s="1">
        <v>29</v>
      </c>
      <c r="F95" s="1">
        <v>27</v>
      </c>
      <c r="G95" s="1">
        <v>14</v>
      </c>
      <c r="H95" s="1">
        <v>18</v>
      </c>
      <c r="I95" s="1">
        <v>19</v>
      </c>
      <c r="J95" s="1">
        <v>12</v>
      </c>
      <c r="K95" s="1">
        <v>39</v>
      </c>
      <c r="L95" s="1">
        <v>21</v>
      </c>
      <c r="M95" s="1">
        <v>17</v>
      </c>
      <c r="N95" s="1">
        <v>78</v>
      </c>
      <c r="O95" s="1">
        <v>14</v>
      </c>
      <c r="P95" s="1">
        <v>113</v>
      </c>
      <c r="Q95" s="1">
        <v>24</v>
      </c>
      <c r="R95" s="1">
        <v>12</v>
      </c>
      <c r="S95" s="1">
        <v>24</v>
      </c>
      <c r="T95" s="1">
        <v>17</v>
      </c>
      <c r="U95" s="1">
        <v>14</v>
      </c>
      <c r="V95" s="1">
        <v>44</v>
      </c>
      <c r="W95" s="1">
        <v>61</v>
      </c>
      <c r="X95" s="1">
        <v>29</v>
      </c>
      <c r="Y95" s="1">
        <v>146</v>
      </c>
      <c r="Z95" s="1">
        <v>92</v>
      </c>
      <c r="AA95" s="1">
        <v>72</v>
      </c>
      <c r="AB95" s="1">
        <v>57</v>
      </c>
      <c r="AC95" s="1">
        <v>116</v>
      </c>
      <c r="AD95" s="1">
        <v>21</v>
      </c>
      <c r="AE95" s="1">
        <v>22</v>
      </c>
      <c r="AF95" s="18">
        <f t="shared" si="1"/>
        <v>42.2</v>
      </c>
    </row>
    <row r="96" spans="1:32" x14ac:dyDescent="0.35">
      <c r="A96" s="1" t="s">
        <v>72</v>
      </c>
      <c r="B96" s="1">
        <v>53</v>
      </c>
      <c r="C96" s="1">
        <v>80</v>
      </c>
      <c r="D96" s="1">
        <v>39</v>
      </c>
      <c r="E96" s="1">
        <v>84</v>
      </c>
      <c r="F96" s="1">
        <v>24</v>
      </c>
      <c r="G96" s="1">
        <v>31</v>
      </c>
      <c r="H96" s="1">
        <v>43</v>
      </c>
      <c r="I96" s="1">
        <v>40</v>
      </c>
      <c r="J96" s="1">
        <v>17</v>
      </c>
      <c r="K96" s="1">
        <v>30</v>
      </c>
      <c r="L96" s="1">
        <v>55</v>
      </c>
      <c r="M96" s="1">
        <v>25</v>
      </c>
      <c r="N96" s="1">
        <v>20</v>
      </c>
      <c r="O96" s="1">
        <v>27</v>
      </c>
      <c r="P96" s="1">
        <v>68</v>
      </c>
      <c r="Q96" s="1">
        <v>29</v>
      </c>
      <c r="R96" s="1">
        <v>41</v>
      </c>
      <c r="S96" s="1">
        <v>101</v>
      </c>
      <c r="T96" s="1">
        <v>38</v>
      </c>
      <c r="U96" s="1">
        <v>29</v>
      </c>
      <c r="V96" s="1">
        <v>23</v>
      </c>
      <c r="W96" s="1">
        <v>18</v>
      </c>
      <c r="X96" s="1">
        <v>28</v>
      </c>
      <c r="Y96" s="1">
        <v>48</v>
      </c>
      <c r="Z96" s="1">
        <v>145</v>
      </c>
      <c r="AA96" s="1">
        <v>16</v>
      </c>
      <c r="AB96" s="1">
        <v>23</v>
      </c>
      <c r="AC96" s="1">
        <v>46</v>
      </c>
      <c r="AD96" s="1">
        <v>46</v>
      </c>
      <c r="AE96" s="1">
        <v>57</v>
      </c>
      <c r="AF96" s="18">
        <f t="shared" si="1"/>
        <v>44.133333333333333</v>
      </c>
    </row>
    <row r="97" spans="1:32" x14ac:dyDescent="0.35">
      <c r="A97" s="1" t="s">
        <v>73</v>
      </c>
      <c r="B97" s="1">
        <v>56</v>
      </c>
      <c r="C97" s="1">
        <v>16</v>
      </c>
      <c r="D97" s="1">
        <v>12</v>
      </c>
      <c r="E97" s="1">
        <v>29</v>
      </c>
      <c r="F97" s="1">
        <v>37</v>
      </c>
      <c r="G97" s="1">
        <v>203</v>
      </c>
      <c r="H97" s="1">
        <v>83</v>
      </c>
      <c r="I97" s="1">
        <v>45</v>
      </c>
      <c r="J97" s="1">
        <v>27</v>
      </c>
      <c r="K97" s="1">
        <v>13</v>
      </c>
      <c r="L97" s="1">
        <v>19</v>
      </c>
      <c r="M97" s="1">
        <v>15</v>
      </c>
      <c r="N97" s="1">
        <v>101</v>
      </c>
      <c r="O97" s="1">
        <v>201</v>
      </c>
      <c r="P97" s="1">
        <v>28</v>
      </c>
      <c r="Q97" s="1">
        <v>111</v>
      </c>
      <c r="R97" s="1">
        <v>47</v>
      </c>
      <c r="S97" s="1">
        <v>104</v>
      </c>
      <c r="T97" s="1">
        <v>25</v>
      </c>
      <c r="U97" s="1">
        <v>24</v>
      </c>
      <c r="V97" s="1">
        <v>17</v>
      </c>
      <c r="W97" s="1">
        <v>20</v>
      </c>
      <c r="X97" s="1">
        <v>104</v>
      </c>
      <c r="Y97" s="1">
        <v>18</v>
      </c>
      <c r="Z97" s="1">
        <v>49</v>
      </c>
      <c r="AA97" s="1">
        <v>29</v>
      </c>
      <c r="AB97" s="1">
        <v>24</v>
      </c>
      <c r="AC97" s="1">
        <v>59</v>
      </c>
      <c r="AD97" s="1">
        <v>12</v>
      </c>
      <c r="AE97" s="1">
        <v>13</v>
      </c>
      <c r="AF97" s="18">
        <f t="shared" si="1"/>
        <v>51.366666666666667</v>
      </c>
    </row>
    <row r="98" spans="1:32" x14ac:dyDescent="0.35">
      <c r="A98" s="1" t="s">
        <v>74</v>
      </c>
      <c r="B98" s="1">
        <v>23</v>
      </c>
      <c r="C98" s="1">
        <v>14</v>
      </c>
      <c r="D98" s="1">
        <v>56</v>
      </c>
      <c r="E98" s="1">
        <v>280</v>
      </c>
      <c r="F98" s="1">
        <v>38</v>
      </c>
      <c r="G98" s="1">
        <v>41</v>
      </c>
      <c r="H98" s="1">
        <v>35</v>
      </c>
      <c r="I98" s="1">
        <v>12</v>
      </c>
      <c r="J98" s="1">
        <v>88</v>
      </c>
      <c r="K98" s="1">
        <v>16</v>
      </c>
      <c r="L98" s="1">
        <v>87</v>
      </c>
      <c r="M98" s="1">
        <v>55</v>
      </c>
      <c r="N98" s="1">
        <v>48</v>
      </c>
      <c r="O98" s="1">
        <v>28</v>
      </c>
      <c r="P98" s="1">
        <v>102</v>
      </c>
      <c r="Q98" s="1">
        <v>17</v>
      </c>
      <c r="R98" s="1">
        <v>17</v>
      </c>
      <c r="S98" s="1">
        <v>17</v>
      </c>
      <c r="T98" s="1">
        <v>27</v>
      </c>
      <c r="U98" s="1">
        <v>19</v>
      </c>
      <c r="V98" s="1">
        <v>105</v>
      </c>
      <c r="W98" s="1">
        <v>147</v>
      </c>
      <c r="X98" s="1">
        <v>143</v>
      </c>
      <c r="Y98" s="1">
        <v>80</v>
      </c>
      <c r="Z98" s="1">
        <v>21</v>
      </c>
      <c r="AA98" s="1">
        <v>34</v>
      </c>
      <c r="AB98" s="1">
        <v>59</v>
      </c>
      <c r="AC98" s="1">
        <v>82</v>
      </c>
      <c r="AD98" s="1">
        <v>74</v>
      </c>
      <c r="AE98" s="1">
        <v>26</v>
      </c>
      <c r="AF98" s="18">
        <f t="shared" si="1"/>
        <v>59.7</v>
      </c>
    </row>
    <row r="99" spans="1:32" x14ac:dyDescent="0.35">
      <c r="A99" s="1" t="s">
        <v>75</v>
      </c>
      <c r="B99" s="1">
        <v>41</v>
      </c>
      <c r="C99" s="1">
        <v>30</v>
      </c>
      <c r="D99" s="1">
        <v>20</v>
      </c>
      <c r="E99" s="1">
        <v>60</v>
      </c>
      <c r="F99" s="1">
        <v>24</v>
      </c>
      <c r="G99" s="1">
        <v>26</v>
      </c>
      <c r="H99" s="1">
        <v>41</v>
      </c>
      <c r="I99" s="1">
        <v>13</v>
      </c>
      <c r="J99" s="1">
        <v>24</v>
      </c>
      <c r="K99" s="1">
        <v>62</v>
      </c>
      <c r="L99" s="1">
        <v>25</v>
      </c>
      <c r="M99" s="1">
        <v>14</v>
      </c>
      <c r="N99" s="1">
        <v>50</v>
      </c>
      <c r="O99" s="1">
        <v>31</v>
      </c>
      <c r="P99" s="1">
        <v>31</v>
      </c>
      <c r="Q99" s="1">
        <v>23</v>
      </c>
      <c r="R99" s="1">
        <v>26</v>
      </c>
      <c r="S99" s="1">
        <v>26</v>
      </c>
      <c r="T99" s="1">
        <v>39</v>
      </c>
      <c r="U99" s="1">
        <v>18</v>
      </c>
      <c r="V99" s="1">
        <v>179</v>
      </c>
      <c r="W99" s="1">
        <v>55</v>
      </c>
      <c r="X99" s="1">
        <v>21</v>
      </c>
      <c r="Y99" s="1">
        <v>26</v>
      </c>
      <c r="Z99" s="1">
        <v>27</v>
      </c>
      <c r="AA99" s="1">
        <v>16</v>
      </c>
      <c r="AB99" s="1">
        <v>13</v>
      </c>
      <c r="AC99" s="1">
        <v>15</v>
      </c>
      <c r="AD99" s="1">
        <v>19</v>
      </c>
      <c r="AE99" s="1">
        <v>20</v>
      </c>
      <c r="AF99" s="18">
        <f t="shared" si="1"/>
        <v>33.833333333333336</v>
      </c>
    </row>
    <row r="100" spans="1:32" x14ac:dyDescent="0.35">
      <c r="A100" s="1" t="s">
        <v>76</v>
      </c>
      <c r="B100" s="1">
        <v>121</v>
      </c>
      <c r="C100" s="1">
        <v>104</v>
      </c>
      <c r="D100" s="1">
        <v>70</v>
      </c>
      <c r="E100" s="1">
        <v>12</v>
      </c>
      <c r="F100" s="1">
        <v>43</v>
      </c>
      <c r="G100" s="1">
        <v>66</v>
      </c>
      <c r="H100" s="1">
        <v>119</v>
      </c>
      <c r="I100" s="1">
        <v>42</v>
      </c>
      <c r="J100" s="1">
        <v>160</v>
      </c>
      <c r="K100" s="1">
        <v>155</v>
      </c>
      <c r="L100" s="1">
        <v>266</v>
      </c>
      <c r="M100" s="1">
        <v>13</v>
      </c>
      <c r="N100" s="1">
        <v>66</v>
      </c>
      <c r="O100" s="1">
        <v>125</v>
      </c>
      <c r="P100" s="1">
        <v>137</v>
      </c>
      <c r="Q100" s="1">
        <v>37</v>
      </c>
      <c r="R100" s="1">
        <v>104</v>
      </c>
      <c r="S100" s="1">
        <v>22</v>
      </c>
      <c r="T100" s="1">
        <v>22</v>
      </c>
      <c r="U100" s="1">
        <v>20</v>
      </c>
      <c r="V100" s="1">
        <v>90</v>
      </c>
      <c r="W100" s="1">
        <v>160</v>
      </c>
      <c r="X100" s="1">
        <v>105</v>
      </c>
      <c r="Y100" s="1">
        <v>62</v>
      </c>
      <c r="Z100" s="1">
        <v>139</v>
      </c>
      <c r="AA100" s="1">
        <v>139</v>
      </c>
      <c r="AB100" s="1">
        <v>45</v>
      </c>
      <c r="AC100" s="1">
        <v>232</v>
      </c>
      <c r="AD100" s="1">
        <v>115</v>
      </c>
      <c r="AE100" s="1">
        <v>36</v>
      </c>
      <c r="AF100" s="18">
        <f t="shared" si="1"/>
        <v>94.233333333333334</v>
      </c>
    </row>
    <row r="101" spans="1:32" x14ac:dyDescent="0.35">
      <c r="A101" s="1" t="s">
        <v>77</v>
      </c>
      <c r="B101" s="1">
        <v>73</v>
      </c>
      <c r="C101" s="1">
        <v>23</v>
      </c>
      <c r="D101" s="1">
        <v>24</v>
      </c>
      <c r="E101" s="1">
        <v>14</v>
      </c>
      <c r="F101" s="1">
        <v>18</v>
      </c>
      <c r="G101" s="1">
        <v>38</v>
      </c>
      <c r="H101" s="1">
        <v>15</v>
      </c>
      <c r="I101" s="1">
        <v>86</v>
      </c>
      <c r="J101" s="1">
        <v>26</v>
      </c>
      <c r="K101" s="1">
        <v>14</v>
      </c>
      <c r="L101" s="1">
        <v>17</v>
      </c>
      <c r="M101" s="1">
        <v>27</v>
      </c>
      <c r="N101" s="1">
        <v>307</v>
      </c>
      <c r="O101" s="1">
        <v>30</v>
      </c>
      <c r="P101" s="1">
        <v>66</v>
      </c>
      <c r="Q101" s="1">
        <v>13</v>
      </c>
      <c r="R101" s="1">
        <v>54</v>
      </c>
      <c r="S101" s="1">
        <v>18</v>
      </c>
      <c r="T101" s="1">
        <v>45</v>
      </c>
      <c r="U101" s="1">
        <v>37</v>
      </c>
      <c r="V101" s="1">
        <v>162</v>
      </c>
      <c r="W101" s="1">
        <v>20</v>
      </c>
      <c r="X101" s="1">
        <v>61</v>
      </c>
      <c r="Y101" s="1">
        <v>35</v>
      </c>
      <c r="Z101" s="1">
        <v>75</v>
      </c>
      <c r="AA101" s="1">
        <v>173</v>
      </c>
      <c r="AB101" s="1">
        <v>108</v>
      </c>
      <c r="AC101" s="1">
        <v>335</v>
      </c>
      <c r="AD101" s="1">
        <v>42</v>
      </c>
      <c r="AE101" s="1">
        <v>45</v>
      </c>
      <c r="AF101" s="18">
        <f t="shared" si="1"/>
        <v>66.7</v>
      </c>
    </row>
    <row r="102" spans="1:32" x14ac:dyDescent="0.35">
      <c r="A102" s="1" t="s">
        <v>78</v>
      </c>
      <c r="B102" s="1">
        <v>38</v>
      </c>
      <c r="C102" s="1">
        <v>112</v>
      </c>
      <c r="D102" s="1">
        <v>32</v>
      </c>
      <c r="E102" s="1">
        <v>40</v>
      </c>
      <c r="F102" s="1">
        <v>115</v>
      </c>
      <c r="G102" s="1">
        <v>155</v>
      </c>
      <c r="H102" s="1">
        <v>64</v>
      </c>
      <c r="I102" s="1">
        <v>212</v>
      </c>
      <c r="J102" s="1">
        <v>85</v>
      </c>
      <c r="K102" s="1">
        <v>21</v>
      </c>
      <c r="L102" s="1">
        <v>108</v>
      </c>
      <c r="M102" s="1">
        <v>38</v>
      </c>
      <c r="N102" s="1">
        <v>17</v>
      </c>
      <c r="O102" s="1">
        <v>14</v>
      </c>
      <c r="P102" s="1">
        <v>31</v>
      </c>
      <c r="Q102" s="1">
        <v>74</v>
      </c>
      <c r="R102" s="1">
        <v>37</v>
      </c>
      <c r="S102" s="1">
        <v>41</v>
      </c>
      <c r="T102" s="1">
        <v>98</v>
      </c>
      <c r="U102" s="1">
        <v>12</v>
      </c>
      <c r="V102" s="1">
        <v>131</v>
      </c>
      <c r="W102" s="1">
        <v>24</v>
      </c>
      <c r="X102" s="1">
        <v>22</v>
      </c>
      <c r="Y102" s="1">
        <v>90</v>
      </c>
      <c r="Z102" s="1">
        <v>281</v>
      </c>
      <c r="AA102" s="1">
        <v>92</v>
      </c>
      <c r="AB102" s="1">
        <v>111</v>
      </c>
      <c r="AC102" s="1">
        <v>61</v>
      </c>
      <c r="AD102" s="1">
        <v>55</v>
      </c>
      <c r="AE102" s="1">
        <v>97</v>
      </c>
      <c r="AF102" s="18">
        <f t="shared" si="1"/>
        <v>76.933333333333337</v>
      </c>
    </row>
    <row r="103" spans="1:32" x14ac:dyDescent="0.35">
      <c r="A103" s="1" t="s">
        <v>79</v>
      </c>
      <c r="B103" s="1">
        <v>27</v>
      </c>
      <c r="C103" s="1">
        <v>12</v>
      </c>
      <c r="D103" s="1">
        <v>70</v>
      </c>
      <c r="E103" s="1">
        <v>24</v>
      </c>
      <c r="F103" s="1">
        <v>49</v>
      </c>
      <c r="G103" s="1">
        <v>16</v>
      </c>
      <c r="H103" s="1">
        <v>55</v>
      </c>
      <c r="I103" s="1">
        <v>35</v>
      </c>
      <c r="J103" s="1">
        <v>46</v>
      </c>
      <c r="K103" s="1">
        <v>18</v>
      </c>
      <c r="L103" s="1">
        <v>144</v>
      </c>
      <c r="M103" s="1">
        <v>24</v>
      </c>
      <c r="N103" s="1">
        <v>22</v>
      </c>
      <c r="O103" s="1">
        <v>30</v>
      </c>
      <c r="P103" s="1">
        <v>14</v>
      </c>
      <c r="Q103" s="1">
        <v>14</v>
      </c>
      <c r="R103" s="1">
        <v>37</v>
      </c>
      <c r="S103" s="1">
        <v>12</v>
      </c>
      <c r="T103" s="1">
        <v>29</v>
      </c>
      <c r="U103" s="1">
        <v>36</v>
      </c>
      <c r="V103" s="1">
        <v>52</v>
      </c>
      <c r="W103" s="1">
        <v>21</v>
      </c>
      <c r="X103" s="1">
        <v>23</v>
      </c>
      <c r="Y103" s="1">
        <v>36</v>
      </c>
      <c r="Z103" s="1">
        <v>14</v>
      </c>
      <c r="AA103" s="1">
        <v>29</v>
      </c>
      <c r="AB103" s="1">
        <v>24</v>
      </c>
      <c r="AC103" s="1">
        <v>83</v>
      </c>
      <c r="AD103" s="1">
        <v>27</v>
      </c>
      <c r="AE103" s="1">
        <v>24</v>
      </c>
      <c r="AF103" s="18">
        <f t="shared" si="1"/>
        <v>34.9</v>
      </c>
    </row>
    <row r="104" spans="1:32" x14ac:dyDescent="0.35">
      <c r="A104" s="1" t="s">
        <v>183</v>
      </c>
      <c r="B104" s="1">
        <v>157</v>
      </c>
      <c r="C104" s="1">
        <v>24</v>
      </c>
      <c r="D104" s="1">
        <v>29</v>
      </c>
      <c r="E104" s="1">
        <v>38</v>
      </c>
      <c r="F104" s="1">
        <v>31</v>
      </c>
      <c r="G104" s="1">
        <v>68</v>
      </c>
      <c r="H104" s="1">
        <v>27</v>
      </c>
      <c r="I104" s="1">
        <v>94</v>
      </c>
      <c r="J104" s="1">
        <v>31</v>
      </c>
      <c r="K104" s="1">
        <v>84</v>
      </c>
      <c r="L104" s="1">
        <v>206</v>
      </c>
      <c r="M104" s="1">
        <v>56</v>
      </c>
      <c r="N104" s="1">
        <v>32</v>
      </c>
      <c r="O104" s="1">
        <v>16</v>
      </c>
      <c r="P104" s="1">
        <v>116</v>
      </c>
      <c r="Q104" s="1">
        <v>54</v>
      </c>
      <c r="R104" s="1">
        <v>84</v>
      </c>
      <c r="S104" s="1">
        <v>18</v>
      </c>
      <c r="T104" s="1">
        <v>58</v>
      </c>
      <c r="U104" s="1">
        <v>62</v>
      </c>
      <c r="V104" s="1">
        <v>78</v>
      </c>
      <c r="W104" s="1">
        <v>120</v>
      </c>
      <c r="X104" s="1">
        <v>183</v>
      </c>
      <c r="Y104" s="1">
        <v>32</v>
      </c>
      <c r="Z104" s="1">
        <v>188</v>
      </c>
      <c r="AA104" s="1">
        <v>97</v>
      </c>
      <c r="AB104" s="1">
        <v>142</v>
      </c>
      <c r="AC104" s="1">
        <v>21</v>
      </c>
      <c r="AD104" s="1">
        <v>14</v>
      </c>
      <c r="AE104" s="1">
        <v>51</v>
      </c>
      <c r="AF104" s="18">
        <f t="shared" si="1"/>
        <v>73.7</v>
      </c>
    </row>
    <row r="105" spans="1:32" x14ac:dyDescent="0.35">
      <c r="A105" s="1" t="s">
        <v>80</v>
      </c>
      <c r="B105" s="1">
        <v>40</v>
      </c>
      <c r="C105" s="1">
        <v>22</v>
      </c>
      <c r="D105" s="1">
        <v>17</v>
      </c>
      <c r="E105" s="1">
        <v>35</v>
      </c>
      <c r="F105" s="1">
        <v>30</v>
      </c>
      <c r="G105" s="1">
        <v>28</v>
      </c>
      <c r="H105" s="1">
        <v>26</v>
      </c>
      <c r="I105" s="1">
        <v>49</v>
      </c>
      <c r="J105" s="1">
        <v>27</v>
      </c>
      <c r="K105" s="1">
        <v>30</v>
      </c>
      <c r="L105" s="1">
        <v>77</v>
      </c>
      <c r="M105" s="1">
        <v>41</v>
      </c>
      <c r="N105" s="1">
        <v>32</v>
      </c>
      <c r="O105" s="1">
        <v>47</v>
      </c>
      <c r="P105" s="1">
        <v>28</v>
      </c>
      <c r="Q105" s="1">
        <v>25</v>
      </c>
      <c r="R105" s="1">
        <v>72</v>
      </c>
      <c r="S105" s="1">
        <v>46</v>
      </c>
      <c r="T105" s="1">
        <v>51</v>
      </c>
      <c r="U105" s="1">
        <v>110</v>
      </c>
      <c r="V105" s="1">
        <v>58</v>
      </c>
      <c r="W105" s="1">
        <v>36</v>
      </c>
      <c r="X105" s="1">
        <v>40</v>
      </c>
      <c r="Y105" s="1">
        <v>38</v>
      </c>
      <c r="Z105" s="1">
        <v>23</v>
      </c>
      <c r="AA105" s="1">
        <v>95</v>
      </c>
      <c r="AB105" s="1">
        <v>182</v>
      </c>
      <c r="AC105" s="1">
        <v>208</v>
      </c>
      <c r="AD105" s="1">
        <v>62</v>
      </c>
      <c r="AE105" s="1">
        <v>15</v>
      </c>
      <c r="AF105" s="18">
        <f t="shared" si="1"/>
        <v>53</v>
      </c>
    </row>
    <row r="106" spans="1:32" x14ac:dyDescent="0.35">
      <c r="A106" s="1" t="s">
        <v>81</v>
      </c>
      <c r="B106" s="1">
        <v>15</v>
      </c>
      <c r="C106" s="1">
        <v>100</v>
      </c>
      <c r="D106" s="1">
        <v>26</v>
      </c>
      <c r="E106" s="1">
        <v>52</v>
      </c>
      <c r="F106" s="1">
        <v>71</v>
      </c>
      <c r="G106" s="1">
        <v>29</v>
      </c>
      <c r="H106" s="1">
        <v>61</v>
      </c>
      <c r="I106" s="1">
        <v>47</v>
      </c>
      <c r="J106" s="1">
        <v>20</v>
      </c>
      <c r="K106" s="1">
        <v>77</v>
      </c>
      <c r="L106" s="1">
        <v>20</v>
      </c>
      <c r="M106" s="1">
        <v>49</v>
      </c>
      <c r="N106" s="1">
        <v>28</v>
      </c>
      <c r="O106" s="1">
        <v>72</v>
      </c>
      <c r="P106" s="1">
        <v>16</v>
      </c>
      <c r="Q106" s="1">
        <v>53</v>
      </c>
      <c r="R106" s="1">
        <v>20</v>
      </c>
      <c r="S106" s="1">
        <v>25</v>
      </c>
      <c r="T106" s="1">
        <v>88</v>
      </c>
      <c r="U106" s="1">
        <v>19</v>
      </c>
      <c r="V106" s="1">
        <v>17</v>
      </c>
      <c r="W106" s="1">
        <v>135</v>
      </c>
      <c r="X106" s="1">
        <v>107</v>
      </c>
      <c r="Y106" s="1">
        <v>41</v>
      </c>
      <c r="Z106" s="1">
        <v>49</v>
      </c>
      <c r="AA106" s="1">
        <v>53</v>
      </c>
      <c r="AB106" s="1">
        <v>19</v>
      </c>
      <c r="AC106" s="1">
        <v>12</v>
      </c>
      <c r="AD106" s="1">
        <v>16</v>
      </c>
      <c r="AE106" s="1">
        <v>160</v>
      </c>
      <c r="AF106" s="18">
        <f t="shared" si="1"/>
        <v>49.9</v>
      </c>
    </row>
    <row r="107" spans="1:32" x14ac:dyDescent="0.35">
      <c r="A107" s="1" t="s">
        <v>82</v>
      </c>
      <c r="B107" s="1">
        <v>20</v>
      </c>
      <c r="C107" s="1">
        <v>22</v>
      </c>
      <c r="D107" s="1">
        <v>20</v>
      </c>
      <c r="E107" s="1">
        <v>40</v>
      </c>
      <c r="F107" s="1">
        <v>90</v>
      </c>
      <c r="G107" s="1">
        <v>30</v>
      </c>
      <c r="H107" s="1">
        <v>48</v>
      </c>
      <c r="I107" s="1">
        <v>51</v>
      </c>
      <c r="J107" s="1">
        <v>141</v>
      </c>
      <c r="K107" s="1">
        <v>23</v>
      </c>
      <c r="L107" s="1">
        <v>16</v>
      </c>
      <c r="M107" s="1">
        <v>67</v>
      </c>
      <c r="N107" s="1">
        <v>28</v>
      </c>
      <c r="O107" s="1">
        <v>62</v>
      </c>
      <c r="P107" s="1">
        <v>102</v>
      </c>
      <c r="Q107" s="1">
        <v>124</v>
      </c>
      <c r="R107" s="1">
        <v>42</v>
      </c>
      <c r="S107" s="1">
        <v>55</v>
      </c>
      <c r="T107" s="1">
        <v>22</v>
      </c>
      <c r="U107" s="1">
        <v>19</v>
      </c>
      <c r="V107" s="1">
        <v>47</v>
      </c>
      <c r="W107" s="1">
        <v>105</v>
      </c>
      <c r="X107" s="1">
        <v>16</v>
      </c>
      <c r="Y107" s="1">
        <v>115</v>
      </c>
      <c r="Z107" s="1">
        <v>41</v>
      </c>
      <c r="AA107" s="1">
        <v>21</v>
      </c>
      <c r="AB107" s="1">
        <v>22</v>
      </c>
      <c r="AC107" s="1">
        <v>70</v>
      </c>
      <c r="AD107" s="1">
        <v>71</v>
      </c>
      <c r="AE107" s="1">
        <v>40</v>
      </c>
      <c r="AF107" s="18">
        <f t="shared" si="1"/>
        <v>52.333333333333336</v>
      </c>
    </row>
    <row r="108" spans="1:32" x14ac:dyDescent="0.35">
      <c r="A108" s="1" t="s">
        <v>83</v>
      </c>
      <c r="B108" s="1">
        <v>24</v>
      </c>
      <c r="C108" s="1">
        <v>16</v>
      </c>
      <c r="D108" s="1">
        <v>27</v>
      </c>
      <c r="E108" s="1">
        <v>119</v>
      </c>
      <c r="F108" s="1">
        <v>23</v>
      </c>
      <c r="G108" s="1">
        <v>121</v>
      </c>
      <c r="H108" s="1">
        <v>89</v>
      </c>
      <c r="I108" s="1">
        <v>27</v>
      </c>
      <c r="J108" s="1">
        <v>18</v>
      </c>
      <c r="K108" s="1">
        <v>50</v>
      </c>
      <c r="L108" s="1">
        <v>21</v>
      </c>
      <c r="M108" s="1">
        <v>114</v>
      </c>
      <c r="N108" s="1">
        <v>16</v>
      </c>
      <c r="O108" s="1">
        <v>91</v>
      </c>
      <c r="P108" s="1">
        <v>51</v>
      </c>
      <c r="Q108" s="1">
        <v>153</v>
      </c>
      <c r="R108" s="1">
        <v>50</v>
      </c>
      <c r="S108" s="1">
        <v>21</v>
      </c>
      <c r="T108" s="1">
        <v>21</v>
      </c>
      <c r="U108" s="1">
        <v>34</v>
      </c>
      <c r="V108" s="1">
        <v>29</v>
      </c>
      <c r="W108" s="1">
        <v>62</v>
      </c>
      <c r="X108" s="1">
        <v>96</v>
      </c>
      <c r="Y108" s="1">
        <v>46</v>
      </c>
      <c r="Z108" s="1">
        <v>147</v>
      </c>
      <c r="AA108" s="1">
        <v>140</v>
      </c>
      <c r="AB108" s="1">
        <v>68</v>
      </c>
      <c r="AC108" s="1">
        <v>16</v>
      </c>
      <c r="AD108" s="1">
        <v>14</v>
      </c>
      <c r="AE108" s="1">
        <v>23</v>
      </c>
      <c r="AF108" s="18">
        <f t="shared" si="1"/>
        <v>57.56666666666667</v>
      </c>
    </row>
    <row r="109" spans="1:32" x14ac:dyDescent="0.35">
      <c r="A109" s="1" t="s">
        <v>84</v>
      </c>
      <c r="B109" s="1">
        <v>58</v>
      </c>
      <c r="C109" s="1">
        <v>26</v>
      </c>
      <c r="D109" s="1">
        <v>53</v>
      </c>
      <c r="E109" s="1">
        <v>90</v>
      </c>
      <c r="F109" s="1">
        <v>292</v>
      </c>
      <c r="G109" s="1">
        <v>16</v>
      </c>
      <c r="H109" s="1">
        <v>64</v>
      </c>
      <c r="I109" s="1">
        <v>28</v>
      </c>
      <c r="J109" s="1">
        <v>13</v>
      </c>
      <c r="K109" s="1">
        <v>38</v>
      </c>
      <c r="L109" s="1">
        <v>14</v>
      </c>
      <c r="M109" s="1">
        <v>43</v>
      </c>
      <c r="N109" s="1">
        <v>185</v>
      </c>
      <c r="O109" s="1">
        <v>41</v>
      </c>
      <c r="P109" s="1">
        <v>206</v>
      </c>
      <c r="Q109" s="1">
        <v>167</v>
      </c>
      <c r="R109" s="1">
        <v>23</v>
      </c>
      <c r="S109" s="1">
        <v>78</v>
      </c>
      <c r="T109" s="1">
        <v>24</v>
      </c>
      <c r="U109" s="1">
        <v>32</v>
      </c>
      <c r="V109" s="1">
        <v>73</v>
      </c>
      <c r="W109" s="1">
        <v>47</v>
      </c>
      <c r="X109" s="1">
        <v>77</v>
      </c>
      <c r="Y109" s="1">
        <v>25</v>
      </c>
      <c r="Z109" s="1">
        <v>12</v>
      </c>
      <c r="AA109" s="1">
        <v>187</v>
      </c>
      <c r="AB109" s="1">
        <v>172</v>
      </c>
      <c r="AC109" s="1">
        <v>26</v>
      </c>
      <c r="AD109" s="1">
        <v>57</v>
      </c>
      <c r="AE109" s="1">
        <v>16</v>
      </c>
      <c r="AF109" s="18">
        <f t="shared" si="1"/>
        <v>72.766666666666666</v>
      </c>
    </row>
    <row r="110" spans="1:32" x14ac:dyDescent="0.35">
      <c r="A110" s="1" t="s">
        <v>85</v>
      </c>
      <c r="B110" s="1">
        <v>114</v>
      </c>
      <c r="C110" s="1">
        <v>116</v>
      </c>
      <c r="D110" s="1">
        <v>27</v>
      </c>
      <c r="E110" s="1">
        <v>21</v>
      </c>
      <c r="F110" s="1">
        <v>23</v>
      </c>
      <c r="G110" s="1">
        <v>66</v>
      </c>
      <c r="H110" s="1">
        <v>142</v>
      </c>
      <c r="I110" s="1">
        <v>45</v>
      </c>
      <c r="J110" s="1">
        <v>21</v>
      </c>
      <c r="K110" s="1">
        <v>24</v>
      </c>
      <c r="L110" s="1">
        <v>95</v>
      </c>
      <c r="M110" s="1">
        <v>31</v>
      </c>
      <c r="N110" s="1">
        <v>12</v>
      </c>
      <c r="O110" s="1">
        <v>82</v>
      </c>
      <c r="P110" s="1">
        <v>39</v>
      </c>
      <c r="Q110" s="1">
        <v>16</v>
      </c>
      <c r="R110" s="1">
        <v>160</v>
      </c>
      <c r="S110" s="1">
        <v>26</v>
      </c>
      <c r="T110" s="1">
        <v>150</v>
      </c>
      <c r="U110" s="1">
        <v>53</v>
      </c>
      <c r="V110" s="1">
        <v>31</v>
      </c>
      <c r="W110" s="1">
        <v>45</v>
      </c>
      <c r="X110" s="1">
        <v>36</v>
      </c>
      <c r="Y110" s="1">
        <v>83</v>
      </c>
      <c r="Z110" s="1">
        <v>45</v>
      </c>
      <c r="AA110" s="1">
        <v>30</v>
      </c>
      <c r="AB110" s="1">
        <v>94</v>
      </c>
      <c r="AC110" s="1">
        <v>103</v>
      </c>
      <c r="AD110" s="1">
        <v>28</v>
      </c>
      <c r="AE110" s="1">
        <v>68</v>
      </c>
      <c r="AF110" s="18">
        <f t="shared" si="1"/>
        <v>60.866666666666667</v>
      </c>
    </row>
    <row r="111" spans="1:32" x14ac:dyDescent="0.35">
      <c r="A111" s="1" t="s">
        <v>86</v>
      </c>
      <c r="B111" s="1">
        <v>15</v>
      </c>
      <c r="C111" s="1">
        <v>84</v>
      </c>
      <c r="D111" s="1">
        <v>34</v>
      </c>
      <c r="E111" s="1">
        <v>34</v>
      </c>
      <c r="F111" s="1">
        <v>40</v>
      </c>
      <c r="G111" s="1">
        <v>36</v>
      </c>
      <c r="H111" s="1">
        <v>49</v>
      </c>
      <c r="I111" s="1">
        <v>23</v>
      </c>
      <c r="J111" s="1">
        <v>105</v>
      </c>
      <c r="K111" s="1">
        <v>25</v>
      </c>
      <c r="L111" s="1">
        <v>58</v>
      </c>
      <c r="M111" s="1">
        <v>18</v>
      </c>
      <c r="N111" s="1">
        <v>80</v>
      </c>
      <c r="O111" s="1">
        <v>58</v>
      </c>
      <c r="P111" s="1">
        <v>25</v>
      </c>
      <c r="Q111" s="1">
        <v>91</v>
      </c>
      <c r="R111" s="1">
        <v>13</v>
      </c>
      <c r="S111" s="1">
        <v>113</v>
      </c>
      <c r="T111" s="1">
        <v>25</v>
      </c>
      <c r="U111" s="1">
        <v>90</v>
      </c>
      <c r="V111" s="1">
        <v>41</v>
      </c>
      <c r="W111" s="1">
        <v>58</v>
      </c>
      <c r="X111" s="1">
        <v>53</v>
      </c>
      <c r="Y111" s="1">
        <v>46</v>
      </c>
      <c r="Z111" s="1">
        <v>13</v>
      </c>
      <c r="AA111" s="1">
        <v>16</v>
      </c>
      <c r="AB111" s="1">
        <v>31</v>
      </c>
      <c r="AC111" s="1">
        <v>63</v>
      </c>
      <c r="AD111" s="1">
        <v>48</v>
      </c>
      <c r="AE111" s="1">
        <v>18</v>
      </c>
      <c r="AF111" s="18">
        <f t="shared" si="1"/>
        <v>46.766666666666666</v>
      </c>
    </row>
    <row r="112" spans="1:32" x14ac:dyDescent="0.35">
      <c r="A112" s="1" t="s">
        <v>87</v>
      </c>
      <c r="B112" s="1">
        <v>49</v>
      </c>
      <c r="C112" s="1">
        <v>70</v>
      </c>
      <c r="D112" s="1">
        <v>60</v>
      </c>
      <c r="E112" s="1">
        <v>76</v>
      </c>
      <c r="F112" s="1">
        <v>20</v>
      </c>
      <c r="G112" s="1">
        <v>75</v>
      </c>
      <c r="H112" s="1">
        <v>24</v>
      </c>
      <c r="I112" s="1">
        <v>192</v>
      </c>
      <c r="J112" s="1">
        <v>34</v>
      </c>
      <c r="K112" s="1">
        <v>25</v>
      </c>
      <c r="L112" s="1">
        <v>63</v>
      </c>
      <c r="M112" s="1">
        <v>100</v>
      </c>
      <c r="N112" s="1">
        <v>16</v>
      </c>
      <c r="O112" s="1">
        <v>28</v>
      </c>
      <c r="P112" s="1">
        <v>34</v>
      </c>
      <c r="Q112" s="1">
        <v>26</v>
      </c>
      <c r="R112" s="1">
        <v>48</v>
      </c>
      <c r="S112" s="1">
        <v>26</v>
      </c>
      <c r="T112" s="1">
        <v>22</v>
      </c>
      <c r="U112" s="1">
        <v>111</v>
      </c>
      <c r="V112" s="1">
        <v>104</v>
      </c>
      <c r="W112" s="1">
        <v>189</v>
      </c>
      <c r="X112" s="1">
        <v>165</v>
      </c>
      <c r="Y112" s="1">
        <v>35</v>
      </c>
      <c r="Z112" s="1">
        <v>46</v>
      </c>
      <c r="AA112" s="1">
        <v>19</v>
      </c>
      <c r="AB112" s="1">
        <v>40</v>
      </c>
      <c r="AC112" s="1">
        <v>33</v>
      </c>
      <c r="AD112" s="1">
        <v>116</v>
      </c>
      <c r="AE112" s="1">
        <v>92</v>
      </c>
      <c r="AF112" s="18">
        <f t="shared" si="1"/>
        <v>64.599999999999994</v>
      </c>
    </row>
    <row r="113" spans="1:32" x14ac:dyDescent="0.35">
      <c r="A113" s="1" t="s">
        <v>88</v>
      </c>
      <c r="B113" s="1">
        <v>78</v>
      </c>
      <c r="C113" s="1">
        <v>83</v>
      </c>
      <c r="D113" s="1">
        <v>18</v>
      </c>
      <c r="E113" s="1">
        <v>28</v>
      </c>
      <c r="F113" s="1">
        <v>25</v>
      </c>
      <c r="G113" s="1">
        <v>24</v>
      </c>
      <c r="H113" s="1">
        <v>90</v>
      </c>
      <c r="I113" s="1">
        <v>64</v>
      </c>
      <c r="J113" s="1">
        <v>41</v>
      </c>
      <c r="K113" s="1">
        <v>29</v>
      </c>
      <c r="L113" s="1">
        <v>124</v>
      </c>
      <c r="M113" s="1">
        <v>56</v>
      </c>
      <c r="N113" s="1">
        <v>31</v>
      </c>
      <c r="O113" s="1">
        <v>122</v>
      </c>
      <c r="P113" s="1">
        <v>65</v>
      </c>
      <c r="Q113" s="1">
        <v>52</v>
      </c>
      <c r="R113" s="1">
        <v>31</v>
      </c>
      <c r="S113" s="1">
        <v>25</v>
      </c>
      <c r="T113" s="1">
        <v>12</v>
      </c>
      <c r="U113" s="1">
        <v>106</v>
      </c>
      <c r="V113" s="1">
        <v>24</v>
      </c>
      <c r="W113" s="1">
        <v>87</v>
      </c>
      <c r="X113" s="1">
        <v>13</v>
      </c>
      <c r="Y113" s="1">
        <v>95</v>
      </c>
      <c r="Z113" s="1">
        <v>20</v>
      </c>
      <c r="AA113" s="1">
        <v>48</v>
      </c>
      <c r="AB113" s="1">
        <v>83</v>
      </c>
      <c r="AC113" s="1">
        <v>130</v>
      </c>
      <c r="AD113" s="1">
        <v>29</v>
      </c>
      <c r="AE113" s="1">
        <v>26</v>
      </c>
      <c r="AF113" s="18">
        <f t="shared" si="1"/>
        <v>55.3</v>
      </c>
    </row>
    <row r="114" spans="1:32" x14ac:dyDescent="0.35">
      <c r="A114" s="1" t="s">
        <v>89</v>
      </c>
      <c r="B114" s="1">
        <v>66</v>
      </c>
      <c r="C114" s="1">
        <v>24</v>
      </c>
      <c r="D114" s="1">
        <v>12</v>
      </c>
      <c r="E114" s="1">
        <v>81</v>
      </c>
      <c r="F114" s="1">
        <v>73</v>
      </c>
      <c r="G114" s="1">
        <v>73</v>
      </c>
      <c r="H114" s="1">
        <v>92</v>
      </c>
      <c r="I114" s="1">
        <v>28</v>
      </c>
      <c r="J114" s="1">
        <v>99</v>
      </c>
      <c r="K114" s="1">
        <v>64</v>
      </c>
      <c r="L114" s="1">
        <v>36</v>
      </c>
      <c r="M114" s="1">
        <v>35</v>
      </c>
      <c r="N114" s="1">
        <v>265</v>
      </c>
      <c r="O114" s="1">
        <v>37</v>
      </c>
      <c r="P114" s="1">
        <v>37</v>
      </c>
      <c r="Q114" s="1">
        <v>64</v>
      </c>
      <c r="R114" s="1">
        <v>137</v>
      </c>
      <c r="S114" s="1">
        <v>21</v>
      </c>
      <c r="T114" s="1">
        <v>29</v>
      </c>
      <c r="U114" s="1">
        <v>12</v>
      </c>
      <c r="V114" s="1">
        <v>145</v>
      </c>
      <c r="W114" s="1">
        <v>47</v>
      </c>
      <c r="X114" s="1">
        <v>83</v>
      </c>
      <c r="Y114" s="1">
        <v>38</v>
      </c>
      <c r="Z114" s="1">
        <v>16</v>
      </c>
      <c r="AA114" s="1">
        <v>79</v>
      </c>
      <c r="AB114" s="1">
        <v>25</v>
      </c>
      <c r="AC114" s="1">
        <v>82</v>
      </c>
      <c r="AD114" s="1">
        <v>19</v>
      </c>
      <c r="AE114" s="1">
        <v>28</v>
      </c>
      <c r="AF114" s="18">
        <f t="shared" si="1"/>
        <v>61.56666666666667</v>
      </c>
    </row>
    <row r="115" spans="1:32" x14ac:dyDescent="0.35">
      <c r="A115" s="1" t="s">
        <v>196</v>
      </c>
      <c r="B115" s="1">
        <v>15</v>
      </c>
      <c r="C115" s="1">
        <v>131</v>
      </c>
      <c r="D115" s="1">
        <v>67</v>
      </c>
      <c r="E115" s="1">
        <v>55</v>
      </c>
      <c r="F115" s="1">
        <v>70</v>
      </c>
      <c r="G115" s="1">
        <v>72</v>
      </c>
      <c r="H115" s="1">
        <v>65</v>
      </c>
      <c r="I115" s="1">
        <v>45</v>
      </c>
      <c r="J115" s="1">
        <v>37</v>
      </c>
      <c r="K115" s="1">
        <v>38</v>
      </c>
      <c r="L115" s="1">
        <v>20</v>
      </c>
      <c r="M115" s="1">
        <v>111</v>
      </c>
      <c r="N115" s="1">
        <v>44</v>
      </c>
      <c r="O115" s="1">
        <v>177</v>
      </c>
      <c r="P115" s="1">
        <v>164</v>
      </c>
      <c r="Q115" s="1">
        <v>317</v>
      </c>
      <c r="R115" s="1">
        <v>59</v>
      </c>
      <c r="S115" s="1">
        <v>58</v>
      </c>
      <c r="T115" s="1">
        <v>206</v>
      </c>
      <c r="U115" s="1">
        <v>31</v>
      </c>
      <c r="V115" s="1">
        <v>136</v>
      </c>
      <c r="W115" s="1">
        <v>75</v>
      </c>
      <c r="X115" s="1">
        <v>80</v>
      </c>
      <c r="Y115" s="1">
        <v>370</v>
      </c>
      <c r="Z115" s="1">
        <v>20</v>
      </c>
      <c r="AA115" s="1">
        <v>88</v>
      </c>
      <c r="AB115" s="1">
        <v>58</v>
      </c>
      <c r="AC115" s="1">
        <v>155</v>
      </c>
      <c r="AD115" s="1">
        <v>52</v>
      </c>
      <c r="AE115" s="1">
        <v>32</v>
      </c>
      <c r="AF115" s="18">
        <f t="shared" si="1"/>
        <v>94.933333333333337</v>
      </c>
    </row>
    <row r="116" spans="1:32" x14ac:dyDescent="0.35">
      <c r="A116" s="1" t="s">
        <v>90</v>
      </c>
      <c r="B116" s="1">
        <v>31</v>
      </c>
      <c r="C116" s="1">
        <v>76</v>
      </c>
      <c r="D116" s="1">
        <v>12</v>
      </c>
      <c r="E116" s="1">
        <v>51</v>
      </c>
      <c r="F116" s="1">
        <v>33</v>
      </c>
      <c r="G116" s="1">
        <v>109</v>
      </c>
      <c r="H116" s="1">
        <v>62</v>
      </c>
      <c r="I116" s="1">
        <v>27</v>
      </c>
      <c r="J116" s="1">
        <v>89</v>
      </c>
      <c r="K116" s="1">
        <v>45</v>
      </c>
      <c r="L116" s="1">
        <v>61</v>
      </c>
      <c r="M116" s="1">
        <v>22</v>
      </c>
      <c r="N116" s="1">
        <v>46</v>
      </c>
      <c r="O116" s="1">
        <v>36</v>
      </c>
      <c r="P116" s="1">
        <v>113</v>
      </c>
      <c r="Q116" s="1">
        <v>67</v>
      </c>
      <c r="R116" s="1">
        <v>70</v>
      </c>
      <c r="S116" s="1">
        <v>20</v>
      </c>
      <c r="T116" s="1">
        <v>28</v>
      </c>
      <c r="U116" s="1">
        <v>30</v>
      </c>
      <c r="V116" s="1">
        <v>13</v>
      </c>
      <c r="W116" s="1">
        <v>145</v>
      </c>
      <c r="X116" s="1">
        <v>45</v>
      </c>
      <c r="Y116" s="1">
        <v>110</v>
      </c>
      <c r="Z116" s="1">
        <v>81</v>
      </c>
      <c r="AA116" s="1">
        <v>98</v>
      </c>
      <c r="AB116" s="1">
        <v>54</v>
      </c>
      <c r="AC116" s="1">
        <v>157</v>
      </c>
      <c r="AD116" s="1">
        <v>35</v>
      </c>
      <c r="AE116" s="1">
        <v>12</v>
      </c>
      <c r="AF116" s="18">
        <f t="shared" si="1"/>
        <v>59.266666666666666</v>
      </c>
    </row>
    <row r="117" spans="1:32" x14ac:dyDescent="0.35">
      <c r="A117" s="1" t="s">
        <v>91</v>
      </c>
      <c r="B117" s="1">
        <v>22</v>
      </c>
      <c r="C117" s="1">
        <v>14</v>
      </c>
      <c r="D117" s="1">
        <v>32</v>
      </c>
      <c r="E117" s="1">
        <v>12</v>
      </c>
      <c r="F117" s="1">
        <v>39</v>
      </c>
      <c r="G117" s="1">
        <v>56</v>
      </c>
      <c r="H117" s="1">
        <v>20</v>
      </c>
      <c r="I117" s="1">
        <v>19</v>
      </c>
      <c r="J117" s="1">
        <v>26</v>
      </c>
      <c r="K117" s="1">
        <v>41</v>
      </c>
      <c r="L117" s="1">
        <v>58</v>
      </c>
      <c r="M117" s="1">
        <v>37</v>
      </c>
      <c r="N117" s="1">
        <v>18</v>
      </c>
      <c r="O117" s="1">
        <v>45</v>
      </c>
      <c r="P117" s="1">
        <v>27</v>
      </c>
      <c r="Q117" s="1">
        <v>68</v>
      </c>
      <c r="R117" s="1">
        <v>50</v>
      </c>
      <c r="S117" s="1">
        <v>28</v>
      </c>
      <c r="T117" s="1">
        <v>31</v>
      </c>
      <c r="U117" s="1">
        <v>31</v>
      </c>
      <c r="V117" s="1">
        <v>28</v>
      </c>
      <c r="W117" s="1">
        <v>47</v>
      </c>
      <c r="X117" s="1">
        <v>74</v>
      </c>
      <c r="Y117" s="1">
        <v>16</v>
      </c>
      <c r="Z117" s="1">
        <v>69</v>
      </c>
      <c r="AA117" s="1">
        <v>15</v>
      </c>
      <c r="AB117" s="1">
        <v>20</v>
      </c>
      <c r="AC117" s="1">
        <v>35</v>
      </c>
      <c r="AD117" s="1">
        <v>42</v>
      </c>
      <c r="AE117" s="1">
        <v>50</v>
      </c>
      <c r="AF117" s="18">
        <f t="shared" si="1"/>
        <v>35.666666666666664</v>
      </c>
    </row>
    <row r="118" spans="1:32" x14ac:dyDescent="0.35">
      <c r="A118" s="1" t="s">
        <v>92</v>
      </c>
      <c r="B118" s="1">
        <v>16</v>
      </c>
      <c r="C118" s="1">
        <v>52</v>
      </c>
      <c r="D118" s="1">
        <v>18</v>
      </c>
      <c r="E118" s="1">
        <v>25</v>
      </c>
      <c r="F118" s="1">
        <v>41</v>
      </c>
      <c r="G118" s="1">
        <v>20</v>
      </c>
      <c r="H118" s="1">
        <v>41</v>
      </c>
      <c r="I118" s="1">
        <v>42</v>
      </c>
      <c r="J118" s="1">
        <v>74</v>
      </c>
      <c r="K118" s="1">
        <v>26</v>
      </c>
      <c r="L118" s="1">
        <v>34</v>
      </c>
      <c r="M118" s="1">
        <v>15</v>
      </c>
      <c r="N118" s="1">
        <v>35</v>
      </c>
      <c r="O118" s="1">
        <v>30</v>
      </c>
      <c r="P118" s="1">
        <v>98</v>
      </c>
      <c r="Q118" s="1">
        <v>27</v>
      </c>
      <c r="R118" s="1">
        <v>27</v>
      </c>
      <c r="S118" s="1">
        <v>12</v>
      </c>
      <c r="T118" s="1">
        <v>70</v>
      </c>
      <c r="U118" s="1">
        <v>14</v>
      </c>
      <c r="V118" s="1">
        <v>22</v>
      </c>
      <c r="W118" s="1">
        <v>15</v>
      </c>
      <c r="X118" s="1">
        <v>62</v>
      </c>
      <c r="Y118" s="1">
        <v>25</v>
      </c>
      <c r="Z118" s="1">
        <v>40</v>
      </c>
      <c r="AA118" s="1">
        <v>27</v>
      </c>
      <c r="AB118" s="1">
        <v>40</v>
      </c>
      <c r="AC118" s="1">
        <v>29</v>
      </c>
      <c r="AD118" s="1">
        <v>20</v>
      </c>
      <c r="AE118" s="1">
        <v>16</v>
      </c>
      <c r="AF118" s="18">
        <f t="shared" si="1"/>
        <v>33.766666666666666</v>
      </c>
    </row>
    <row r="119" spans="1:32" x14ac:dyDescent="0.35">
      <c r="A119" s="1" t="s">
        <v>93</v>
      </c>
      <c r="B119" s="1">
        <v>25</v>
      </c>
      <c r="C119" s="1">
        <v>46</v>
      </c>
      <c r="D119" s="1">
        <v>23</v>
      </c>
      <c r="E119" s="1">
        <v>120</v>
      </c>
      <c r="F119" s="1">
        <v>34</v>
      </c>
      <c r="G119" s="1">
        <v>55</v>
      </c>
      <c r="H119" s="1">
        <v>18</v>
      </c>
      <c r="I119" s="1">
        <v>69</v>
      </c>
      <c r="J119" s="1">
        <v>51</v>
      </c>
      <c r="K119" s="1">
        <v>44</v>
      </c>
      <c r="L119" s="1">
        <v>195</v>
      </c>
      <c r="M119" s="1">
        <v>72</v>
      </c>
      <c r="N119" s="1">
        <v>186</v>
      </c>
      <c r="O119" s="1">
        <v>28</v>
      </c>
      <c r="P119" s="1">
        <v>47</v>
      </c>
      <c r="Q119" s="1">
        <v>15</v>
      </c>
      <c r="R119" s="1">
        <v>38</v>
      </c>
      <c r="S119" s="1">
        <v>22</v>
      </c>
      <c r="T119" s="1">
        <v>72</v>
      </c>
      <c r="U119" s="1">
        <v>68</v>
      </c>
      <c r="V119" s="1">
        <v>12</v>
      </c>
      <c r="W119" s="1">
        <v>22</v>
      </c>
      <c r="X119" s="1">
        <v>13</v>
      </c>
      <c r="Y119" s="1">
        <v>52</v>
      </c>
      <c r="Z119" s="1">
        <v>46</v>
      </c>
      <c r="AA119" s="1">
        <v>26</v>
      </c>
      <c r="AB119" s="1">
        <v>16</v>
      </c>
      <c r="AC119" s="1">
        <v>17</v>
      </c>
      <c r="AD119" s="1">
        <v>29</v>
      </c>
      <c r="AE119" s="1">
        <v>59</v>
      </c>
      <c r="AF119" s="18">
        <f t="shared" si="1"/>
        <v>50.666666666666664</v>
      </c>
    </row>
    <row r="120" spans="1:32" x14ac:dyDescent="0.35">
      <c r="A120" s="1" t="s">
        <v>94</v>
      </c>
      <c r="B120" s="1">
        <v>37</v>
      </c>
      <c r="C120" s="1">
        <v>39</v>
      </c>
      <c r="D120" s="1">
        <v>165</v>
      </c>
      <c r="E120" s="1">
        <v>15</v>
      </c>
      <c r="F120" s="1">
        <v>45</v>
      </c>
      <c r="G120" s="1">
        <v>13</v>
      </c>
      <c r="H120" s="1">
        <v>12</v>
      </c>
      <c r="I120" s="1">
        <v>25</v>
      </c>
      <c r="J120" s="1">
        <v>35</v>
      </c>
      <c r="K120" s="1">
        <v>81</v>
      </c>
      <c r="L120" s="1">
        <v>23</v>
      </c>
      <c r="M120" s="1">
        <v>66</v>
      </c>
      <c r="N120" s="1">
        <v>74</v>
      </c>
      <c r="O120" s="1">
        <v>83</v>
      </c>
      <c r="P120" s="1">
        <v>183</v>
      </c>
      <c r="Q120" s="1">
        <v>160</v>
      </c>
      <c r="R120" s="1">
        <v>62</v>
      </c>
      <c r="S120" s="1">
        <v>15</v>
      </c>
      <c r="T120" s="1">
        <v>47</v>
      </c>
      <c r="U120" s="1">
        <v>77</v>
      </c>
      <c r="V120" s="1">
        <v>71</v>
      </c>
      <c r="W120" s="1">
        <v>55</v>
      </c>
      <c r="X120" s="1">
        <v>134</v>
      </c>
      <c r="Y120" s="1">
        <v>230</v>
      </c>
      <c r="Z120" s="1">
        <v>148</v>
      </c>
      <c r="AA120" s="1">
        <v>97</v>
      </c>
      <c r="AB120" s="1">
        <v>39</v>
      </c>
      <c r="AC120" s="1">
        <v>93</v>
      </c>
      <c r="AD120" s="1">
        <v>33</v>
      </c>
      <c r="AE120" s="1">
        <v>35</v>
      </c>
      <c r="AF120" s="18">
        <f t="shared" si="1"/>
        <v>73.066666666666663</v>
      </c>
    </row>
    <row r="121" spans="1:32" x14ac:dyDescent="0.35">
      <c r="A121" s="1" t="s">
        <v>95</v>
      </c>
      <c r="B121" s="1">
        <v>15</v>
      </c>
      <c r="C121" s="1">
        <v>113</v>
      </c>
      <c r="D121" s="1">
        <v>32</v>
      </c>
      <c r="E121" s="1">
        <v>41</v>
      </c>
      <c r="F121" s="1">
        <v>258</v>
      </c>
      <c r="G121" s="1">
        <v>111</v>
      </c>
      <c r="H121" s="1">
        <v>15</v>
      </c>
      <c r="I121" s="1">
        <v>167</v>
      </c>
      <c r="J121" s="1">
        <v>15</v>
      </c>
      <c r="K121" s="1">
        <v>106</v>
      </c>
      <c r="L121" s="1">
        <v>124</v>
      </c>
      <c r="M121" s="1">
        <v>116</v>
      </c>
      <c r="N121" s="1">
        <v>14</v>
      </c>
      <c r="O121" s="1">
        <v>194</v>
      </c>
      <c r="P121" s="1">
        <v>16</v>
      </c>
      <c r="Q121" s="1">
        <v>18</v>
      </c>
      <c r="R121" s="1">
        <v>14</v>
      </c>
      <c r="S121" s="1">
        <v>126</v>
      </c>
      <c r="T121" s="1">
        <v>101</v>
      </c>
      <c r="U121" s="1">
        <v>28</v>
      </c>
      <c r="V121" s="1">
        <v>62</v>
      </c>
      <c r="W121" s="1">
        <v>57</v>
      </c>
      <c r="X121" s="1">
        <v>39</v>
      </c>
      <c r="Y121" s="1">
        <v>127</v>
      </c>
      <c r="Z121" s="1">
        <v>26</v>
      </c>
      <c r="AA121" s="1">
        <v>51</v>
      </c>
      <c r="AB121" s="1">
        <v>54</v>
      </c>
      <c r="AC121" s="1">
        <v>30</v>
      </c>
      <c r="AD121" s="1">
        <v>127</v>
      </c>
      <c r="AE121" s="1">
        <v>106</v>
      </c>
      <c r="AF121" s="18">
        <f t="shared" si="1"/>
        <v>76.766666666666666</v>
      </c>
    </row>
    <row r="122" spans="1:32" x14ac:dyDescent="0.35">
      <c r="A122" s="1" t="s">
        <v>96</v>
      </c>
      <c r="B122" s="1">
        <v>28</v>
      </c>
      <c r="C122" s="1">
        <v>44</v>
      </c>
      <c r="D122" s="1">
        <v>21</v>
      </c>
      <c r="E122" s="1">
        <v>19</v>
      </c>
      <c r="F122" s="1">
        <v>20</v>
      </c>
      <c r="G122" s="1">
        <v>26</v>
      </c>
      <c r="H122" s="1">
        <v>123</v>
      </c>
      <c r="I122" s="1">
        <v>42</v>
      </c>
      <c r="J122" s="1">
        <v>61</v>
      </c>
      <c r="K122" s="1">
        <v>20</v>
      </c>
      <c r="L122" s="1">
        <v>232</v>
      </c>
      <c r="M122" s="1">
        <v>17</v>
      </c>
      <c r="N122" s="1">
        <v>37</v>
      </c>
      <c r="O122" s="1">
        <v>31</v>
      </c>
      <c r="P122" s="1">
        <v>231</v>
      </c>
      <c r="Q122" s="1">
        <v>47</v>
      </c>
      <c r="R122" s="1">
        <v>104</v>
      </c>
      <c r="S122" s="1">
        <v>74</v>
      </c>
      <c r="T122" s="1">
        <v>24</v>
      </c>
      <c r="U122" s="1">
        <v>19</v>
      </c>
      <c r="V122" s="1">
        <v>47</v>
      </c>
      <c r="W122" s="1">
        <v>52</v>
      </c>
      <c r="X122" s="1">
        <v>46</v>
      </c>
      <c r="Y122" s="1">
        <v>219</v>
      </c>
      <c r="Z122" s="1">
        <v>84</v>
      </c>
      <c r="AA122" s="1">
        <v>90</v>
      </c>
      <c r="AB122" s="1">
        <v>39</v>
      </c>
      <c r="AC122" s="1">
        <v>29</v>
      </c>
      <c r="AD122" s="1">
        <v>28</v>
      </c>
      <c r="AE122" s="1">
        <v>14</v>
      </c>
      <c r="AF122" s="18">
        <f t="shared" si="1"/>
        <v>62.266666666666666</v>
      </c>
    </row>
    <row r="123" spans="1:32" x14ac:dyDescent="0.35">
      <c r="A123" s="1" t="s">
        <v>97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8">
        <f t="shared" si="1"/>
        <v>0</v>
      </c>
    </row>
    <row r="124" spans="1:32" x14ac:dyDescent="0.35">
      <c r="A124" s="1" t="s">
        <v>98</v>
      </c>
      <c r="B124" s="1">
        <v>36</v>
      </c>
      <c r="C124" s="1">
        <v>95</v>
      </c>
      <c r="D124" s="1">
        <v>26</v>
      </c>
      <c r="E124" s="1">
        <v>28</v>
      </c>
      <c r="F124" s="1">
        <v>22</v>
      </c>
      <c r="G124" s="1">
        <v>27</v>
      </c>
      <c r="H124" s="1">
        <v>14</v>
      </c>
      <c r="I124" s="1">
        <v>22</v>
      </c>
      <c r="J124" s="1">
        <v>118</v>
      </c>
      <c r="K124" s="1">
        <v>63</v>
      </c>
      <c r="L124" s="1">
        <v>22</v>
      </c>
      <c r="M124" s="1">
        <v>100</v>
      </c>
      <c r="N124" s="1">
        <v>45</v>
      </c>
      <c r="O124" s="1">
        <v>70</v>
      </c>
      <c r="P124" s="1">
        <v>13</v>
      </c>
      <c r="Q124" s="1">
        <v>46</v>
      </c>
      <c r="R124" s="1">
        <v>155</v>
      </c>
      <c r="S124" s="1">
        <v>102</v>
      </c>
      <c r="T124" s="1">
        <v>122</v>
      </c>
      <c r="U124" s="1">
        <v>17</v>
      </c>
      <c r="V124" s="1">
        <v>45</v>
      </c>
      <c r="W124" s="1">
        <v>65</v>
      </c>
      <c r="X124" s="1">
        <v>41</v>
      </c>
      <c r="Y124" s="1">
        <v>25</v>
      </c>
      <c r="Z124" s="1">
        <v>14</v>
      </c>
      <c r="AA124" s="1">
        <v>40</v>
      </c>
      <c r="AB124" s="1">
        <v>61</v>
      </c>
      <c r="AC124" s="1">
        <v>39</v>
      </c>
      <c r="AD124" s="1">
        <v>54</v>
      </c>
      <c r="AE124" s="1">
        <v>60</v>
      </c>
      <c r="AF124" s="18">
        <f t="shared" si="1"/>
        <v>52.9</v>
      </c>
    </row>
    <row r="125" spans="1:32" x14ac:dyDescent="0.35">
      <c r="A125" s="1" t="s">
        <v>184</v>
      </c>
      <c r="B125" s="1">
        <v>83</v>
      </c>
      <c r="C125" s="1">
        <v>23</v>
      </c>
      <c r="D125" s="1">
        <v>45</v>
      </c>
      <c r="E125" s="1">
        <v>17</v>
      </c>
      <c r="F125" s="1">
        <v>70</v>
      </c>
      <c r="G125" s="1">
        <v>38</v>
      </c>
      <c r="H125" s="1">
        <v>115</v>
      </c>
      <c r="I125" s="1">
        <v>191</v>
      </c>
      <c r="J125" s="1">
        <v>69</v>
      </c>
      <c r="K125" s="1">
        <v>27</v>
      </c>
      <c r="L125" s="1">
        <v>32</v>
      </c>
      <c r="M125" s="1">
        <v>23</v>
      </c>
      <c r="N125" s="1">
        <v>22</v>
      </c>
      <c r="O125" s="1">
        <v>72</v>
      </c>
      <c r="P125" s="1">
        <v>84</v>
      </c>
      <c r="Q125" s="1">
        <v>131</v>
      </c>
      <c r="R125" s="1">
        <v>144</v>
      </c>
      <c r="S125" s="1">
        <v>131</v>
      </c>
      <c r="T125" s="1">
        <v>38</v>
      </c>
      <c r="U125" s="1">
        <v>131</v>
      </c>
      <c r="V125" s="1">
        <v>47</v>
      </c>
      <c r="W125" s="1">
        <v>38</v>
      </c>
      <c r="X125" s="1">
        <v>100</v>
      </c>
      <c r="Y125" s="1">
        <v>65</v>
      </c>
      <c r="Z125" s="1">
        <v>50</v>
      </c>
      <c r="AA125" s="1">
        <v>147</v>
      </c>
      <c r="AB125" s="1">
        <v>15</v>
      </c>
      <c r="AC125" s="1">
        <v>50</v>
      </c>
      <c r="AD125" s="1">
        <v>17</v>
      </c>
      <c r="AE125" s="1">
        <v>13</v>
      </c>
      <c r="AF125" s="18">
        <f t="shared" si="1"/>
        <v>67.599999999999994</v>
      </c>
    </row>
    <row r="126" spans="1:32" x14ac:dyDescent="0.35">
      <c r="A126" s="1" t="s">
        <v>99</v>
      </c>
      <c r="B126" s="1">
        <v>20</v>
      </c>
      <c r="C126" s="1">
        <v>39</v>
      </c>
      <c r="D126" s="1">
        <v>86</v>
      </c>
      <c r="E126" s="1">
        <v>22</v>
      </c>
      <c r="F126" s="1">
        <v>14</v>
      </c>
      <c r="G126" s="1">
        <v>24</v>
      </c>
      <c r="H126" s="1">
        <v>28</v>
      </c>
      <c r="I126" s="1">
        <v>28</v>
      </c>
      <c r="J126" s="1">
        <v>104</v>
      </c>
      <c r="K126" s="1">
        <v>107</v>
      </c>
      <c r="L126" s="1">
        <v>17</v>
      </c>
      <c r="M126" s="1">
        <v>29</v>
      </c>
      <c r="N126" s="1">
        <v>217</v>
      </c>
      <c r="O126" s="1">
        <v>12</v>
      </c>
      <c r="P126" s="1">
        <v>18</v>
      </c>
      <c r="Q126" s="1">
        <v>229</v>
      </c>
      <c r="R126" s="1">
        <v>47</v>
      </c>
      <c r="S126" s="1">
        <v>46</v>
      </c>
      <c r="T126" s="1">
        <v>282</v>
      </c>
      <c r="U126" s="1">
        <v>57</v>
      </c>
      <c r="V126" s="1">
        <v>31</v>
      </c>
      <c r="W126" s="1">
        <v>13</v>
      </c>
      <c r="X126" s="1">
        <v>49</v>
      </c>
      <c r="Y126" s="1">
        <v>26</v>
      </c>
      <c r="Z126" s="1">
        <v>71</v>
      </c>
      <c r="AA126" s="1">
        <v>21</v>
      </c>
      <c r="AB126" s="1">
        <v>117</v>
      </c>
      <c r="AC126" s="1">
        <v>37</v>
      </c>
      <c r="AD126" s="1">
        <v>14</v>
      </c>
      <c r="AE126" s="1">
        <v>30</v>
      </c>
      <c r="AF126" s="18">
        <f t="shared" si="1"/>
        <v>61.166666666666664</v>
      </c>
    </row>
    <row r="127" spans="1:32" x14ac:dyDescent="0.35">
      <c r="A127" s="1" t="s">
        <v>100</v>
      </c>
      <c r="B127" s="1">
        <v>56</v>
      </c>
      <c r="C127" s="1">
        <v>24</v>
      </c>
      <c r="D127" s="1">
        <v>131</v>
      </c>
      <c r="E127" s="1">
        <v>37</v>
      </c>
      <c r="F127" s="1">
        <v>63</v>
      </c>
      <c r="G127" s="1">
        <v>48</v>
      </c>
      <c r="H127" s="1">
        <v>58</v>
      </c>
      <c r="I127" s="1">
        <v>84</v>
      </c>
      <c r="J127" s="1">
        <v>24</v>
      </c>
      <c r="K127" s="1">
        <v>24</v>
      </c>
      <c r="L127" s="1">
        <v>64</v>
      </c>
      <c r="M127" s="1">
        <v>58</v>
      </c>
      <c r="N127" s="1">
        <v>36</v>
      </c>
      <c r="O127" s="1">
        <v>184</v>
      </c>
      <c r="P127" s="1">
        <v>63</v>
      </c>
      <c r="Q127" s="1">
        <v>18</v>
      </c>
      <c r="R127" s="1">
        <v>86</v>
      </c>
      <c r="S127" s="1">
        <v>55</v>
      </c>
      <c r="T127" s="1">
        <v>29</v>
      </c>
      <c r="U127" s="1">
        <v>21</v>
      </c>
      <c r="V127" s="1">
        <v>88</v>
      </c>
      <c r="W127" s="1">
        <v>42</v>
      </c>
      <c r="X127" s="1">
        <v>57</v>
      </c>
      <c r="Y127" s="1">
        <v>25</v>
      </c>
      <c r="Z127" s="1">
        <v>44</v>
      </c>
      <c r="AA127" s="1">
        <v>148</v>
      </c>
      <c r="AB127" s="1">
        <v>93</v>
      </c>
      <c r="AC127" s="1">
        <v>68</v>
      </c>
      <c r="AD127" s="1">
        <v>65</v>
      </c>
      <c r="AE127" s="1">
        <v>22</v>
      </c>
      <c r="AF127" s="18">
        <f t="shared" si="1"/>
        <v>60.5</v>
      </c>
    </row>
    <row r="128" spans="1:32" x14ac:dyDescent="0.35">
      <c r="A128" s="1" t="s">
        <v>101</v>
      </c>
      <c r="B128" s="1">
        <v>38</v>
      </c>
      <c r="C128" s="1">
        <v>15</v>
      </c>
      <c r="D128" s="1">
        <v>83</v>
      </c>
      <c r="E128" s="1">
        <v>46</v>
      </c>
      <c r="F128" s="1">
        <v>15</v>
      </c>
      <c r="G128" s="1">
        <v>15</v>
      </c>
      <c r="H128" s="1">
        <v>107</v>
      </c>
      <c r="I128" s="1">
        <v>132</v>
      </c>
      <c r="J128" s="1">
        <v>38</v>
      </c>
      <c r="K128" s="1">
        <v>15</v>
      </c>
      <c r="L128" s="1">
        <v>47</v>
      </c>
      <c r="M128" s="1">
        <v>57</v>
      </c>
      <c r="N128" s="1">
        <v>27</v>
      </c>
      <c r="O128" s="1">
        <v>107</v>
      </c>
      <c r="P128" s="1">
        <v>23</v>
      </c>
      <c r="Q128" s="1">
        <v>22</v>
      </c>
      <c r="R128" s="1">
        <v>15</v>
      </c>
      <c r="S128" s="1">
        <v>49</v>
      </c>
      <c r="T128" s="1">
        <v>51</v>
      </c>
      <c r="U128" s="1">
        <v>66</v>
      </c>
      <c r="V128" s="1">
        <v>75</v>
      </c>
      <c r="W128" s="1">
        <v>12</v>
      </c>
      <c r="X128" s="1">
        <v>109</v>
      </c>
      <c r="Y128" s="1">
        <v>22</v>
      </c>
      <c r="Z128" s="1">
        <v>261</v>
      </c>
      <c r="AA128" s="1">
        <v>51</v>
      </c>
      <c r="AB128" s="1">
        <v>15</v>
      </c>
      <c r="AC128" s="1">
        <v>18</v>
      </c>
      <c r="AD128" s="1">
        <v>57</v>
      </c>
      <c r="AE128" s="1">
        <v>75</v>
      </c>
      <c r="AF128" s="18">
        <f t="shared" si="1"/>
        <v>55.43333333333333</v>
      </c>
    </row>
    <row r="129" spans="1:32" x14ac:dyDescent="0.35">
      <c r="A129" s="1" t="s">
        <v>185</v>
      </c>
      <c r="B129" s="1">
        <v>101</v>
      </c>
      <c r="C129" s="1">
        <v>28</v>
      </c>
      <c r="D129" s="1">
        <v>45</v>
      </c>
      <c r="E129" s="1">
        <v>14</v>
      </c>
      <c r="F129" s="1">
        <v>47</v>
      </c>
      <c r="G129" s="1">
        <v>166</v>
      </c>
      <c r="H129" s="1">
        <v>30</v>
      </c>
      <c r="I129" s="1">
        <v>39</v>
      </c>
      <c r="J129" s="1">
        <v>14</v>
      </c>
      <c r="K129" s="1">
        <v>22</v>
      </c>
      <c r="L129" s="1">
        <v>24</v>
      </c>
      <c r="M129" s="1">
        <v>115</v>
      </c>
      <c r="N129" s="1">
        <v>142</v>
      </c>
      <c r="O129" s="1">
        <v>59</v>
      </c>
      <c r="P129" s="1">
        <v>55</v>
      </c>
      <c r="Q129" s="1">
        <v>152</v>
      </c>
      <c r="R129" s="1">
        <v>42</v>
      </c>
      <c r="S129" s="1">
        <v>28</v>
      </c>
      <c r="T129" s="1">
        <v>15</v>
      </c>
      <c r="U129" s="1">
        <v>26</v>
      </c>
      <c r="V129" s="1">
        <v>24</v>
      </c>
      <c r="W129" s="1">
        <v>202</v>
      </c>
      <c r="X129" s="1">
        <v>111</v>
      </c>
      <c r="Y129" s="1">
        <v>146</v>
      </c>
      <c r="Z129" s="1">
        <v>99</v>
      </c>
      <c r="AA129" s="1">
        <v>70</v>
      </c>
      <c r="AB129" s="1">
        <v>35</v>
      </c>
      <c r="AC129" s="1">
        <v>26</v>
      </c>
      <c r="AD129" s="1">
        <v>29</v>
      </c>
      <c r="AE129" s="1">
        <v>50</v>
      </c>
      <c r="AF129" s="18">
        <f t="shared" si="1"/>
        <v>65.2</v>
      </c>
    </row>
    <row r="130" spans="1:32" x14ac:dyDescent="0.35">
      <c r="A130" s="1" t="s">
        <v>102</v>
      </c>
      <c r="B130" s="1">
        <v>32</v>
      </c>
      <c r="C130" s="1">
        <v>33</v>
      </c>
      <c r="D130" s="1">
        <v>34</v>
      </c>
      <c r="E130" s="1">
        <v>99</v>
      </c>
      <c r="F130" s="1">
        <v>16</v>
      </c>
      <c r="G130" s="1">
        <v>37</v>
      </c>
      <c r="H130" s="1">
        <v>147</v>
      </c>
      <c r="I130" s="1">
        <v>124</v>
      </c>
      <c r="J130" s="1">
        <v>40</v>
      </c>
      <c r="K130" s="1">
        <v>35</v>
      </c>
      <c r="L130" s="1">
        <v>37</v>
      </c>
      <c r="M130" s="1">
        <v>93</v>
      </c>
      <c r="N130" s="1">
        <v>75</v>
      </c>
      <c r="O130" s="1">
        <v>13</v>
      </c>
      <c r="P130" s="1">
        <v>16</v>
      </c>
      <c r="Q130" s="1">
        <v>58</v>
      </c>
      <c r="R130" s="1">
        <v>28</v>
      </c>
      <c r="S130" s="1">
        <v>113</v>
      </c>
      <c r="T130" s="1">
        <v>136</v>
      </c>
      <c r="U130" s="1">
        <v>57</v>
      </c>
      <c r="V130" s="1">
        <v>18</v>
      </c>
      <c r="W130" s="1">
        <v>23</v>
      </c>
      <c r="X130" s="1">
        <v>86</v>
      </c>
      <c r="Y130" s="1">
        <v>22</v>
      </c>
      <c r="Z130" s="1">
        <v>57</v>
      </c>
      <c r="AA130" s="1">
        <v>70</v>
      </c>
      <c r="AB130" s="1">
        <v>16</v>
      </c>
      <c r="AC130" s="1">
        <v>16</v>
      </c>
      <c r="AD130" s="1">
        <v>70</v>
      </c>
      <c r="AE130" s="1">
        <v>23</v>
      </c>
      <c r="AF130" s="18">
        <f t="shared" si="1"/>
        <v>54.133333333333333</v>
      </c>
    </row>
    <row r="131" spans="1:32" x14ac:dyDescent="0.35">
      <c r="A131" s="1" t="s">
        <v>103</v>
      </c>
      <c r="B131" s="1">
        <v>268</v>
      </c>
      <c r="C131" s="1">
        <v>116</v>
      </c>
      <c r="D131" s="1">
        <v>34</v>
      </c>
      <c r="E131" s="1">
        <v>20</v>
      </c>
      <c r="F131" s="1">
        <v>99</v>
      </c>
      <c r="G131" s="1">
        <v>17</v>
      </c>
      <c r="H131" s="1">
        <v>55</v>
      </c>
      <c r="I131" s="1">
        <v>82</v>
      </c>
      <c r="J131" s="1">
        <v>36</v>
      </c>
      <c r="K131" s="1">
        <v>28</v>
      </c>
      <c r="L131" s="1">
        <v>79</v>
      </c>
      <c r="M131" s="1">
        <v>13</v>
      </c>
      <c r="N131" s="1">
        <v>36</v>
      </c>
      <c r="O131" s="1">
        <v>19</v>
      </c>
      <c r="P131" s="1">
        <v>74</v>
      </c>
      <c r="Q131" s="1">
        <v>41</v>
      </c>
      <c r="R131" s="1">
        <v>112</v>
      </c>
      <c r="S131" s="1">
        <v>12</v>
      </c>
      <c r="T131" s="1">
        <v>34</v>
      </c>
      <c r="U131" s="1">
        <v>18</v>
      </c>
      <c r="V131" s="1">
        <v>42</v>
      </c>
      <c r="W131" s="1">
        <v>16</v>
      </c>
      <c r="X131" s="1">
        <v>26</v>
      </c>
      <c r="Y131" s="1">
        <v>50</v>
      </c>
      <c r="Z131" s="1">
        <v>19</v>
      </c>
      <c r="AA131" s="1">
        <v>104</v>
      </c>
      <c r="AB131" s="1">
        <v>17</v>
      </c>
      <c r="AC131" s="1">
        <v>93</v>
      </c>
      <c r="AD131" s="1">
        <v>196</v>
      </c>
      <c r="AE131" s="1">
        <v>49</v>
      </c>
      <c r="AF131" s="18">
        <f t="shared" si="1"/>
        <v>60.166666666666664</v>
      </c>
    </row>
    <row r="132" spans="1:32" x14ac:dyDescent="0.35">
      <c r="A132" s="1" t="s">
        <v>186</v>
      </c>
      <c r="B132" s="1">
        <v>105</v>
      </c>
      <c r="C132" s="1">
        <v>99</v>
      </c>
      <c r="D132" s="1">
        <v>19</v>
      </c>
      <c r="E132" s="1">
        <v>31</v>
      </c>
      <c r="F132" s="1">
        <v>31</v>
      </c>
      <c r="G132" s="1">
        <v>57</v>
      </c>
      <c r="H132" s="1">
        <v>34</v>
      </c>
      <c r="I132" s="1">
        <v>23</v>
      </c>
      <c r="J132" s="1">
        <v>235</v>
      </c>
      <c r="K132" s="1">
        <v>42</v>
      </c>
      <c r="L132" s="1">
        <v>118</v>
      </c>
      <c r="M132" s="1">
        <v>35</v>
      </c>
      <c r="N132" s="1">
        <v>47</v>
      </c>
      <c r="O132" s="1">
        <v>65</v>
      </c>
      <c r="P132" s="1">
        <v>53</v>
      </c>
      <c r="Q132" s="1">
        <v>24</v>
      </c>
      <c r="R132" s="1">
        <v>33</v>
      </c>
      <c r="S132" s="1">
        <v>13</v>
      </c>
      <c r="T132" s="1">
        <v>65</v>
      </c>
      <c r="U132" s="1">
        <v>46</v>
      </c>
      <c r="V132" s="1">
        <v>16</v>
      </c>
      <c r="W132" s="1">
        <v>68</v>
      </c>
      <c r="X132" s="1">
        <v>155</v>
      </c>
      <c r="Y132" s="1">
        <v>76</v>
      </c>
      <c r="Z132" s="1">
        <v>35</v>
      </c>
      <c r="AA132" s="1">
        <v>84</v>
      </c>
      <c r="AB132" s="1">
        <v>23</v>
      </c>
      <c r="AC132" s="1">
        <v>152</v>
      </c>
      <c r="AD132" s="1">
        <v>47</v>
      </c>
      <c r="AE132" s="1">
        <v>26</v>
      </c>
      <c r="AF132" s="18">
        <f t="shared" ref="AF132:AF195" si="2">AVERAGE(B132:AE132)</f>
        <v>61.9</v>
      </c>
    </row>
    <row r="133" spans="1:32" x14ac:dyDescent="0.35">
      <c r="A133" s="1" t="s">
        <v>104</v>
      </c>
      <c r="B133" s="1">
        <v>50</v>
      </c>
      <c r="C133" s="1">
        <v>42</v>
      </c>
      <c r="D133" s="1">
        <v>13</v>
      </c>
      <c r="E133" s="1">
        <v>31</v>
      </c>
      <c r="F133" s="1">
        <v>41</v>
      </c>
      <c r="G133" s="1">
        <v>16</v>
      </c>
      <c r="H133" s="1">
        <v>22</v>
      </c>
      <c r="I133" s="1">
        <v>51</v>
      </c>
      <c r="J133" s="1">
        <v>67</v>
      </c>
      <c r="K133" s="1">
        <v>24</v>
      </c>
      <c r="L133" s="1">
        <v>14</v>
      </c>
      <c r="M133" s="1">
        <v>14</v>
      </c>
      <c r="N133" s="1">
        <v>80</v>
      </c>
      <c r="O133" s="1">
        <v>29</v>
      </c>
      <c r="P133" s="1">
        <v>90</v>
      </c>
      <c r="Q133" s="1">
        <v>77</v>
      </c>
      <c r="R133" s="1">
        <v>17</v>
      </c>
      <c r="S133" s="1">
        <v>119</v>
      </c>
      <c r="T133" s="1">
        <v>33</v>
      </c>
      <c r="U133" s="1">
        <v>41</v>
      </c>
      <c r="V133" s="1">
        <v>72</v>
      </c>
      <c r="W133" s="1">
        <v>27</v>
      </c>
      <c r="X133" s="1">
        <v>57</v>
      </c>
      <c r="Y133" s="1">
        <v>105</v>
      </c>
      <c r="Z133" s="1">
        <v>79</v>
      </c>
      <c r="AA133" s="1">
        <v>37</v>
      </c>
      <c r="AB133" s="1">
        <v>55</v>
      </c>
      <c r="AC133" s="1">
        <v>12</v>
      </c>
      <c r="AD133" s="1">
        <v>108</v>
      </c>
      <c r="AE133" s="1">
        <v>15</v>
      </c>
      <c r="AF133" s="18">
        <f t="shared" si="2"/>
        <v>47.93333333333333</v>
      </c>
    </row>
    <row r="134" spans="1:32" x14ac:dyDescent="0.35">
      <c r="A134" s="1" t="s">
        <v>187</v>
      </c>
      <c r="B134" s="1">
        <v>248</v>
      </c>
      <c r="C134" s="1">
        <v>30</v>
      </c>
      <c r="D134" s="1">
        <v>61</v>
      </c>
      <c r="E134" s="1">
        <v>57</v>
      </c>
      <c r="F134" s="1">
        <v>118</v>
      </c>
      <c r="G134" s="1">
        <v>35</v>
      </c>
      <c r="H134" s="1">
        <v>122</v>
      </c>
      <c r="I134" s="1">
        <v>44</v>
      </c>
      <c r="J134" s="1">
        <v>34</v>
      </c>
      <c r="K134" s="1">
        <v>129</v>
      </c>
      <c r="L134" s="1">
        <v>112</v>
      </c>
      <c r="M134" s="1">
        <v>147</v>
      </c>
      <c r="N134" s="1">
        <v>49</v>
      </c>
      <c r="O134" s="1">
        <v>60</v>
      </c>
      <c r="P134" s="1">
        <v>30</v>
      </c>
      <c r="Q134" s="1">
        <v>31</v>
      </c>
      <c r="R134" s="1">
        <v>40</v>
      </c>
      <c r="S134" s="1">
        <v>47</v>
      </c>
      <c r="T134" s="1">
        <v>120</v>
      </c>
      <c r="U134" s="1">
        <v>79</v>
      </c>
      <c r="V134" s="1">
        <v>35</v>
      </c>
      <c r="W134" s="1">
        <v>33</v>
      </c>
      <c r="X134" s="1">
        <v>54</v>
      </c>
      <c r="Y134" s="1">
        <v>116</v>
      </c>
      <c r="Z134" s="1">
        <v>21</v>
      </c>
      <c r="AA134" s="1">
        <v>104</v>
      </c>
      <c r="AB134" s="1">
        <v>103</v>
      </c>
      <c r="AC134" s="1">
        <v>123</v>
      </c>
      <c r="AD134" s="1">
        <v>99</v>
      </c>
      <c r="AE134" s="1">
        <v>158</v>
      </c>
      <c r="AF134" s="18">
        <f t="shared" si="2"/>
        <v>81.3</v>
      </c>
    </row>
    <row r="135" spans="1:32" x14ac:dyDescent="0.35">
      <c r="A135" s="1" t="s">
        <v>160</v>
      </c>
      <c r="B135" s="1">
        <v>181</v>
      </c>
      <c r="C135" s="1">
        <v>67</v>
      </c>
      <c r="D135" s="1">
        <v>31</v>
      </c>
      <c r="E135" s="1">
        <v>23</v>
      </c>
      <c r="F135" s="1">
        <v>28</v>
      </c>
      <c r="G135" s="1">
        <v>182</v>
      </c>
      <c r="H135" s="1">
        <v>16</v>
      </c>
      <c r="I135" s="1">
        <v>49</v>
      </c>
      <c r="J135" s="1">
        <v>48</v>
      </c>
      <c r="K135" s="1">
        <v>15</v>
      </c>
      <c r="L135" s="1">
        <v>20</v>
      </c>
      <c r="M135" s="1">
        <v>141</v>
      </c>
      <c r="N135" s="1">
        <v>32</v>
      </c>
      <c r="O135" s="1">
        <v>106</v>
      </c>
      <c r="P135" s="1">
        <v>38</v>
      </c>
      <c r="Q135" s="1">
        <v>18</v>
      </c>
      <c r="R135" s="1">
        <v>47</v>
      </c>
      <c r="S135" s="1">
        <v>74</v>
      </c>
      <c r="T135" s="1">
        <v>30</v>
      </c>
      <c r="U135" s="1">
        <v>25</v>
      </c>
      <c r="V135" s="1">
        <v>55</v>
      </c>
      <c r="W135" s="1">
        <v>85</v>
      </c>
      <c r="X135" s="1">
        <v>30</v>
      </c>
      <c r="Y135" s="1">
        <v>41</v>
      </c>
      <c r="Z135" s="1">
        <v>13</v>
      </c>
      <c r="AA135" s="1">
        <v>87</v>
      </c>
      <c r="AB135" s="1">
        <v>173</v>
      </c>
      <c r="AC135" s="1">
        <v>81</v>
      </c>
      <c r="AD135" s="1">
        <v>168</v>
      </c>
      <c r="AE135" s="1">
        <v>129</v>
      </c>
      <c r="AF135" s="18">
        <f t="shared" si="2"/>
        <v>67.766666666666666</v>
      </c>
    </row>
    <row r="136" spans="1:32" x14ac:dyDescent="0.35">
      <c r="A136" s="1" t="s">
        <v>105</v>
      </c>
      <c r="B136" s="1">
        <v>32</v>
      </c>
      <c r="C136" s="1">
        <v>57</v>
      </c>
      <c r="D136" s="1">
        <v>80</v>
      </c>
      <c r="E136" s="1">
        <v>28</v>
      </c>
      <c r="F136" s="1">
        <v>45</v>
      </c>
      <c r="G136" s="1">
        <v>58</v>
      </c>
      <c r="H136" s="1">
        <v>16</v>
      </c>
      <c r="I136" s="1">
        <v>19</v>
      </c>
      <c r="J136" s="1">
        <v>62</v>
      </c>
      <c r="K136" s="1">
        <v>74</v>
      </c>
      <c r="L136" s="1">
        <v>30</v>
      </c>
      <c r="M136" s="1">
        <v>43</v>
      </c>
      <c r="N136" s="1">
        <v>16</v>
      </c>
      <c r="O136" s="1">
        <v>20</v>
      </c>
      <c r="P136" s="1">
        <v>38</v>
      </c>
      <c r="Q136" s="1">
        <v>39</v>
      </c>
      <c r="R136" s="1">
        <v>38</v>
      </c>
      <c r="S136" s="1">
        <v>66</v>
      </c>
      <c r="T136" s="1">
        <v>52</v>
      </c>
      <c r="U136" s="1">
        <v>22</v>
      </c>
      <c r="V136" s="1">
        <v>50</v>
      </c>
      <c r="W136" s="1">
        <v>48</v>
      </c>
      <c r="X136" s="1">
        <v>35</v>
      </c>
      <c r="Y136" s="1">
        <v>24</v>
      </c>
      <c r="Z136" s="1">
        <v>51</v>
      </c>
      <c r="AA136" s="1">
        <v>26</v>
      </c>
      <c r="AB136" s="1">
        <v>29</v>
      </c>
      <c r="AC136" s="1">
        <v>23</v>
      </c>
      <c r="AD136" s="1">
        <v>36</v>
      </c>
      <c r="AE136" s="1">
        <v>23</v>
      </c>
      <c r="AF136" s="18">
        <f t="shared" si="2"/>
        <v>39.333333333333336</v>
      </c>
    </row>
    <row r="137" spans="1:32" x14ac:dyDescent="0.35">
      <c r="A137" s="1" t="s">
        <v>106</v>
      </c>
      <c r="B137" s="1">
        <v>19</v>
      </c>
      <c r="C137" s="1">
        <v>16</v>
      </c>
      <c r="D137" s="1">
        <v>21</v>
      </c>
      <c r="E137" s="1">
        <v>43</v>
      </c>
      <c r="F137" s="1">
        <v>23</v>
      </c>
      <c r="G137" s="1">
        <v>13</v>
      </c>
      <c r="H137" s="1">
        <v>20</v>
      </c>
      <c r="I137" s="1">
        <v>21</v>
      </c>
      <c r="J137" s="1">
        <v>113</v>
      </c>
      <c r="K137" s="1">
        <v>35</v>
      </c>
      <c r="L137" s="1">
        <v>67</v>
      </c>
      <c r="M137" s="1">
        <v>61</v>
      </c>
      <c r="N137" s="1">
        <v>58</v>
      </c>
      <c r="O137" s="1">
        <v>19</v>
      </c>
      <c r="P137" s="1">
        <v>50</v>
      </c>
      <c r="Q137" s="1">
        <v>23</v>
      </c>
      <c r="R137" s="1">
        <v>13</v>
      </c>
      <c r="S137" s="1">
        <v>23</v>
      </c>
      <c r="T137" s="1">
        <v>49</v>
      </c>
      <c r="U137" s="1">
        <v>73</v>
      </c>
      <c r="V137" s="1">
        <v>20</v>
      </c>
      <c r="W137" s="1">
        <v>28</v>
      </c>
      <c r="X137" s="1">
        <v>29</v>
      </c>
      <c r="Y137" s="1">
        <v>26</v>
      </c>
      <c r="Z137" s="1">
        <v>48</v>
      </c>
      <c r="AA137" s="1">
        <v>66</v>
      </c>
      <c r="AB137" s="1">
        <v>18</v>
      </c>
      <c r="AC137" s="1">
        <v>25</v>
      </c>
      <c r="AD137" s="1">
        <v>51</v>
      </c>
      <c r="AE137" s="1">
        <v>14</v>
      </c>
      <c r="AF137" s="18">
        <f t="shared" si="2"/>
        <v>36.166666666666664</v>
      </c>
    </row>
    <row r="138" spans="1:32" x14ac:dyDescent="0.35">
      <c r="A138" s="1" t="s">
        <v>188</v>
      </c>
      <c r="B138" s="1">
        <v>48</v>
      </c>
      <c r="C138" s="1">
        <v>56</v>
      </c>
      <c r="D138" s="1">
        <v>107</v>
      </c>
      <c r="E138" s="1">
        <v>14</v>
      </c>
      <c r="F138" s="1">
        <v>30</v>
      </c>
      <c r="G138" s="1">
        <v>78</v>
      </c>
      <c r="H138" s="1">
        <v>13</v>
      </c>
      <c r="I138" s="1">
        <v>26</v>
      </c>
      <c r="J138" s="1">
        <v>15</v>
      </c>
      <c r="K138" s="1">
        <v>34</v>
      </c>
      <c r="L138" s="1">
        <v>17</v>
      </c>
      <c r="M138" s="1">
        <v>17</v>
      </c>
      <c r="N138" s="1">
        <v>109</v>
      </c>
      <c r="O138" s="1">
        <v>33</v>
      </c>
      <c r="P138" s="1">
        <v>33</v>
      </c>
      <c r="Q138" s="1">
        <v>33</v>
      </c>
      <c r="R138" s="1">
        <v>23</v>
      </c>
      <c r="S138" s="1">
        <v>61</v>
      </c>
      <c r="T138" s="1">
        <v>52</v>
      </c>
      <c r="U138" s="1">
        <v>33</v>
      </c>
      <c r="V138" s="1">
        <v>14</v>
      </c>
      <c r="W138" s="1">
        <v>39</v>
      </c>
      <c r="X138" s="1">
        <v>25</v>
      </c>
      <c r="Y138" s="1">
        <v>207</v>
      </c>
      <c r="Z138" s="1">
        <v>55</v>
      </c>
      <c r="AA138" s="1">
        <v>89</v>
      </c>
      <c r="AB138" s="1">
        <v>66</v>
      </c>
      <c r="AC138" s="1">
        <v>101</v>
      </c>
      <c r="AD138" s="1">
        <v>18</v>
      </c>
      <c r="AE138" s="1">
        <v>103</v>
      </c>
      <c r="AF138" s="18">
        <f t="shared" si="2"/>
        <v>51.633333333333333</v>
      </c>
    </row>
    <row r="139" spans="1:32" x14ac:dyDescent="0.35">
      <c r="A139" s="1" t="s">
        <v>107</v>
      </c>
      <c r="B139" s="1">
        <v>27</v>
      </c>
      <c r="C139" s="1">
        <v>66</v>
      </c>
      <c r="D139" s="1">
        <v>21</v>
      </c>
      <c r="E139" s="1">
        <v>39</v>
      </c>
      <c r="F139" s="1">
        <v>40</v>
      </c>
      <c r="G139" s="1">
        <v>171</v>
      </c>
      <c r="H139" s="1">
        <v>45</v>
      </c>
      <c r="I139" s="1">
        <v>228</v>
      </c>
      <c r="J139" s="1">
        <v>26</v>
      </c>
      <c r="K139" s="1">
        <v>27</v>
      </c>
      <c r="L139" s="1">
        <v>25</v>
      </c>
      <c r="M139" s="1">
        <v>28</v>
      </c>
      <c r="N139" s="1">
        <v>69</v>
      </c>
      <c r="O139" s="1">
        <v>36</v>
      </c>
      <c r="P139" s="1">
        <v>50</v>
      </c>
      <c r="Q139" s="1">
        <v>79</v>
      </c>
      <c r="R139" s="1">
        <v>14</v>
      </c>
      <c r="S139" s="1">
        <v>21</v>
      </c>
      <c r="T139" s="1">
        <v>72</v>
      </c>
      <c r="U139" s="1">
        <v>26</v>
      </c>
      <c r="V139" s="1">
        <v>49</v>
      </c>
      <c r="W139" s="1">
        <v>61</v>
      </c>
      <c r="X139" s="1">
        <v>92</v>
      </c>
      <c r="Y139" s="1">
        <v>33</v>
      </c>
      <c r="Z139" s="1">
        <v>111</v>
      </c>
      <c r="AA139" s="1">
        <v>17</v>
      </c>
      <c r="AB139" s="1">
        <v>64</v>
      </c>
      <c r="AC139" s="1">
        <v>12</v>
      </c>
      <c r="AD139" s="1">
        <v>86</v>
      </c>
      <c r="AE139" s="1">
        <v>28</v>
      </c>
      <c r="AF139" s="18">
        <f t="shared" si="2"/>
        <v>55.43333333333333</v>
      </c>
    </row>
    <row r="140" spans="1:32" x14ac:dyDescent="0.35">
      <c r="A140" s="1" t="s">
        <v>108</v>
      </c>
      <c r="B140" s="1">
        <v>88</v>
      </c>
      <c r="C140" s="1">
        <v>38</v>
      </c>
      <c r="D140" s="1">
        <v>239</v>
      </c>
      <c r="E140" s="1">
        <v>39</v>
      </c>
      <c r="F140" s="1">
        <v>81</v>
      </c>
      <c r="G140" s="1">
        <v>47</v>
      </c>
      <c r="H140" s="1">
        <v>33</v>
      </c>
      <c r="I140" s="1">
        <v>30</v>
      </c>
      <c r="J140" s="1">
        <v>31</v>
      </c>
      <c r="K140" s="1">
        <v>35</v>
      </c>
      <c r="L140" s="1">
        <v>122</v>
      </c>
      <c r="M140" s="1">
        <v>18</v>
      </c>
      <c r="N140" s="1">
        <v>45</v>
      </c>
      <c r="O140" s="1">
        <v>13</v>
      </c>
      <c r="P140" s="1">
        <v>51</v>
      </c>
      <c r="Q140" s="1">
        <v>114</v>
      </c>
      <c r="R140" s="1">
        <v>54</v>
      </c>
      <c r="S140" s="1">
        <v>87</v>
      </c>
      <c r="T140" s="1">
        <v>44</v>
      </c>
      <c r="U140" s="1">
        <v>25</v>
      </c>
      <c r="V140" s="1">
        <v>85</v>
      </c>
      <c r="W140" s="1">
        <v>15</v>
      </c>
      <c r="X140" s="1">
        <v>18</v>
      </c>
      <c r="Y140" s="1">
        <v>81</v>
      </c>
      <c r="Z140" s="1">
        <v>27</v>
      </c>
      <c r="AA140" s="1">
        <v>52</v>
      </c>
      <c r="AB140" s="1">
        <v>30</v>
      </c>
      <c r="AC140" s="1">
        <v>20</v>
      </c>
      <c r="AD140" s="1">
        <v>69</v>
      </c>
      <c r="AE140" s="1">
        <v>37</v>
      </c>
      <c r="AF140" s="18">
        <f t="shared" si="2"/>
        <v>55.6</v>
      </c>
    </row>
    <row r="141" spans="1:32" x14ac:dyDescent="0.35">
      <c r="A141" s="1" t="s">
        <v>109</v>
      </c>
      <c r="B141" s="1">
        <v>22</v>
      </c>
      <c r="C141" s="1">
        <v>88</v>
      </c>
      <c r="D141" s="1">
        <v>17</v>
      </c>
      <c r="E141" s="1">
        <v>45</v>
      </c>
      <c r="F141" s="1">
        <v>98</v>
      </c>
      <c r="G141" s="1">
        <v>64</v>
      </c>
      <c r="H141" s="1">
        <v>57</v>
      </c>
      <c r="I141" s="1">
        <v>25</v>
      </c>
      <c r="J141" s="1">
        <v>35</v>
      </c>
      <c r="K141" s="1">
        <v>25</v>
      </c>
      <c r="L141" s="1">
        <v>30</v>
      </c>
      <c r="M141" s="1">
        <v>22</v>
      </c>
      <c r="N141" s="1">
        <v>39</v>
      </c>
      <c r="O141" s="1">
        <v>126</v>
      </c>
      <c r="P141" s="1">
        <v>14</v>
      </c>
      <c r="Q141" s="1">
        <v>175</v>
      </c>
      <c r="R141" s="1">
        <v>22</v>
      </c>
      <c r="S141" s="1">
        <v>23</v>
      </c>
      <c r="T141" s="1">
        <v>109</v>
      </c>
      <c r="U141" s="1">
        <v>103</v>
      </c>
      <c r="V141" s="1">
        <v>39</v>
      </c>
      <c r="W141" s="1">
        <v>44</v>
      </c>
      <c r="X141" s="1">
        <v>22</v>
      </c>
      <c r="Y141" s="1">
        <v>41</v>
      </c>
      <c r="Z141" s="1">
        <v>28</v>
      </c>
      <c r="AA141" s="1">
        <v>38</v>
      </c>
      <c r="AB141" s="1">
        <v>94</v>
      </c>
      <c r="AC141" s="1">
        <v>23</v>
      </c>
      <c r="AD141" s="1">
        <v>61</v>
      </c>
      <c r="AE141" s="1">
        <v>118</v>
      </c>
      <c r="AF141" s="18">
        <f t="shared" si="2"/>
        <v>54.9</v>
      </c>
    </row>
    <row r="142" spans="1:32" x14ac:dyDescent="0.35">
      <c r="A142" s="1" t="s">
        <v>189</v>
      </c>
      <c r="B142" s="1">
        <v>14</v>
      </c>
      <c r="C142" s="1">
        <v>31</v>
      </c>
      <c r="D142" s="1">
        <v>20</v>
      </c>
      <c r="E142" s="1">
        <v>34</v>
      </c>
      <c r="F142" s="1">
        <v>45</v>
      </c>
      <c r="G142" s="1">
        <v>80</v>
      </c>
      <c r="H142" s="1">
        <v>64</v>
      </c>
      <c r="I142" s="1">
        <v>22</v>
      </c>
      <c r="J142" s="1">
        <v>23</v>
      </c>
      <c r="K142" s="1">
        <v>25</v>
      </c>
      <c r="L142" s="1">
        <v>14</v>
      </c>
      <c r="M142" s="1">
        <v>109</v>
      </c>
      <c r="N142" s="1">
        <v>19</v>
      </c>
      <c r="O142" s="1">
        <v>97</v>
      </c>
      <c r="P142" s="1">
        <v>45</v>
      </c>
      <c r="Q142" s="1">
        <v>19</v>
      </c>
      <c r="R142" s="1">
        <v>15</v>
      </c>
      <c r="S142" s="1">
        <v>20</v>
      </c>
      <c r="T142" s="1">
        <v>22</v>
      </c>
      <c r="U142" s="1">
        <v>96</v>
      </c>
      <c r="V142" s="1">
        <v>17</v>
      </c>
      <c r="W142" s="1">
        <v>27</v>
      </c>
      <c r="X142" s="1">
        <v>27</v>
      </c>
      <c r="Y142" s="1">
        <v>58</v>
      </c>
      <c r="Z142" s="1">
        <v>49</v>
      </c>
      <c r="AA142" s="1">
        <v>20</v>
      </c>
      <c r="AB142" s="1">
        <v>100</v>
      </c>
      <c r="AC142" s="1">
        <v>48</v>
      </c>
      <c r="AD142" s="1">
        <v>12</v>
      </c>
      <c r="AE142" s="1">
        <v>42</v>
      </c>
      <c r="AF142" s="18">
        <f t="shared" si="2"/>
        <v>40.466666666666669</v>
      </c>
    </row>
    <row r="143" spans="1:32" x14ac:dyDescent="0.35">
      <c r="A143" s="1" t="s">
        <v>110</v>
      </c>
      <c r="B143" s="1">
        <v>18</v>
      </c>
      <c r="C143" s="1">
        <v>244</v>
      </c>
      <c r="D143" s="1">
        <v>57</v>
      </c>
      <c r="E143" s="1">
        <v>46</v>
      </c>
      <c r="F143" s="1">
        <v>80</v>
      </c>
      <c r="G143" s="1">
        <v>251</v>
      </c>
      <c r="H143" s="1">
        <v>12</v>
      </c>
      <c r="I143" s="1">
        <v>54</v>
      </c>
      <c r="J143" s="1">
        <v>50</v>
      </c>
      <c r="K143" s="1">
        <v>27</v>
      </c>
      <c r="L143" s="1">
        <v>26</v>
      </c>
      <c r="M143" s="1">
        <v>71</v>
      </c>
      <c r="N143" s="1">
        <v>16</v>
      </c>
      <c r="O143" s="1">
        <v>12</v>
      </c>
      <c r="P143" s="1">
        <v>60</v>
      </c>
      <c r="Q143" s="1">
        <v>56</v>
      </c>
      <c r="R143" s="1">
        <v>20</v>
      </c>
      <c r="S143" s="1">
        <v>12</v>
      </c>
      <c r="T143" s="1">
        <v>55</v>
      </c>
      <c r="U143" s="1">
        <v>156</v>
      </c>
      <c r="V143" s="1">
        <v>117</v>
      </c>
      <c r="W143" s="1">
        <v>30</v>
      </c>
      <c r="X143" s="1">
        <v>61</v>
      </c>
      <c r="Y143" s="1">
        <v>13</v>
      </c>
      <c r="Z143" s="1">
        <v>34</v>
      </c>
      <c r="AA143" s="1">
        <v>34</v>
      </c>
      <c r="AB143" s="1">
        <v>33</v>
      </c>
      <c r="AC143" s="1">
        <v>92</v>
      </c>
      <c r="AD143" s="1">
        <v>55</v>
      </c>
      <c r="AE143" s="1">
        <v>15</v>
      </c>
      <c r="AF143" s="18">
        <f t="shared" si="2"/>
        <v>60.233333333333334</v>
      </c>
    </row>
    <row r="144" spans="1:32" x14ac:dyDescent="0.35">
      <c r="A144" s="1" t="s">
        <v>111</v>
      </c>
      <c r="B144" s="1">
        <v>195</v>
      </c>
      <c r="C144" s="1">
        <v>167</v>
      </c>
      <c r="D144" s="1">
        <v>12</v>
      </c>
      <c r="E144" s="1">
        <v>58</v>
      </c>
      <c r="F144" s="1">
        <v>41</v>
      </c>
      <c r="G144" s="1">
        <v>140</v>
      </c>
      <c r="H144" s="1">
        <v>77</v>
      </c>
      <c r="I144" s="1">
        <v>118</v>
      </c>
      <c r="J144" s="1">
        <v>83</v>
      </c>
      <c r="K144" s="1">
        <v>32</v>
      </c>
      <c r="L144" s="1">
        <v>114</v>
      </c>
      <c r="M144" s="1">
        <v>43</v>
      </c>
      <c r="N144" s="1">
        <v>41</v>
      </c>
      <c r="O144" s="1">
        <v>63</v>
      </c>
      <c r="P144" s="1">
        <v>97</v>
      </c>
      <c r="Q144" s="1">
        <v>49</v>
      </c>
      <c r="R144" s="1">
        <v>200</v>
      </c>
      <c r="S144" s="1">
        <v>16</v>
      </c>
      <c r="T144" s="1">
        <v>30</v>
      </c>
      <c r="U144" s="1">
        <v>115</v>
      </c>
      <c r="V144" s="1">
        <v>46</v>
      </c>
      <c r="W144" s="1">
        <v>139</v>
      </c>
      <c r="X144" s="1">
        <v>45</v>
      </c>
      <c r="Y144" s="1">
        <v>144</v>
      </c>
      <c r="Z144" s="1">
        <v>53</v>
      </c>
      <c r="AA144" s="1">
        <v>54</v>
      </c>
      <c r="AB144" s="1">
        <v>51</v>
      </c>
      <c r="AC144" s="1">
        <v>25</v>
      </c>
      <c r="AD144" s="1">
        <v>31</v>
      </c>
      <c r="AE144" s="1">
        <v>40</v>
      </c>
      <c r="AF144" s="18">
        <f t="shared" si="2"/>
        <v>77.3</v>
      </c>
    </row>
    <row r="145" spans="1:32" x14ac:dyDescent="0.35">
      <c r="A145" s="1" t="s">
        <v>112</v>
      </c>
      <c r="B145" s="1">
        <v>16</v>
      </c>
      <c r="C145" s="1">
        <v>98</v>
      </c>
      <c r="D145" s="1">
        <v>143</v>
      </c>
      <c r="E145" s="1">
        <v>19</v>
      </c>
      <c r="F145" s="1">
        <v>13</v>
      </c>
      <c r="G145" s="1">
        <v>177</v>
      </c>
      <c r="H145" s="1">
        <v>185</v>
      </c>
      <c r="I145" s="1">
        <v>63</v>
      </c>
      <c r="J145" s="1">
        <v>30</v>
      </c>
      <c r="K145" s="1">
        <v>26</v>
      </c>
      <c r="L145" s="1">
        <v>186</v>
      </c>
      <c r="M145" s="1">
        <v>52</v>
      </c>
      <c r="N145" s="1">
        <v>23</v>
      </c>
      <c r="O145" s="1">
        <v>13</v>
      </c>
      <c r="P145" s="1">
        <v>49</v>
      </c>
      <c r="Q145" s="1">
        <v>75</v>
      </c>
      <c r="R145" s="1">
        <v>78</v>
      </c>
      <c r="S145" s="1">
        <v>85</v>
      </c>
      <c r="T145" s="1">
        <v>105</v>
      </c>
      <c r="U145" s="1">
        <v>138</v>
      </c>
      <c r="V145" s="1">
        <v>47</v>
      </c>
      <c r="W145" s="1">
        <v>19</v>
      </c>
      <c r="X145" s="1">
        <v>59</v>
      </c>
      <c r="Y145" s="1">
        <v>86</v>
      </c>
      <c r="Z145" s="1">
        <v>288</v>
      </c>
      <c r="AA145" s="1">
        <v>50</v>
      </c>
      <c r="AB145" s="1">
        <v>66</v>
      </c>
      <c r="AC145" s="1">
        <v>40</v>
      </c>
      <c r="AD145" s="1">
        <v>29</v>
      </c>
      <c r="AE145" s="1">
        <v>99</v>
      </c>
      <c r="AF145" s="18">
        <f t="shared" si="2"/>
        <v>78.566666666666663</v>
      </c>
    </row>
    <row r="146" spans="1:32" x14ac:dyDescent="0.35">
      <c r="A146" s="1" t="s">
        <v>113</v>
      </c>
      <c r="B146" s="1">
        <v>63</v>
      </c>
      <c r="C146" s="1">
        <v>14</v>
      </c>
      <c r="D146" s="1">
        <v>81</v>
      </c>
      <c r="E146" s="1">
        <v>35</v>
      </c>
      <c r="F146" s="1">
        <v>24</v>
      </c>
      <c r="G146" s="1">
        <v>52</v>
      </c>
      <c r="H146" s="1">
        <v>48</v>
      </c>
      <c r="I146" s="1">
        <v>66</v>
      </c>
      <c r="J146" s="1">
        <v>74</v>
      </c>
      <c r="K146" s="1">
        <v>50</v>
      </c>
      <c r="L146" s="1">
        <v>46</v>
      </c>
      <c r="M146" s="1">
        <v>74</v>
      </c>
      <c r="N146" s="1">
        <v>61</v>
      </c>
      <c r="O146" s="1">
        <v>20</v>
      </c>
      <c r="P146" s="1">
        <v>37</v>
      </c>
      <c r="Q146" s="1">
        <v>20</v>
      </c>
      <c r="R146" s="1">
        <v>47</v>
      </c>
      <c r="S146" s="1">
        <v>42</v>
      </c>
      <c r="T146" s="1">
        <v>14</v>
      </c>
      <c r="U146" s="1">
        <v>39</v>
      </c>
      <c r="V146" s="1">
        <v>31</v>
      </c>
      <c r="W146" s="1">
        <v>40</v>
      </c>
      <c r="X146" s="1">
        <v>51</v>
      </c>
      <c r="Y146" s="1">
        <v>49</v>
      </c>
      <c r="Z146" s="1">
        <v>39</v>
      </c>
      <c r="AA146" s="1">
        <v>138</v>
      </c>
      <c r="AB146" s="1">
        <v>32</v>
      </c>
      <c r="AC146" s="1">
        <v>35</v>
      </c>
      <c r="AD146" s="1">
        <v>68</v>
      </c>
      <c r="AE146" s="1">
        <v>39</v>
      </c>
      <c r="AF146" s="18">
        <f t="shared" si="2"/>
        <v>47.633333333333333</v>
      </c>
    </row>
    <row r="147" spans="1:32" x14ac:dyDescent="0.35">
      <c r="A147" s="1" t="s">
        <v>114</v>
      </c>
      <c r="B147" s="1">
        <v>18</v>
      </c>
      <c r="C147" s="1">
        <v>182</v>
      </c>
      <c r="D147" s="1">
        <v>74</v>
      </c>
      <c r="E147" s="1">
        <v>23</v>
      </c>
      <c r="F147" s="1">
        <v>103</v>
      </c>
      <c r="G147" s="1">
        <v>21</v>
      </c>
      <c r="H147" s="1">
        <v>146</v>
      </c>
      <c r="I147" s="1">
        <v>156</v>
      </c>
      <c r="J147" s="1">
        <v>47</v>
      </c>
      <c r="K147" s="1">
        <v>20</v>
      </c>
      <c r="L147" s="1">
        <v>47</v>
      </c>
      <c r="M147" s="1">
        <v>106</v>
      </c>
      <c r="N147" s="1">
        <v>24</v>
      </c>
      <c r="O147" s="1">
        <v>54</v>
      </c>
      <c r="P147" s="1">
        <v>40</v>
      </c>
      <c r="Q147" s="1">
        <v>48</v>
      </c>
      <c r="R147" s="1">
        <v>87</v>
      </c>
      <c r="S147" s="1">
        <v>42</v>
      </c>
      <c r="T147" s="1">
        <v>49</v>
      </c>
      <c r="U147" s="1">
        <v>35</v>
      </c>
      <c r="V147" s="1">
        <v>147</v>
      </c>
      <c r="W147" s="1">
        <v>80</v>
      </c>
      <c r="X147" s="1">
        <v>83</v>
      </c>
      <c r="Y147" s="1">
        <v>65</v>
      </c>
      <c r="Z147" s="1">
        <v>169</v>
      </c>
      <c r="AA147" s="1">
        <v>39</v>
      </c>
      <c r="AB147" s="1">
        <v>84</v>
      </c>
      <c r="AC147" s="1">
        <v>100</v>
      </c>
      <c r="AD147" s="1">
        <v>67</v>
      </c>
      <c r="AE147" s="1">
        <v>16</v>
      </c>
      <c r="AF147" s="18">
        <f t="shared" si="2"/>
        <v>72.400000000000006</v>
      </c>
    </row>
    <row r="148" spans="1:32" x14ac:dyDescent="0.35">
      <c r="A148" s="1" t="s">
        <v>115</v>
      </c>
      <c r="B148" s="1">
        <v>42</v>
      </c>
      <c r="C148" s="1">
        <v>93</v>
      </c>
      <c r="D148" s="1">
        <v>24</v>
      </c>
      <c r="E148" s="1">
        <v>50</v>
      </c>
      <c r="F148" s="1">
        <v>110</v>
      </c>
      <c r="G148" s="1">
        <v>16</v>
      </c>
      <c r="H148" s="1">
        <v>53</v>
      </c>
      <c r="I148" s="1">
        <v>31</v>
      </c>
      <c r="J148" s="1">
        <v>77</v>
      </c>
      <c r="K148" s="1">
        <v>56</v>
      </c>
      <c r="L148" s="1">
        <v>36</v>
      </c>
      <c r="M148" s="1">
        <v>28</v>
      </c>
      <c r="N148" s="1">
        <v>134</v>
      </c>
      <c r="O148" s="1">
        <v>46</v>
      </c>
      <c r="P148" s="1">
        <v>16</v>
      </c>
      <c r="Q148" s="1">
        <v>138</v>
      </c>
      <c r="R148" s="1">
        <v>46</v>
      </c>
      <c r="S148" s="1">
        <v>70</v>
      </c>
      <c r="T148" s="1">
        <v>119</v>
      </c>
      <c r="U148" s="1">
        <v>41</v>
      </c>
      <c r="V148" s="1">
        <v>81</v>
      </c>
      <c r="W148" s="1">
        <v>37</v>
      </c>
      <c r="X148" s="1">
        <v>36</v>
      </c>
      <c r="Y148" s="1">
        <v>20</v>
      </c>
      <c r="Z148" s="1">
        <v>47</v>
      </c>
      <c r="AA148" s="1">
        <v>104</v>
      </c>
      <c r="AB148" s="1">
        <v>42</v>
      </c>
      <c r="AC148" s="1">
        <v>69</v>
      </c>
      <c r="AD148" s="1">
        <v>220</v>
      </c>
      <c r="AE148" s="1">
        <v>21</v>
      </c>
      <c r="AF148" s="18">
        <f t="shared" si="2"/>
        <v>63.43333333333333</v>
      </c>
    </row>
    <row r="149" spans="1:32" x14ac:dyDescent="0.35">
      <c r="A149" s="1" t="s">
        <v>190</v>
      </c>
      <c r="B149" s="1">
        <v>56</v>
      </c>
      <c r="C149" s="1">
        <v>17</v>
      </c>
      <c r="D149" s="1">
        <v>39</v>
      </c>
      <c r="E149" s="1">
        <v>40</v>
      </c>
      <c r="F149" s="1">
        <v>75</v>
      </c>
      <c r="G149" s="1">
        <v>40</v>
      </c>
      <c r="H149" s="1">
        <v>28</v>
      </c>
      <c r="I149" s="1">
        <v>35</v>
      </c>
      <c r="J149" s="1">
        <v>59</v>
      </c>
      <c r="K149" s="1">
        <v>14</v>
      </c>
      <c r="L149" s="1">
        <v>71</v>
      </c>
      <c r="M149" s="1">
        <v>66</v>
      </c>
      <c r="N149" s="1">
        <v>28</v>
      </c>
      <c r="O149" s="1">
        <v>13</v>
      </c>
      <c r="P149" s="1">
        <v>13</v>
      </c>
      <c r="Q149" s="1">
        <v>118</v>
      </c>
      <c r="R149" s="1">
        <v>14</v>
      </c>
      <c r="S149" s="1">
        <v>25</v>
      </c>
      <c r="T149" s="1">
        <v>15</v>
      </c>
      <c r="U149" s="1">
        <v>21</v>
      </c>
      <c r="V149" s="1">
        <v>128</v>
      </c>
      <c r="W149" s="1">
        <v>68</v>
      </c>
      <c r="X149" s="1">
        <v>25</v>
      </c>
      <c r="Y149" s="1">
        <v>24</v>
      </c>
      <c r="Z149" s="1">
        <v>15</v>
      </c>
      <c r="AA149" s="1">
        <v>51</v>
      </c>
      <c r="AB149" s="1">
        <v>28</v>
      </c>
      <c r="AC149" s="1">
        <v>38</v>
      </c>
      <c r="AD149" s="1">
        <v>48</v>
      </c>
      <c r="AE149" s="1">
        <v>27</v>
      </c>
      <c r="AF149" s="18">
        <f t="shared" si="2"/>
        <v>41.3</v>
      </c>
    </row>
    <row r="150" spans="1:32" x14ac:dyDescent="0.35">
      <c r="A150" s="1" t="s">
        <v>116</v>
      </c>
      <c r="B150" s="1">
        <v>63</v>
      </c>
      <c r="C150" s="1">
        <v>23</v>
      </c>
      <c r="D150" s="1">
        <v>25</v>
      </c>
      <c r="E150" s="1">
        <v>14</v>
      </c>
      <c r="F150" s="1">
        <v>12</v>
      </c>
      <c r="G150" s="1">
        <v>13</v>
      </c>
      <c r="H150" s="1">
        <v>31</v>
      </c>
      <c r="I150" s="1">
        <v>29</v>
      </c>
      <c r="J150" s="1">
        <v>42</v>
      </c>
      <c r="K150" s="1">
        <v>65</v>
      </c>
      <c r="L150" s="1">
        <v>29</v>
      </c>
      <c r="M150" s="1">
        <v>16</v>
      </c>
      <c r="N150" s="1">
        <v>25</v>
      </c>
      <c r="O150" s="1">
        <v>35</v>
      </c>
      <c r="P150" s="1">
        <v>48</v>
      </c>
      <c r="Q150" s="1">
        <v>131</v>
      </c>
      <c r="R150" s="1">
        <v>54</v>
      </c>
      <c r="S150" s="1">
        <v>22</v>
      </c>
      <c r="T150" s="1">
        <v>18</v>
      </c>
      <c r="U150" s="1">
        <v>21</v>
      </c>
      <c r="V150" s="1">
        <v>37</v>
      </c>
      <c r="W150" s="1">
        <v>82</v>
      </c>
      <c r="X150" s="1">
        <v>20</v>
      </c>
      <c r="Y150" s="1">
        <v>55</v>
      </c>
      <c r="Z150" s="1">
        <v>39</v>
      </c>
      <c r="AA150" s="1">
        <v>15</v>
      </c>
      <c r="AB150" s="1">
        <v>23</v>
      </c>
      <c r="AC150" s="1">
        <v>95</v>
      </c>
      <c r="AD150" s="1">
        <v>17</v>
      </c>
      <c r="AE150" s="1">
        <v>28</v>
      </c>
      <c r="AF150" s="18">
        <f t="shared" si="2"/>
        <v>37.56666666666667</v>
      </c>
    </row>
    <row r="151" spans="1:32" x14ac:dyDescent="0.35">
      <c r="A151" s="1" t="s">
        <v>197</v>
      </c>
      <c r="B151" s="1">
        <v>66</v>
      </c>
      <c r="C151" s="1">
        <v>181</v>
      </c>
      <c r="D151" s="1">
        <v>45</v>
      </c>
      <c r="E151" s="1">
        <v>28</v>
      </c>
      <c r="F151" s="1">
        <v>19</v>
      </c>
      <c r="G151" s="1">
        <v>96</v>
      </c>
      <c r="H151" s="1">
        <v>72</v>
      </c>
      <c r="I151" s="1">
        <v>67</v>
      </c>
      <c r="J151" s="1">
        <v>53</v>
      </c>
      <c r="K151" s="1">
        <v>20</v>
      </c>
      <c r="L151" s="1">
        <v>21</v>
      </c>
      <c r="M151" s="1">
        <v>45</v>
      </c>
      <c r="N151" s="1">
        <v>102</v>
      </c>
      <c r="O151" s="1">
        <v>127</v>
      </c>
      <c r="P151" s="1">
        <v>29</v>
      </c>
      <c r="Q151" s="1">
        <v>221</v>
      </c>
      <c r="R151" s="1">
        <v>56</v>
      </c>
      <c r="S151" s="1">
        <v>21</v>
      </c>
      <c r="T151" s="1">
        <v>28</v>
      </c>
      <c r="U151" s="1">
        <v>21</v>
      </c>
      <c r="V151" s="1">
        <v>58</v>
      </c>
      <c r="W151" s="1">
        <v>30</v>
      </c>
      <c r="X151" s="1">
        <v>18</v>
      </c>
      <c r="Y151" s="1">
        <v>57</v>
      </c>
      <c r="Z151" s="1">
        <v>105</v>
      </c>
      <c r="AA151" s="1">
        <v>59</v>
      </c>
      <c r="AB151" s="1">
        <v>18</v>
      </c>
      <c r="AC151" s="1">
        <v>32</v>
      </c>
      <c r="AD151" s="1">
        <v>43</v>
      </c>
      <c r="AE151" s="1">
        <v>44</v>
      </c>
      <c r="AF151" s="18">
        <f t="shared" si="2"/>
        <v>59.4</v>
      </c>
    </row>
    <row r="152" spans="1:32" x14ac:dyDescent="0.35">
      <c r="A152" s="1" t="s">
        <v>117</v>
      </c>
      <c r="B152" s="1">
        <v>22</v>
      </c>
      <c r="C152" s="1">
        <v>37</v>
      </c>
      <c r="D152" s="1">
        <v>14</v>
      </c>
      <c r="E152" s="1">
        <v>13</v>
      </c>
      <c r="F152" s="1">
        <v>18</v>
      </c>
      <c r="G152" s="1">
        <v>30</v>
      </c>
      <c r="H152" s="1">
        <v>15</v>
      </c>
      <c r="I152" s="1">
        <v>63</v>
      </c>
      <c r="J152" s="1">
        <v>22</v>
      </c>
      <c r="K152" s="1">
        <v>95</v>
      </c>
      <c r="L152" s="1">
        <v>36</v>
      </c>
      <c r="M152" s="1">
        <v>78</v>
      </c>
      <c r="N152" s="1">
        <v>18</v>
      </c>
      <c r="O152" s="1">
        <v>37</v>
      </c>
      <c r="P152" s="1">
        <v>83</v>
      </c>
      <c r="Q152" s="1">
        <v>56</v>
      </c>
      <c r="R152" s="1">
        <v>29</v>
      </c>
      <c r="S152" s="1">
        <v>92</v>
      </c>
      <c r="T152" s="1">
        <v>13</v>
      </c>
      <c r="U152" s="1">
        <v>19</v>
      </c>
      <c r="V152" s="1">
        <v>68</v>
      </c>
      <c r="W152" s="1">
        <v>99</v>
      </c>
      <c r="X152" s="1">
        <v>28</v>
      </c>
      <c r="Y152" s="1">
        <v>42</v>
      </c>
      <c r="Z152" s="1">
        <v>54</v>
      </c>
      <c r="AA152" s="1">
        <v>35</v>
      </c>
      <c r="AB152" s="1">
        <v>35</v>
      </c>
      <c r="AC152" s="1">
        <v>20</v>
      </c>
      <c r="AD152" s="1">
        <v>105</v>
      </c>
      <c r="AE152" s="1">
        <v>16</v>
      </c>
      <c r="AF152" s="18">
        <f t="shared" si="2"/>
        <v>43.06666666666667</v>
      </c>
    </row>
    <row r="153" spans="1:32" x14ac:dyDescent="0.35">
      <c r="A153" s="1" t="s">
        <v>198</v>
      </c>
      <c r="B153" s="1">
        <v>53</v>
      </c>
      <c r="C153" s="1">
        <v>20</v>
      </c>
      <c r="D153" s="1">
        <v>43</v>
      </c>
      <c r="E153" s="1">
        <v>41</v>
      </c>
      <c r="F153" s="1">
        <v>66</v>
      </c>
      <c r="G153" s="1">
        <v>30</v>
      </c>
      <c r="H153" s="1">
        <v>98</v>
      </c>
      <c r="I153" s="1">
        <v>88</v>
      </c>
      <c r="J153" s="1">
        <v>23</v>
      </c>
      <c r="K153" s="1">
        <v>18</v>
      </c>
      <c r="L153" s="1">
        <v>28</v>
      </c>
      <c r="M153" s="1">
        <v>89</v>
      </c>
      <c r="N153" s="1">
        <v>26</v>
      </c>
      <c r="O153" s="1">
        <v>15</v>
      </c>
      <c r="P153" s="1">
        <v>59</v>
      </c>
      <c r="Q153" s="1">
        <v>62</v>
      </c>
      <c r="R153" s="1">
        <v>31</v>
      </c>
      <c r="S153" s="1">
        <v>61</v>
      </c>
      <c r="T153" s="1">
        <v>61</v>
      </c>
      <c r="U153" s="1">
        <v>129</v>
      </c>
      <c r="V153" s="1">
        <v>66</v>
      </c>
      <c r="W153" s="1">
        <v>89</v>
      </c>
      <c r="X153" s="1">
        <v>157</v>
      </c>
      <c r="Y153" s="1">
        <v>164</v>
      </c>
      <c r="Z153" s="1">
        <v>24</v>
      </c>
      <c r="AA153" s="1">
        <v>47</v>
      </c>
      <c r="AB153" s="1">
        <v>38</v>
      </c>
      <c r="AC153" s="1">
        <v>70</v>
      </c>
      <c r="AD153" s="1">
        <v>12</v>
      </c>
      <c r="AE153" s="1">
        <v>20</v>
      </c>
      <c r="AF153" s="18">
        <f t="shared" si="2"/>
        <v>57.6</v>
      </c>
    </row>
    <row r="154" spans="1:32" x14ac:dyDescent="0.35">
      <c r="A154" s="1" t="s">
        <v>118</v>
      </c>
      <c r="B154" s="1">
        <v>55</v>
      </c>
      <c r="C154" s="1">
        <v>20</v>
      </c>
      <c r="D154" s="1">
        <v>170</v>
      </c>
      <c r="E154" s="1">
        <v>12</v>
      </c>
      <c r="F154" s="1">
        <v>149</v>
      </c>
      <c r="G154" s="1">
        <v>54</v>
      </c>
      <c r="H154" s="1">
        <v>82</v>
      </c>
      <c r="I154" s="1">
        <v>24</v>
      </c>
      <c r="J154" s="1">
        <v>91</v>
      </c>
      <c r="K154" s="1">
        <v>86</v>
      </c>
      <c r="L154" s="1">
        <v>103</v>
      </c>
      <c r="M154" s="1">
        <v>91</v>
      </c>
      <c r="N154" s="1">
        <v>92</v>
      </c>
      <c r="O154" s="1">
        <v>21</v>
      </c>
      <c r="P154" s="1">
        <v>147</v>
      </c>
      <c r="Q154" s="1">
        <v>30</v>
      </c>
      <c r="R154" s="1">
        <v>182</v>
      </c>
      <c r="S154" s="1">
        <v>51</v>
      </c>
      <c r="T154" s="1">
        <v>54</v>
      </c>
      <c r="U154" s="1">
        <v>23</v>
      </c>
      <c r="V154" s="1">
        <v>102</v>
      </c>
      <c r="W154" s="1">
        <v>37</v>
      </c>
      <c r="X154" s="1">
        <v>63</v>
      </c>
      <c r="Y154" s="1">
        <v>33</v>
      </c>
      <c r="Z154" s="1">
        <v>106</v>
      </c>
      <c r="AA154" s="1">
        <v>90</v>
      </c>
      <c r="AB154" s="1">
        <v>303</v>
      </c>
      <c r="AC154" s="1">
        <v>125</v>
      </c>
      <c r="AD154" s="1">
        <v>22</v>
      </c>
      <c r="AE154" s="1">
        <v>19</v>
      </c>
      <c r="AF154" s="18">
        <f t="shared" si="2"/>
        <v>81.233333333333334</v>
      </c>
    </row>
    <row r="155" spans="1:32" x14ac:dyDescent="0.35">
      <c r="A155" s="1" t="s">
        <v>119</v>
      </c>
      <c r="B155" s="1">
        <v>21</v>
      </c>
      <c r="C155" s="1">
        <v>13</v>
      </c>
      <c r="D155" s="1">
        <v>41</v>
      </c>
      <c r="E155" s="1">
        <v>19</v>
      </c>
      <c r="F155" s="1">
        <v>16</v>
      </c>
      <c r="G155" s="1">
        <v>37</v>
      </c>
      <c r="H155" s="1">
        <v>74</v>
      </c>
      <c r="I155" s="1">
        <v>107</v>
      </c>
      <c r="J155" s="1">
        <v>17</v>
      </c>
      <c r="K155" s="1">
        <v>68</v>
      </c>
      <c r="L155" s="1">
        <v>19</v>
      </c>
      <c r="M155" s="1">
        <v>13</v>
      </c>
      <c r="N155" s="1">
        <v>23</v>
      </c>
      <c r="O155" s="1">
        <v>96</v>
      </c>
      <c r="P155" s="1">
        <v>58</v>
      </c>
      <c r="Q155" s="1">
        <v>104</v>
      </c>
      <c r="R155" s="1">
        <v>29</v>
      </c>
      <c r="S155" s="1">
        <v>39</v>
      </c>
      <c r="T155" s="1">
        <v>19</v>
      </c>
      <c r="U155" s="1">
        <v>75</v>
      </c>
      <c r="V155" s="1">
        <v>77</v>
      </c>
      <c r="W155" s="1">
        <v>15</v>
      </c>
      <c r="X155" s="1">
        <v>26</v>
      </c>
      <c r="Y155" s="1">
        <v>22</v>
      </c>
      <c r="Z155" s="1">
        <v>50</v>
      </c>
      <c r="AA155" s="1">
        <v>66</v>
      </c>
      <c r="AB155" s="1">
        <v>58</v>
      </c>
      <c r="AC155" s="1">
        <v>18</v>
      </c>
      <c r="AD155" s="1">
        <v>20</v>
      </c>
      <c r="AE155" s="1">
        <v>35</v>
      </c>
      <c r="AF155" s="18">
        <f t="shared" si="2"/>
        <v>42.5</v>
      </c>
    </row>
    <row r="156" spans="1:32" x14ac:dyDescent="0.35">
      <c r="A156" s="1" t="s">
        <v>191</v>
      </c>
      <c r="B156" s="1">
        <v>29</v>
      </c>
      <c r="C156" s="1">
        <v>41</v>
      </c>
      <c r="D156" s="1">
        <v>12</v>
      </c>
      <c r="E156" s="1">
        <v>46</v>
      </c>
      <c r="F156" s="1">
        <v>36</v>
      </c>
      <c r="G156" s="1">
        <v>56</v>
      </c>
      <c r="H156" s="1">
        <v>38</v>
      </c>
      <c r="I156" s="1">
        <v>37</v>
      </c>
      <c r="J156" s="1">
        <v>17</v>
      </c>
      <c r="K156" s="1">
        <v>112</v>
      </c>
      <c r="L156" s="1">
        <v>50</v>
      </c>
      <c r="M156" s="1">
        <v>24</v>
      </c>
      <c r="N156" s="1">
        <v>200</v>
      </c>
      <c r="O156" s="1">
        <v>16</v>
      </c>
      <c r="P156" s="1">
        <v>54</v>
      </c>
      <c r="Q156" s="1">
        <v>40</v>
      </c>
      <c r="R156" s="1">
        <v>14</v>
      </c>
      <c r="S156" s="1">
        <v>99</v>
      </c>
      <c r="T156" s="1">
        <v>20</v>
      </c>
      <c r="U156" s="1">
        <v>13</v>
      </c>
      <c r="V156" s="1">
        <v>145</v>
      </c>
      <c r="W156" s="1">
        <v>37</v>
      </c>
      <c r="X156" s="1">
        <v>69</v>
      </c>
      <c r="Y156" s="1">
        <v>37</v>
      </c>
      <c r="Z156" s="1">
        <v>17</v>
      </c>
      <c r="AA156" s="1">
        <v>231</v>
      </c>
      <c r="AB156" s="1">
        <v>223</v>
      </c>
      <c r="AC156" s="1">
        <v>156</v>
      </c>
      <c r="AD156" s="1">
        <v>53</v>
      </c>
      <c r="AE156" s="1">
        <v>76</v>
      </c>
      <c r="AF156" s="18">
        <f t="shared" si="2"/>
        <v>66.599999999999994</v>
      </c>
    </row>
    <row r="157" spans="1:32" x14ac:dyDescent="0.35">
      <c r="A157" s="1" t="s">
        <v>120</v>
      </c>
      <c r="B157" s="1">
        <v>147</v>
      </c>
      <c r="C157" s="1">
        <v>63</v>
      </c>
      <c r="D157" s="1">
        <v>35</v>
      </c>
      <c r="E157" s="1">
        <v>33</v>
      </c>
      <c r="F157" s="1">
        <v>37</v>
      </c>
      <c r="G157" s="1">
        <v>72</v>
      </c>
      <c r="H157" s="1">
        <v>72</v>
      </c>
      <c r="I157" s="1">
        <v>29</v>
      </c>
      <c r="J157" s="1">
        <v>13</v>
      </c>
      <c r="K157" s="1">
        <v>160</v>
      </c>
      <c r="L157" s="1">
        <v>103</v>
      </c>
      <c r="M157" s="1">
        <v>122</v>
      </c>
      <c r="N157" s="1">
        <v>30</v>
      </c>
      <c r="O157" s="1">
        <v>15</v>
      </c>
      <c r="P157" s="1">
        <v>156</v>
      </c>
      <c r="Q157" s="1">
        <v>73</v>
      </c>
      <c r="R157" s="1">
        <v>36</v>
      </c>
      <c r="S157" s="1">
        <v>64</v>
      </c>
      <c r="T157" s="1">
        <v>76</v>
      </c>
      <c r="U157" s="1">
        <v>36</v>
      </c>
      <c r="V157" s="1">
        <v>64</v>
      </c>
      <c r="W157" s="1">
        <v>60</v>
      </c>
      <c r="X157" s="1">
        <v>83</v>
      </c>
      <c r="Y157" s="1">
        <v>17</v>
      </c>
      <c r="Z157" s="1">
        <v>26</v>
      </c>
      <c r="AA157" s="1">
        <v>70</v>
      </c>
      <c r="AB157" s="1">
        <v>50</v>
      </c>
      <c r="AC157" s="1">
        <v>75</v>
      </c>
      <c r="AD157" s="1">
        <v>79</v>
      </c>
      <c r="AE157" s="1">
        <v>25</v>
      </c>
      <c r="AF157" s="18">
        <f t="shared" si="2"/>
        <v>64.033333333333331</v>
      </c>
    </row>
    <row r="158" spans="1:32" x14ac:dyDescent="0.35">
      <c r="A158" s="1" t="s">
        <v>121</v>
      </c>
      <c r="B158" s="1">
        <v>22</v>
      </c>
      <c r="C158" s="1">
        <v>27</v>
      </c>
      <c r="D158" s="1">
        <v>36</v>
      </c>
      <c r="E158" s="1">
        <v>23</v>
      </c>
      <c r="F158" s="1">
        <v>17</v>
      </c>
      <c r="G158" s="1">
        <v>60</v>
      </c>
      <c r="H158" s="1">
        <v>22</v>
      </c>
      <c r="I158" s="1">
        <v>66</v>
      </c>
      <c r="J158" s="1">
        <v>19</v>
      </c>
      <c r="K158" s="1">
        <v>32</v>
      </c>
      <c r="L158" s="1">
        <v>50</v>
      </c>
      <c r="M158" s="1">
        <v>151</v>
      </c>
      <c r="N158" s="1">
        <v>27</v>
      </c>
      <c r="O158" s="1">
        <v>21</v>
      </c>
      <c r="P158" s="1">
        <v>37</v>
      </c>
      <c r="Q158" s="1">
        <v>28</v>
      </c>
      <c r="R158" s="1">
        <v>14</v>
      </c>
      <c r="S158" s="1">
        <v>136</v>
      </c>
      <c r="T158" s="1">
        <v>43</v>
      </c>
      <c r="U158" s="1">
        <v>26</v>
      </c>
      <c r="V158" s="1">
        <v>25</v>
      </c>
      <c r="W158" s="1">
        <v>22</v>
      </c>
      <c r="X158" s="1">
        <v>62</v>
      </c>
      <c r="Y158" s="1">
        <v>17</v>
      </c>
      <c r="Z158" s="1">
        <v>41</v>
      </c>
      <c r="AA158" s="1">
        <v>21</v>
      </c>
      <c r="AB158" s="1">
        <v>33</v>
      </c>
      <c r="AC158" s="1">
        <v>28</v>
      </c>
      <c r="AD158" s="1">
        <v>30</v>
      </c>
      <c r="AE158" s="1">
        <v>25</v>
      </c>
      <c r="AF158" s="18">
        <f t="shared" si="2"/>
        <v>38.700000000000003</v>
      </c>
    </row>
    <row r="159" spans="1:32" x14ac:dyDescent="0.35">
      <c r="A159" s="1" t="s">
        <v>141</v>
      </c>
      <c r="B159" s="1">
        <v>22</v>
      </c>
      <c r="C159" s="1">
        <v>182</v>
      </c>
      <c r="D159" s="1">
        <v>28</v>
      </c>
      <c r="E159" s="1">
        <v>14</v>
      </c>
      <c r="F159" s="1">
        <v>96</v>
      </c>
      <c r="G159" s="1">
        <v>65</v>
      </c>
      <c r="H159" s="1">
        <v>80</v>
      </c>
      <c r="I159" s="1">
        <v>231</v>
      </c>
      <c r="J159" s="1">
        <v>45</v>
      </c>
      <c r="K159" s="1">
        <v>105</v>
      </c>
      <c r="L159" s="1">
        <v>35</v>
      </c>
      <c r="M159" s="1">
        <v>137</v>
      </c>
      <c r="N159" s="1">
        <v>131</v>
      </c>
      <c r="O159" s="1">
        <v>14</v>
      </c>
      <c r="P159" s="1">
        <v>12</v>
      </c>
      <c r="Q159" s="1">
        <v>43</v>
      </c>
      <c r="R159" s="1">
        <v>38</v>
      </c>
      <c r="S159" s="1">
        <v>25</v>
      </c>
      <c r="T159" s="1">
        <v>46</v>
      </c>
      <c r="U159" s="1">
        <v>106</v>
      </c>
      <c r="V159" s="1">
        <v>19</v>
      </c>
      <c r="W159" s="1">
        <v>117</v>
      </c>
      <c r="X159" s="1">
        <v>45</v>
      </c>
      <c r="Y159" s="1">
        <v>131</v>
      </c>
      <c r="Z159" s="1">
        <v>51</v>
      </c>
      <c r="AA159" s="1">
        <v>62</v>
      </c>
      <c r="AB159" s="1">
        <v>15</v>
      </c>
      <c r="AC159" s="1">
        <v>150</v>
      </c>
      <c r="AD159" s="1">
        <v>40</v>
      </c>
      <c r="AE159" s="1">
        <v>19</v>
      </c>
      <c r="AF159" s="18">
        <f t="shared" si="2"/>
        <v>70.13333333333334</v>
      </c>
    </row>
    <row r="160" spans="1:32" x14ac:dyDescent="0.35">
      <c r="A160" s="1" t="s">
        <v>122</v>
      </c>
      <c r="B160" s="1">
        <v>51</v>
      </c>
      <c r="C160" s="1">
        <v>51</v>
      </c>
      <c r="D160" s="1">
        <v>47</v>
      </c>
      <c r="E160" s="1">
        <v>50</v>
      </c>
      <c r="F160" s="1">
        <v>39</v>
      </c>
      <c r="G160" s="1">
        <v>122</v>
      </c>
      <c r="H160" s="1">
        <v>43</v>
      </c>
      <c r="I160" s="1">
        <v>72</v>
      </c>
      <c r="J160" s="1">
        <v>45</v>
      </c>
      <c r="K160" s="1">
        <v>33</v>
      </c>
      <c r="L160" s="1">
        <v>28</v>
      </c>
      <c r="M160" s="1">
        <v>52</v>
      </c>
      <c r="N160" s="1">
        <v>31</v>
      </c>
      <c r="O160" s="1">
        <v>44</v>
      </c>
      <c r="P160" s="1">
        <v>41</v>
      </c>
      <c r="Q160" s="1">
        <v>28</v>
      </c>
      <c r="R160" s="1">
        <v>174</v>
      </c>
      <c r="S160" s="1">
        <v>57</v>
      </c>
      <c r="T160" s="1">
        <v>66</v>
      </c>
      <c r="U160" s="1">
        <v>77</v>
      </c>
      <c r="V160" s="1">
        <v>14</v>
      </c>
      <c r="W160" s="1">
        <v>12</v>
      </c>
      <c r="X160" s="1">
        <v>23</v>
      </c>
      <c r="Y160" s="1">
        <v>57</v>
      </c>
      <c r="Z160" s="1">
        <v>103</v>
      </c>
      <c r="AA160" s="1">
        <v>102</v>
      </c>
      <c r="AB160" s="1">
        <v>82</v>
      </c>
      <c r="AC160" s="1">
        <v>21</v>
      </c>
      <c r="AD160" s="1">
        <v>30</v>
      </c>
      <c r="AE160" s="1">
        <v>148</v>
      </c>
      <c r="AF160" s="18">
        <f t="shared" si="2"/>
        <v>58.1</v>
      </c>
    </row>
    <row r="161" spans="1:32" x14ac:dyDescent="0.35">
      <c r="A161" s="1" t="s">
        <v>165</v>
      </c>
      <c r="B161" s="1">
        <v>34</v>
      </c>
      <c r="C161" s="1">
        <v>51</v>
      </c>
      <c r="D161" s="1">
        <v>13</v>
      </c>
      <c r="E161" s="1">
        <v>49</v>
      </c>
      <c r="F161" s="1">
        <v>21</v>
      </c>
      <c r="G161" s="1">
        <v>27</v>
      </c>
      <c r="H161" s="1">
        <v>43</v>
      </c>
      <c r="I161" s="1">
        <v>17</v>
      </c>
      <c r="J161" s="1">
        <v>59</v>
      </c>
      <c r="K161" s="1">
        <v>29</v>
      </c>
      <c r="L161" s="1">
        <v>42</v>
      </c>
      <c r="M161" s="1">
        <v>17</v>
      </c>
      <c r="N161" s="1">
        <v>59</v>
      </c>
      <c r="O161" s="1">
        <v>75</v>
      </c>
      <c r="P161" s="1">
        <v>24</v>
      </c>
      <c r="Q161" s="1">
        <v>179</v>
      </c>
      <c r="R161" s="1">
        <v>21</v>
      </c>
      <c r="S161" s="1">
        <v>158</v>
      </c>
      <c r="T161" s="1">
        <v>49</v>
      </c>
      <c r="U161" s="1">
        <v>30</v>
      </c>
      <c r="V161" s="1">
        <v>27</v>
      </c>
      <c r="W161" s="1">
        <v>15</v>
      </c>
      <c r="X161" s="1">
        <v>12</v>
      </c>
      <c r="Y161" s="1">
        <v>21</v>
      </c>
      <c r="Z161" s="1">
        <v>19</v>
      </c>
      <c r="AA161" s="1">
        <v>74</v>
      </c>
      <c r="AB161" s="1">
        <v>16</v>
      </c>
      <c r="AC161" s="1">
        <v>30</v>
      </c>
      <c r="AD161" s="1">
        <v>32</v>
      </c>
      <c r="AE161" s="1">
        <v>61</v>
      </c>
      <c r="AF161" s="18">
        <f t="shared" si="2"/>
        <v>43.466666666666669</v>
      </c>
    </row>
    <row r="162" spans="1:32" x14ac:dyDescent="0.35">
      <c r="A162" s="1" t="s">
        <v>123</v>
      </c>
      <c r="B162" s="1">
        <v>19</v>
      </c>
      <c r="C162" s="1">
        <v>81</v>
      </c>
      <c r="D162" s="1">
        <v>152</v>
      </c>
      <c r="E162" s="1">
        <v>26</v>
      </c>
      <c r="F162" s="1">
        <v>48</v>
      </c>
      <c r="G162" s="1">
        <v>34</v>
      </c>
      <c r="H162" s="1">
        <v>95</v>
      </c>
      <c r="I162" s="1">
        <v>109</v>
      </c>
      <c r="J162" s="1">
        <v>121</v>
      </c>
      <c r="K162" s="1">
        <v>22</v>
      </c>
      <c r="L162" s="1">
        <v>45</v>
      </c>
      <c r="M162" s="1">
        <v>17</v>
      </c>
      <c r="N162" s="1">
        <v>21</v>
      </c>
      <c r="O162" s="1">
        <v>35</v>
      </c>
      <c r="P162" s="1">
        <v>25</v>
      </c>
      <c r="Q162" s="1">
        <v>14</v>
      </c>
      <c r="R162" s="1">
        <v>236</v>
      </c>
      <c r="S162" s="1">
        <v>132</v>
      </c>
      <c r="T162" s="1">
        <v>43</v>
      </c>
      <c r="U162" s="1">
        <v>37</v>
      </c>
      <c r="V162" s="1">
        <v>198</v>
      </c>
      <c r="W162" s="1">
        <v>109</v>
      </c>
      <c r="X162" s="1">
        <v>57</v>
      </c>
      <c r="Y162" s="1">
        <v>16</v>
      </c>
      <c r="Z162" s="1">
        <v>60</v>
      </c>
      <c r="AA162" s="1">
        <v>94</v>
      </c>
      <c r="AB162" s="1">
        <v>55</v>
      </c>
      <c r="AC162" s="1">
        <v>46</v>
      </c>
      <c r="AD162" s="1">
        <v>21</v>
      </c>
      <c r="AE162" s="1">
        <v>17</v>
      </c>
      <c r="AF162" s="18">
        <f t="shared" si="2"/>
        <v>66.166666666666671</v>
      </c>
    </row>
    <row r="163" spans="1:32" x14ac:dyDescent="0.35">
      <c r="A163" s="1" t="s">
        <v>124</v>
      </c>
      <c r="B163" s="1">
        <v>34</v>
      </c>
      <c r="C163" s="1">
        <v>21</v>
      </c>
      <c r="D163" s="1">
        <v>34</v>
      </c>
      <c r="E163" s="1">
        <v>73</v>
      </c>
      <c r="F163" s="1">
        <v>63</v>
      </c>
      <c r="G163" s="1">
        <v>22</v>
      </c>
      <c r="H163" s="1">
        <v>67</v>
      </c>
      <c r="I163" s="1">
        <v>45</v>
      </c>
      <c r="J163" s="1">
        <v>19</v>
      </c>
      <c r="K163" s="1">
        <v>23</v>
      </c>
      <c r="L163" s="1">
        <v>65</v>
      </c>
      <c r="M163" s="1">
        <v>86</v>
      </c>
      <c r="N163" s="1">
        <v>89</v>
      </c>
      <c r="O163" s="1">
        <v>17</v>
      </c>
      <c r="P163" s="1">
        <v>52</v>
      </c>
      <c r="Q163" s="1">
        <v>71</v>
      </c>
      <c r="R163" s="1">
        <v>30</v>
      </c>
      <c r="S163" s="1">
        <v>101</v>
      </c>
      <c r="T163" s="1">
        <v>27</v>
      </c>
      <c r="U163" s="1">
        <v>40</v>
      </c>
      <c r="V163" s="1">
        <v>33</v>
      </c>
      <c r="W163" s="1">
        <v>84</v>
      </c>
      <c r="X163" s="1">
        <v>225</v>
      </c>
      <c r="Y163" s="1">
        <v>15</v>
      </c>
      <c r="Z163" s="1">
        <v>29</v>
      </c>
      <c r="AA163" s="1">
        <v>13</v>
      </c>
      <c r="AB163" s="1">
        <v>12</v>
      </c>
      <c r="AC163" s="1">
        <v>34</v>
      </c>
      <c r="AD163" s="1">
        <v>15</v>
      </c>
      <c r="AE163" s="1">
        <v>46</v>
      </c>
      <c r="AF163" s="18">
        <f t="shared" si="2"/>
        <v>49.5</v>
      </c>
    </row>
    <row r="164" spans="1:32" x14ac:dyDescent="0.35">
      <c r="A164" s="1" t="s">
        <v>125</v>
      </c>
      <c r="B164" s="1">
        <v>124</v>
      </c>
      <c r="C164" s="1">
        <v>48</v>
      </c>
      <c r="D164" s="1">
        <v>15</v>
      </c>
      <c r="E164" s="1">
        <v>27</v>
      </c>
      <c r="F164" s="1">
        <v>47</v>
      </c>
      <c r="G164" s="1">
        <v>12</v>
      </c>
      <c r="H164" s="1">
        <v>83</v>
      </c>
      <c r="I164" s="1">
        <v>45</v>
      </c>
      <c r="J164" s="1">
        <v>44</v>
      </c>
      <c r="K164" s="1">
        <v>30</v>
      </c>
      <c r="L164" s="1">
        <v>127</v>
      </c>
      <c r="M164" s="1">
        <v>22</v>
      </c>
      <c r="N164" s="1">
        <v>90</v>
      </c>
      <c r="O164" s="1">
        <v>106</v>
      </c>
      <c r="P164" s="1">
        <v>60</v>
      </c>
      <c r="Q164" s="1">
        <v>24</v>
      </c>
      <c r="R164" s="1">
        <v>39</v>
      </c>
      <c r="S164" s="1">
        <v>16</v>
      </c>
      <c r="T164" s="1">
        <v>24</v>
      </c>
      <c r="U164" s="1">
        <v>34</v>
      </c>
      <c r="V164" s="1">
        <v>83</v>
      </c>
      <c r="W164" s="1">
        <v>26</v>
      </c>
      <c r="X164" s="1">
        <v>69</v>
      </c>
      <c r="Y164" s="1">
        <v>31</v>
      </c>
      <c r="Z164" s="1">
        <v>50</v>
      </c>
      <c r="AA164" s="1">
        <v>17</v>
      </c>
      <c r="AB164" s="1">
        <v>57</v>
      </c>
      <c r="AC164" s="1">
        <v>75</v>
      </c>
      <c r="AD164" s="1">
        <v>21</v>
      </c>
      <c r="AE164" s="1">
        <v>31</v>
      </c>
      <c r="AF164" s="18">
        <f t="shared" si="2"/>
        <v>49.233333333333334</v>
      </c>
    </row>
    <row r="165" spans="1:32" x14ac:dyDescent="0.35">
      <c r="A165" s="1" t="s">
        <v>126</v>
      </c>
      <c r="B165" s="1">
        <v>75</v>
      </c>
      <c r="C165" s="1">
        <v>75</v>
      </c>
      <c r="D165" s="1">
        <v>36</v>
      </c>
      <c r="E165" s="1">
        <v>14</v>
      </c>
      <c r="F165" s="1">
        <v>57</v>
      </c>
      <c r="G165" s="1">
        <v>26</v>
      </c>
      <c r="H165" s="1">
        <v>52</v>
      </c>
      <c r="I165" s="1">
        <v>15</v>
      </c>
      <c r="J165" s="1">
        <v>49</v>
      </c>
      <c r="K165" s="1">
        <v>30</v>
      </c>
      <c r="L165" s="1">
        <v>33</v>
      </c>
      <c r="M165" s="1">
        <v>18</v>
      </c>
      <c r="N165" s="1">
        <v>36</v>
      </c>
      <c r="O165" s="1">
        <v>14</v>
      </c>
      <c r="P165" s="1">
        <v>52</v>
      </c>
      <c r="Q165" s="1">
        <v>20</v>
      </c>
      <c r="R165" s="1">
        <v>20</v>
      </c>
      <c r="S165" s="1">
        <v>70</v>
      </c>
      <c r="T165" s="1">
        <v>48</v>
      </c>
      <c r="U165" s="1">
        <v>70</v>
      </c>
      <c r="V165" s="1">
        <v>19</v>
      </c>
      <c r="W165" s="1">
        <v>66</v>
      </c>
      <c r="X165" s="1">
        <v>19</v>
      </c>
      <c r="Y165" s="1">
        <v>56</v>
      </c>
      <c r="Z165" s="1">
        <v>16</v>
      </c>
      <c r="AA165" s="1">
        <v>21</v>
      </c>
      <c r="AB165" s="1">
        <v>45</v>
      </c>
      <c r="AC165" s="1">
        <v>15</v>
      </c>
      <c r="AD165" s="1">
        <v>43</v>
      </c>
      <c r="AE165" s="1">
        <v>17</v>
      </c>
      <c r="AF165" s="18">
        <f t="shared" si="2"/>
        <v>37.56666666666667</v>
      </c>
    </row>
    <row r="166" spans="1:32" x14ac:dyDescent="0.35">
      <c r="A166" s="1" t="s">
        <v>127</v>
      </c>
      <c r="B166" s="1">
        <v>156</v>
      </c>
      <c r="C166" s="1">
        <v>18</v>
      </c>
      <c r="D166" s="1">
        <v>30</v>
      </c>
      <c r="E166" s="1">
        <v>82</v>
      </c>
      <c r="F166" s="1">
        <v>50</v>
      </c>
      <c r="G166" s="1">
        <v>88</v>
      </c>
      <c r="H166" s="1">
        <v>70</v>
      </c>
      <c r="I166" s="1">
        <v>29</v>
      </c>
      <c r="J166" s="1">
        <v>70</v>
      </c>
      <c r="K166" s="1">
        <v>81</v>
      </c>
      <c r="L166" s="1">
        <v>30</v>
      </c>
      <c r="M166" s="1">
        <v>83</v>
      </c>
      <c r="N166" s="1">
        <v>66</v>
      </c>
      <c r="O166" s="1">
        <v>46</v>
      </c>
      <c r="P166" s="1">
        <v>16</v>
      </c>
      <c r="Q166" s="1">
        <v>34</v>
      </c>
      <c r="R166" s="1">
        <v>39</v>
      </c>
      <c r="S166" s="1">
        <v>106</v>
      </c>
      <c r="T166" s="1">
        <v>18</v>
      </c>
      <c r="U166" s="1">
        <v>21</v>
      </c>
      <c r="V166" s="1">
        <v>159</v>
      </c>
      <c r="W166" s="1">
        <v>81</v>
      </c>
      <c r="X166" s="1">
        <v>48</v>
      </c>
      <c r="Y166" s="1">
        <v>110</v>
      </c>
      <c r="Z166" s="1">
        <v>63</v>
      </c>
      <c r="AA166" s="1">
        <v>46</v>
      </c>
      <c r="AB166" s="1">
        <v>78</v>
      </c>
      <c r="AC166" s="1">
        <v>32</v>
      </c>
      <c r="AD166" s="1">
        <v>37</v>
      </c>
      <c r="AE166" s="1">
        <v>19</v>
      </c>
      <c r="AF166" s="18">
        <f t="shared" si="2"/>
        <v>60.2</v>
      </c>
    </row>
    <row r="167" spans="1:32" x14ac:dyDescent="0.35">
      <c r="A167" s="1" t="s">
        <v>128</v>
      </c>
      <c r="B167" s="1">
        <v>38</v>
      </c>
      <c r="C167" s="1">
        <v>60</v>
      </c>
      <c r="D167" s="1">
        <v>28</v>
      </c>
      <c r="E167" s="1">
        <v>129</v>
      </c>
      <c r="F167" s="1">
        <v>62</v>
      </c>
      <c r="G167" s="1">
        <v>61</v>
      </c>
      <c r="H167" s="1">
        <v>32</v>
      </c>
      <c r="I167" s="1">
        <v>130</v>
      </c>
      <c r="J167" s="1">
        <v>60</v>
      </c>
      <c r="K167" s="1">
        <v>52</v>
      </c>
      <c r="L167" s="1">
        <v>30</v>
      </c>
      <c r="M167" s="1">
        <v>211</v>
      </c>
      <c r="N167" s="1">
        <v>96</v>
      </c>
      <c r="O167" s="1">
        <v>96</v>
      </c>
      <c r="P167" s="1">
        <v>139</v>
      </c>
      <c r="Q167" s="1">
        <v>129</v>
      </c>
      <c r="R167" s="1">
        <v>19</v>
      </c>
      <c r="S167" s="1">
        <v>76</v>
      </c>
      <c r="T167" s="1">
        <v>27</v>
      </c>
      <c r="U167" s="1">
        <v>34</v>
      </c>
      <c r="V167" s="1">
        <v>88</v>
      </c>
      <c r="W167" s="1">
        <v>20</v>
      </c>
      <c r="X167" s="1">
        <v>17</v>
      </c>
      <c r="Y167" s="1">
        <v>30</v>
      </c>
      <c r="Z167" s="1">
        <v>128</v>
      </c>
      <c r="AA167" s="1">
        <v>90</v>
      </c>
      <c r="AB167" s="1">
        <v>141</v>
      </c>
      <c r="AC167" s="1">
        <v>24</v>
      </c>
      <c r="AD167" s="1">
        <v>138</v>
      </c>
      <c r="AE167" s="1">
        <v>75</v>
      </c>
      <c r="AF167" s="18">
        <f t="shared" si="2"/>
        <v>75.333333333333329</v>
      </c>
    </row>
    <row r="168" spans="1:32" x14ac:dyDescent="0.35">
      <c r="A168" s="1" t="s">
        <v>156</v>
      </c>
      <c r="B168" s="1">
        <v>56</v>
      </c>
      <c r="C168" s="1">
        <v>86</v>
      </c>
      <c r="D168" s="1">
        <v>163</v>
      </c>
      <c r="E168" s="1">
        <v>189</v>
      </c>
      <c r="F168" s="1">
        <v>79</v>
      </c>
      <c r="G168" s="1">
        <v>61</v>
      </c>
      <c r="H168" s="1">
        <v>41</v>
      </c>
      <c r="I168" s="1">
        <v>15</v>
      </c>
      <c r="J168" s="1">
        <v>19</v>
      </c>
      <c r="K168" s="1">
        <v>82</v>
      </c>
      <c r="L168" s="1">
        <v>31</v>
      </c>
      <c r="M168" s="1">
        <v>87</v>
      </c>
      <c r="N168" s="1">
        <v>28</v>
      </c>
      <c r="O168" s="1">
        <v>92</v>
      </c>
      <c r="P168" s="1">
        <v>97</v>
      </c>
      <c r="Q168" s="1">
        <v>63</v>
      </c>
      <c r="R168" s="1">
        <v>20</v>
      </c>
      <c r="S168" s="1">
        <v>34</v>
      </c>
      <c r="T168" s="1">
        <v>37</v>
      </c>
      <c r="U168" s="1">
        <v>51</v>
      </c>
      <c r="V168" s="1">
        <v>30</v>
      </c>
      <c r="W168" s="1">
        <v>47</v>
      </c>
      <c r="X168" s="1">
        <v>37</v>
      </c>
      <c r="Y168" s="1">
        <v>78</v>
      </c>
      <c r="Z168" s="1">
        <v>35</v>
      </c>
      <c r="AA168" s="1">
        <v>256</v>
      </c>
      <c r="AB168" s="1">
        <v>33</v>
      </c>
      <c r="AC168" s="1">
        <v>53</v>
      </c>
      <c r="AD168" s="1">
        <v>88</v>
      </c>
      <c r="AE168" s="1">
        <v>89</v>
      </c>
      <c r="AF168" s="18">
        <f t="shared" si="2"/>
        <v>69.233333333333334</v>
      </c>
    </row>
    <row r="169" spans="1:32" x14ac:dyDescent="0.35">
      <c r="A169" s="1" t="s">
        <v>129</v>
      </c>
      <c r="B169" s="1">
        <v>53</v>
      </c>
      <c r="C169" s="1">
        <v>20</v>
      </c>
      <c r="D169" s="1">
        <v>186</v>
      </c>
      <c r="E169" s="1">
        <v>20</v>
      </c>
      <c r="F169" s="1">
        <v>80</v>
      </c>
      <c r="G169" s="1">
        <v>15</v>
      </c>
      <c r="H169" s="1">
        <v>45</v>
      </c>
      <c r="I169" s="1">
        <v>34</v>
      </c>
      <c r="J169" s="1">
        <v>40</v>
      </c>
      <c r="K169" s="1">
        <v>48</v>
      </c>
      <c r="L169" s="1">
        <v>49</v>
      </c>
      <c r="M169" s="1">
        <v>87</v>
      </c>
      <c r="N169" s="1">
        <v>68</v>
      </c>
      <c r="O169" s="1">
        <v>45</v>
      </c>
      <c r="P169" s="1">
        <v>22</v>
      </c>
      <c r="Q169" s="1">
        <v>114</v>
      </c>
      <c r="R169" s="1">
        <v>15</v>
      </c>
      <c r="S169" s="1">
        <v>12</v>
      </c>
      <c r="T169" s="1">
        <v>40</v>
      </c>
      <c r="U169" s="1">
        <v>52</v>
      </c>
      <c r="V169" s="1">
        <v>266</v>
      </c>
      <c r="W169" s="1">
        <v>15</v>
      </c>
      <c r="X169" s="1">
        <v>14</v>
      </c>
      <c r="Y169" s="1">
        <v>197</v>
      </c>
      <c r="Z169" s="1">
        <v>45</v>
      </c>
      <c r="AA169" s="1">
        <v>170</v>
      </c>
      <c r="AB169" s="1">
        <v>86</v>
      </c>
      <c r="AC169" s="1">
        <v>135</v>
      </c>
      <c r="AD169" s="1">
        <v>279</v>
      </c>
      <c r="AE169" s="1">
        <v>88</v>
      </c>
      <c r="AF169" s="18">
        <f t="shared" si="2"/>
        <v>78</v>
      </c>
    </row>
    <row r="170" spans="1:32" x14ac:dyDescent="0.35">
      <c r="A170" s="1" t="s">
        <v>130</v>
      </c>
      <c r="B170" s="1">
        <v>62</v>
      </c>
      <c r="C170" s="1">
        <v>41</v>
      </c>
      <c r="D170" s="1">
        <v>82</v>
      </c>
      <c r="E170" s="1">
        <v>115</v>
      </c>
      <c r="F170" s="1">
        <v>41</v>
      </c>
      <c r="G170" s="1">
        <v>98</v>
      </c>
      <c r="H170" s="1">
        <v>46</v>
      </c>
      <c r="I170" s="1">
        <v>43</v>
      </c>
      <c r="J170" s="1">
        <v>29</v>
      </c>
      <c r="K170" s="1">
        <v>58</v>
      </c>
      <c r="L170" s="1">
        <v>175</v>
      </c>
      <c r="M170" s="1">
        <v>13</v>
      </c>
      <c r="N170" s="1">
        <v>321</v>
      </c>
      <c r="O170" s="1">
        <v>107</v>
      </c>
      <c r="P170" s="1">
        <v>88</v>
      </c>
      <c r="Q170" s="1">
        <v>32</v>
      </c>
      <c r="R170" s="1">
        <v>24</v>
      </c>
      <c r="S170" s="1">
        <v>145</v>
      </c>
      <c r="T170" s="1">
        <v>32</v>
      </c>
      <c r="U170" s="1">
        <v>21</v>
      </c>
      <c r="V170" s="1">
        <v>55</v>
      </c>
      <c r="W170" s="1">
        <v>229</v>
      </c>
      <c r="X170" s="1">
        <v>22</v>
      </c>
      <c r="Y170" s="1">
        <v>221</v>
      </c>
      <c r="Z170" s="1">
        <v>24</v>
      </c>
      <c r="AA170" s="1">
        <v>54</v>
      </c>
      <c r="AB170" s="1">
        <v>104</v>
      </c>
      <c r="AC170" s="1">
        <v>126</v>
      </c>
      <c r="AD170" s="1">
        <v>14</v>
      </c>
      <c r="AE170" s="1">
        <v>16</v>
      </c>
      <c r="AF170" s="18">
        <f t="shared" si="2"/>
        <v>81.266666666666666</v>
      </c>
    </row>
    <row r="171" spans="1:32" x14ac:dyDescent="0.35">
      <c r="A171" s="1" t="s">
        <v>192</v>
      </c>
      <c r="B171" s="1">
        <v>30</v>
      </c>
      <c r="C171" s="1">
        <v>13</v>
      </c>
      <c r="D171" s="1">
        <v>104</v>
      </c>
      <c r="E171" s="1">
        <v>47</v>
      </c>
      <c r="F171" s="1">
        <v>27</v>
      </c>
      <c r="G171" s="1">
        <v>45</v>
      </c>
      <c r="H171" s="1">
        <v>17</v>
      </c>
      <c r="I171" s="1">
        <v>48</v>
      </c>
      <c r="J171" s="1">
        <v>48</v>
      </c>
      <c r="K171" s="1">
        <v>13</v>
      </c>
      <c r="L171" s="1">
        <v>16</v>
      </c>
      <c r="M171" s="1">
        <v>29</v>
      </c>
      <c r="N171" s="1">
        <v>42</v>
      </c>
      <c r="O171" s="1">
        <v>54</v>
      </c>
      <c r="P171" s="1">
        <v>23</v>
      </c>
      <c r="Q171" s="1">
        <v>19</v>
      </c>
      <c r="R171" s="1">
        <v>20</v>
      </c>
      <c r="S171" s="1">
        <v>56</v>
      </c>
      <c r="T171" s="1">
        <v>32</v>
      </c>
      <c r="U171" s="1">
        <v>70</v>
      </c>
      <c r="V171" s="1">
        <v>40</v>
      </c>
      <c r="W171" s="1">
        <v>25</v>
      </c>
      <c r="X171" s="1">
        <v>18</v>
      </c>
      <c r="Y171" s="1">
        <v>87</v>
      </c>
      <c r="Z171" s="1">
        <v>49</v>
      </c>
      <c r="AA171" s="1">
        <v>196</v>
      </c>
      <c r="AB171" s="1">
        <v>14</v>
      </c>
      <c r="AC171" s="1">
        <v>14</v>
      </c>
      <c r="AD171" s="1">
        <v>27</v>
      </c>
      <c r="AE171" s="1">
        <v>25</v>
      </c>
      <c r="AF171" s="18">
        <f t="shared" si="2"/>
        <v>41.6</v>
      </c>
    </row>
    <row r="172" spans="1:32" x14ac:dyDescent="0.35">
      <c r="A172" s="1" t="s">
        <v>131</v>
      </c>
      <c r="B172" s="1">
        <v>102</v>
      </c>
      <c r="C172" s="1">
        <v>43</v>
      </c>
      <c r="D172" s="1">
        <v>153</v>
      </c>
      <c r="E172" s="1">
        <v>26</v>
      </c>
      <c r="F172" s="1">
        <v>90</v>
      </c>
      <c r="G172" s="1">
        <v>23</v>
      </c>
      <c r="H172" s="1">
        <v>36</v>
      </c>
      <c r="I172" s="1">
        <v>39</v>
      </c>
      <c r="J172" s="1">
        <v>20</v>
      </c>
      <c r="K172" s="1">
        <v>62</v>
      </c>
      <c r="L172" s="1">
        <v>15</v>
      </c>
      <c r="M172" s="1">
        <v>37</v>
      </c>
      <c r="N172" s="1">
        <v>82</v>
      </c>
      <c r="O172" s="1">
        <v>41</v>
      </c>
      <c r="P172" s="1">
        <v>49</v>
      </c>
      <c r="Q172" s="1">
        <v>68</v>
      </c>
      <c r="R172" s="1">
        <v>52</v>
      </c>
      <c r="S172" s="1">
        <v>27</v>
      </c>
      <c r="T172" s="1">
        <v>70</v>
      </c>
      <c r="U172" s="1">
        <v>67</v>
      </c>
      <c r="V172" s="1">
        <v>447</v>
      </c>
      <c r="W172" s="1">
        <v>23</v>
      </c>
      <c r="X172" s="1">
        <v>51</v>
      </c>
      <c r="Y172" s="1">
        <v>27</v>
      </c>
      <c r="Z172" s="1">
        <v>139</v>
      </c>
      <c r="AA172" s="1">
        <v>81</v>
      </c>
      <c r="AB172" s="1">
        <v>60</v>
      </c>
      <c r="AC172" s="1">
        <v>37</v>
      </c>
      <c r="AD172" s="1">
        <v>51</v>
      </c>
      <c r="AE172" s="1">
        <v>127</v>
      </c>
      <c r="AF172" s="18">
        <f t="shared" si="2"/>
        <v>71.5</v>
      </c>
    </row>
    <row r="173" spans="1:32" x14ac:dyDescent="0.35">
      <c r="A173" s="1" t="s">
        <v>132</v>
      </c>
      <c r="B173" s="1">
        <v>185</v>
      </c>
      <c r="C173" s="1">
        <v>13</v>
      </c>
      <c r="D173" s="1">
        <v>33</v>
      </c>
      <c r="E173" s="1">
        <v>24</v>
      </c>
      <c r="F173" s="1">
        <v>40</v>
      </c>
      <c r="G173" s="1">
        <v>21</v>
      </c>
      <c r="H173" s="1">
        <v>211</v>
      </c>
      <c r="I173" s="1">
        <v>14</v>
      </c>
      <c r="J173" s="1">
        <v>13</v>
      </c>
      <c r="K173" s="1">
        <v>14</v>
      </c>
      <c r="L173" s="1">
        <v>54</v>
      </c>
      <c r="M173" s="1">
        <v>143</v>
      </c>
      <c r="N173" s="1">
        <v>95</v>
      </c>
      <c r="O173" s="1">
        <v>44</v>
      </c>
      <c r="P173" s="1">
        <v>18</v>
      </c>
      <c r="Q173" s="1">
        <v>45</v>
      </c>
      <c r="R173" s="1">
        <v>211</v>
      </c>
      <c r="S173" s="1">
        <v>166</v>
      </c>
      <c r="T173" s="1">
        <v>344</v>
      </c>
      <c r="U173" s="1">
        <v>71</v>
      </c>
      <c r="V173" s="1">
        <v>13</v>
      </c>
      <c r="W173" s="1">
        <v>26</v>
      </c>
      <c r="X173" s="1">
        <v>49</v>
      </c>
      <c r="Y173" s="1">
        <v>131</v>
      </c>
      <c r="Z173" s="1">
        <v>12</v>
      </c>
      <c r="AA173" s="1">
        <v>118</v>
      </c>
      <c r="AB173" s="1">
        <v>290</v>
      </c>
      <c r="AC173" s="1">
        <v>18</v>
      </c>
      <c r="AD173" s="1">
        <v>122</v>
      </c>
      <c r="AE173" s="1">
        <v>21</v>
      </c>
      <c r="AF173" s="18">
        <f t="shared" si="2"/>
        <v>85.3</v>
      </c>
    </row>
    <row r="174" spans="1:32" x14ac:dyDescent="0.35">
      <c r="A174" s="1" t="s">
        <v>133</v>
      </c>
      <c r="B174" s="1">
        <v>45</v>
      </c>
      <c r="C174" s="1">
        <v>64</v>
      </c>
      <c r="D174" s="1">
        <v>25</v>
      </c>
      <c r="E174" s="1">
        <v>21</v>
      </c>
      <c r="F174" s="1">
        <v>61</v>
      </c>
      <c r="G174" s="1">
        <v>66</v>
      </c>
      <c r="H174" s="1">
        <v>94</v>
      </c>
      <c r="I174" s="1">
        <v>13</v>
      </c>
      <c r="J174" s="1">
        <v>36</v>
      </c>
      <c r="K174" s="1">
        <v>36</v>
      </c>
      <c r="L174" s="1">
        <v>12</v>
      </c>
      <c r="M174" s="1">
        <v>24</v>
      </c>
      <c r="N174" s="1">
        <v>16</v>
      </c>
      <c r="O174" s="1">
        <v>44</v>
      </c>
      <c r="P174" s="1">
        <v>30</v>
      </c>
      <c r="Q174" s="1">
        <v>38</v>
      </c>
      <c r="R174" s="1">
        <v>17</v>
      </c>
      <c r="S174" s="1">
        <v>27</v>
      </c>
      <c r="T174" s="1">
        <v>29</v>
      </c>
      <c r="U174" s="1">
        <v>59</v>
      </c>
      <c r="V174" s="1">
        <v>35</v>
      </c>
      <c r="W174" s="1">
        <v>23</v>
      </c>
      <c r="X174" s="1">
        <v>53</v>
      </c>
      <c r="Y174" s="1">
        <v>25</v>
      </c>
      <c r="Z174" s="1">
        <v>52</v>
      </c>
      <c r="AA174" s="1">
        <v>19</v>
      </c>
      <c r="AB174" s="1">
        <v>19</v>
      </c>
      <c r="AC174" s="1">
        <v>23</v>
      </c>
      <c r="AD174" s="1">
        <v>25</v>
      </c>
      <c r="AE174" s="1">
        <v>17</v>
      </c>
      <c r="AF174" s="18">
        <f t="shared" si="2"/>
        <v>34.93333333333333</v>
      </c>
    </row>
    <row r="175" spans="1:32" x14ac:dyDescent="0.35">
      <c r="A175" s="1" t="s">
        <v>134</v>
      </c>
      <c r="B175" s="1">
        <v>12</v>
      </c>
      <c r="C175" s="1">
        <v>67</v>
      </c>
      <c r="D175" s="1">
        <v>42</v>
      </c>
      <c r="E175" s="1">
        <v>57</v>
      </c>
      <c r="F175" s="1">
        <v>86</v>
      </c>
      <c r="G175" s="1">
        <v>89</v>
      </c>
      <c r="H175" s="1">
        <v>38</v>
      </c>
      <c r="I175" s="1">
        <v>34</v>
      </c>
      <c r="J175" s="1">
        <v>17</v>
      </c>
      <c r="K175" s="1">
        <v>33</v>
      </c>
      <c r="L175" s="1">
        <v>62</v>
      </c>
      <c r="M175" s="1">
        <v>51</v>
      </c>
      <c r="N175" s="1">
        <v>29</v>
      </c>
      <c r="O175" s="1">
        <v>50</v>
      </c>
      <c r="P175" s="1">
        <v>55</v>
      </c>
      <c r="Q175" s="1">
        <v>12</v>
      </c>
      <c r="R175" s="1">
        <v>24</v>
      </c>
      <c r="S175" s="1">
        <v>100</v>
      </c>
      <c r="T175" s="1">
        <v>54</v>
      </c>
      <c r="U175" s="1">
        <v>78</v>
      </c>
      <c r="V175" s="1">
        <v>41</v>
      </c>
      <c r="W175" s="1">
        <v>73</v>
      </c>
      <c r="X175" s="1">
        <v>37</v>
      </c>
      <c r="Y175" s="1">
        <v>35</v>
      </c>
      <c r="Z175" s="1">
        <v>21</v>
      </c>
      <c r="AA175" s="1">
        <v>15</v>
      </c>
      <c r="AB175" s="1">
        <v>34</v>
      </c>
      <c r="AC175" s="1">
        <v>21</v>
      </c>
      <c r="AD175" s="1">
        <v>46</v>
      </c>
      <c r="AE175" s="1">
        <v>26</v>
      </c>
      <c r="AF175" s="18">
        <f t="shared" si="2"/>
        <v>44.633333333333333</v>
      </c>
    </row>
    <row r="176" spans="1:32" x14ac:dyDescent="0.35">
      <c r="A176" s="1" t="s">
        <v>135</v>
      </c>
      <c r="B176" s="1">
        <v>26</v>
      </c>
      <c r="C176" s="1">
        <v>84</v>
      </c>
      <c r="D176" s="1">
        <v>12</v>
      </c>
      <c r="E176" s="1">
        <v>17</v>
      </c>
      <c r="F176" s="1">
        <v>14</v>
      </c>
      <c r="G176" s="1">
        <v>14</v>
      </c>
      <c r="H176" s="1">
        <v>46</v>
      </c>
      <c r="I176" s="1">
        <v>58</v>
      </c>
      <c r="J176" s="1">
        <v>39</v>
      </c>
      <c r="K176" s="1">
        <v>26</v>
      </c>
      <c r="L176" s="1">
        <v>98</v>
      </c>
      <c r="M176" s="1">
        <v>23</v>
      </c>
      <c r="N176" s="1">
        <v>60</v>
      </c>
      <c r="O176" s="1">
        <v>29</v>
      </c>
      <c r="P176" s="1">
        <v>45</v>
      </c>
      <c r="Q176" s="1">
        <v>42</v>
      </c>
      <c r="R176" s="1">
        <v>18</v>
      </c>
      <c r="S176" s="1">
        <v>70</v>
      </c>
      <c r="T176" s="1">
        <v>63</v>
      </c>
      <c r="U176" s="1">
        <v>92</v>
      </c>
      <c r="V176" s="1">
        <v>53</v>
      </c>
      <c r="W176" s="1">
        <v>34</v>
      </c>
      <c r="X176" s="1">
        <v>77</v>
      </c>
      <c r="Y176" s="1">
        <v>53</v>
      </c>
      <c r="Z176" s="1">
        <v>53</v>
      </c>
      <c r="AA176" s="1">
        <v>57</v>
      </c>
      <c r="AB176" s="1">
        <v>55</v>
      </c>
      <c r="AC176" s="1">
        <v>146</v>
      </c>
      <c r="AD176" s="1">
        <v>63</v>
      </c>
      <c r="AE176" s="1">
        <v>79</v>
      </c>
      <c r="AF176" s="18">
        <f t="shared" si="2"/>
        <v>51.533333333333331</v>
      </c>
    </row>
    <row r="177" spans="1:32" x14ac:dyDescent="0.35">
      <c r="A177" s="1" t="s">
        <v>162</v>
      </c>
      <c r="B177" s="1">
        <v>38</v>
      </c>
      <c r="C177" s="1">
        <v>137</v>
      </c>
      <c r="D177" s="1">
        <v>12</v>
      </c>
      <c r="E177" s="1">
        <v>119</v>
      </c>
      <c r="F177" s="1">
        <v>18</v>
      </c>
      <c r="G177" s="1">
        <v>117</v>
      </c>
      <c r="H177" s="1">
        <v>76</v>
      </c>
      <c r="I177" s="1">
        <v>87</v>
      </c>
      <c r="J177" s="1">
        <v>146</v>
      </c>
      <c r="K177" s="1">
        <v>144</v>
      </c>
      <c r="L177" s="1">
        <v>90</v>
      </c>
      <c r="M177" s="1">
        <v>50</v>
      </c>
      <c r="N177" s="1">
        <v>16</v>
      </c>
      <c r="O177" s="1">
        <v>30</v>
      </c>
      <c r="P177" s="1">
        <v>24</v>
      </c>
      <c r="Q177" s="1">
        <v>17</v>
      </c>
      <c r="R177" s="1">
        <v>36</v>
      </c>
      <c r="S177" s="1">
        <v>33</v>
      </c>
      <c r="T177" s="1">
        <v>29</v>
      </c>
      <c r="U177" s="1">
        <v>149</v>
      </c>
      <c r="V177" s="1">
        <v>91</v>
      </c>
      <c r="W177" s="1">
        <v>116</v>
      </c>
      <c r="X177" s="1">
        <v>23</v>
      </c>
      <c r="Y177" s="1">
        <v>65</v>
      </c>
      <c r="Z177" s="1">
        <v>58</v>
      </c>
      <c r="AA177" s="1">
        <v>108</v>
      </c>
      <c r="AB177" s="1">
        <v>71</v>
      </c>
      <c r="AC177" s="1">
        <v>65</v>
      </c>
      <c r="AD177" s="1">
        <v>16</v>
      </c>
      <c r="AE177" s="1">
        <v>39</v>
      </c>
      <c r="AF177" s="18">
        <f t="shared" si="2"/>
        <v>67.333333333333329</v>
      </c>
    </row>
    <row r="178" spans="1:32" x14ac:dyDescent="0.35">
      <c r="A178" s="1" t="s">
        <v>136</v>
      </c>
      <c r="B178" s="1">
        <v>100</v>
      </c>
      <c r="C178" s="1">
        <v>111</v>
      </c>
      <c r="D178" s="1">
        <v>46</v>
      </c>
      <c r="E178" s="1">
        <v>59</v>
      </c>
      <c r="F178" s="1">
        <v>49</v>
      </c>
      <c r="G178" s="1">
        <v>236</v>
      </c>
      <c r="H178" s="1">
        <v>26</v>
      </c>
      <c r="I178" s="1">
        <v>27</v>
      </c>
      <c r="J178" s="1">
        <v>14</v>
      </c>
      <c r="K178" s="1">
        <v>61</v>
      </c>
      <c r="L178" s="1">
        <v>36</v>
      </c>
      <c r="M178" s="1">
        <v>32</v>
      </c>
      <c r="N178" s="1">
        <v>53</v>
      </c>
      <c r="O178" s="1">
        <v>95</v>
      </c>
      <c r="P178" s="1">
        <v>40</v>
      </c>
      <c r="Q178" s="1">
        <v>35</v>
      </c>
      <c r="R178" s="1">
        <v>164</v>
      </c>
      <c r="S178" s="1">
        <v>188</v>
      </c>
      <c r="T178" s="1">
        <v>49</v>
      </c>
      <c r="U178" s="1">
        <v>27</v>
      </c>
      <c r="V178" s="1">
        <v>56</v>
      </c>
      <c r="W178" s="1">
        <v>29</v>
      </c>
      <c r="X178" s="1">
        <v>23</v>
      </c>
      <c r="Y178" s="1">
        <v>46</v>
      </c>
      <c r="Z178" s="1">
        <v>55</v>
      </c>
      <c r="AA178" s="1">
        <v>26</v>
      </c>
      <c r="AB178" s="1">
        <v>67</v>
      </c>
      <c r="AC178" s="1">
        <v>17</v>
      </c>
      <c r="AD178" s="1">
        <v>46</v>
      </c>
      <c r="AE178" s="1">
        <v>69</v>
      </c>
      <c r="AF178" s="18">
        <f t="shared" si="2"/>
        <v>62.733333333333334</v>
      </c>
    </row>
    <row r="179" spans="1:32" x14ac:dyDescent="0.35">
      <c r="A179" s="1" t="s">
        <v>142</v>
      </c>
      <c r="B179" s="1">
        <v>12</v>
      </c>
      <c r="C179" s="1">
        <v>119</v>
      </c>
      <c r="D179" s="1">
        <v>116</v>
      </c>
      <c r="E179" s="1">
        <v>17</v>
      </c>
      <c r="F179" s="1">
        <v>17</v>
      </c>
      <c r="G179" s="1">
        <v>44</v>
      </c>
      <c r="H179" s="1">
        <v>30</v>
      </c>
      <c r="I179" s="1">
        <v>102</v>
      </c>
      <c r="J179" s="1">
        <v>67</v>
      </c>
      <c r="K179" s="1">
        <v>52</v>
      </c>
      <c r="L179" s="1">
        <v>74</v>
      </c>
      <c r="M179" s="1">
        <v>39</v>
      </c>
      <c r="N179" s="1">
        <v>61</v>
      </c>
      <c r="O179" s="1">
        <v>56</v>
      </c>
      <c r="P179" s="1">
        <v>63</v>
      </c>
      <c r="Q179" s="1">
        <v>47</v>
      </c>
      <c r="R179" s="1">
        <v>19</v>
      </c>
      <c r="S179" s="1">
        <v>74</v>
      </c>
      <c r="T179" s="1">
        <v>37</v>
      </c>
      <c r="U179" s="1">
        <v>107</v>
      </c>
      <c r="V179" s="1">
        <v>39</v>
      </c>
      <c r="W179" s="1">
        <v>30</v>
      </c>
      <c r="X179" s="1">
        <v>23</v>
      </c>
      <c r="Y179" s="1">
        <v>16</v>
      </c>
      <c r="Z179" s="1">
        <v>18</v>
      </c>
      <c r="AA179" s="1">
        <v>94</v>
      </c>
      <c r="AB179" s="1">
        <v>237</v>
      </c>
      <c r="AC179" s="1">
        <v>83</v>
      </c>
      <c r="AD179" s="1">
        <v>17</v>
      </c>
      <c r="AE179" s="1">
        <v>54</v>
      </c>
      <c r="AF179" s="18">
        <f t="shared" si="2"/>
        <v>58.8</v>
      </c>
    </row>
    <row r="180" spans="1:32" x14ac:dyDescent="0.35">
      <c r="A180" s="1" t="s">
        <v>137</v>
      </c>
      <c r="B180" s="1">
        <v>50</v>
      </c>
      <c r="C180" s="1">
        <v>116</v>
      </c>
      <c r="D180" s="1">
        <v>16</v>
      </c>
      <c r="E180" s="1">
        <v>21</v>
      </c>
      <c r="F180" s="1">
        <v>15</v>
      </c>
      <c r="G180" s="1">
        <v>22</v>
      </c>
      <c r="H180" s="1">
        <v>79</v>
      </c>
      <c r="I180" s="1">
        <v>19</v>
      </c>
      <c r="J180" s="1">
        <v>19</v>
      </c>
      <c r="K180" s="1">
        <v>84</v>
      </c>
      <c r="L180" s="1">
        <v>15</v>
      </c>
      <c r="M180" s="1">
        <v>21</v>
      </c>
      <c r="N180" s="1">
        <v>116</v>
      </c>
      <c r="O180" s="1">
        <v>63</v>
      </c>
      <c r="P180" s="1">
        <v>14</v>
      </c>
      <c r="Q180" s="1">
        <v>50</v>
      </c>
      <c r="R180" s="1">
        <v>43</v>
      </c>
      <c r="S180" s="1">
        <v>30</v>
      </c>
      <c r="T180" s="1">
        <v>22</v>
      </c>
      <c r="U180" s="1">
        <v>45</v>
      </c>
      <c r="V180" s="1">
        <v>95</v>
      </c>
      <c r="W180" s="1">
        <v>74</v>
      </c>
      <c r="X180" s="1">
        <v>43</v>
      </c>
      <c r="Y180" s="1">
        <v>41</v>
      </c>
      <c r="Z180" s="1">
        <v>12</v>
      </c>
      <c r="AA180" s="1">
        <v>64</v>
      </c>
      <c r="AB180" s="1">
        <v>52</v>
      </c>
      <c r="AC180" s="1">
        <v>119</v>
      </c>
      <c r="AD180" s="1">
        <v>31</v>
      </c>
      <c r="AE180" s="1">
        <v>20</v>
      </c>
      <c r="AF180" s="18">
        <f t="shared" si="2"/>
        <v>47.033333333333331</v>
      </c>
    </row>
    <row r="181" spans="1:32" x14ac:dyDescent="0.35">
      <c r="A181" s="1" t="s">
        <v>138</v>
      </c>
      <c r="B181" s="1">
        <v>38</v>
      </c>
      <c r="C181" s="1">
        <v>54</v>
      </c>
      <c r="D181" s="1">
        <v>25</v>
      </c>
      <c r="E181" s="1">
        <v>18</v>
      </c>
      <c r="F181" s="1">
        <v>15</v>
      </c>
      <c r="G181" s="1">
        <v>57</v>
      </c>
      <c r="H181" s="1">
        <v>13</v>
      </c>
      <c r="I181" s="1">
        <v>12</v>
      </c>
      <c r="J181" s="1">
        <v>23</v>
      </c>
      <c r="K181" s="1">
        <v>30</v>
      </c>
      <c r="L181" s="1">
        <v>12</v>
      </c>
      <c r="M181" s="1">
        <v>61</v>
      </c>
      <c r="N181" s="1">
        <v>43</v>
      </c>
      <c r="O181" s="1">
        <v>44</v>
      </c>
      <c r="P181" s="1">
        <v>50</v>
      </c>
      <c r="Q181" s="1">
        <v>28</v>
      </c>
      <c r="R181" s="1">
        <v>30</v>
      </c>
      <c r="S181" s="1">
        <v>32</v>
      </c>
      <c r="T181" s="1">
        <v>118</v>
      </c>
      <c r="U181" s="1">
        <v>43</v>
      </c>
      <c r="V181" s="1">
        <v>52</v>
      </c>
      <c r="W181" s="1">
        <v>46</v>
      </c>
      <c r="X181" s="1">
        <v>48</v>
      </c>
      <c r="Y181" s="1">
        <v>55</v>
      </c>
      <c r="Z181" s="1">
        <v>59</v>
      </c>
      <c r="AA181" s="1">
        <v>19</v>
      </c>
      <c r="AB181" s="1">
        <v>19</v>
      </c>
      <c r="AC181" s="1">
        <v>41</v>
      </c>
      <c r="AD181" s="1">
        <v>25</v>
      </c>
      <c r="AE181" s="1">
        <v>33</v>
      </c>
      <c r="AF181" s="18">
        <f t="shared" si="2"/>
        <v>38.1</v>
      </c>
    </row>
    <row r="182" spans="1:32" x14ac:dyDescent="0.35">
      <c r="A182" s="1" t="s">
        <v>139</v>
      </c>
      <c r="B182" s="1">
        <v>21</v>
      </c>
      <c r="C182" s="1">
        <v>24</v>
      </c>
      <c r="D182" s="1">
        <v>34</v>
      </c>
      <c r="E182" s="1">
        <v>56</v>
      </c>
      <c r="F182" s="1">
        <v>134</v>
      </c>
      <c r="G182" s="1">
        <v>20</v>
      </c>
      <c r="H182" s="1">
        <v>162</v>
      </c>
      <c r="I182" s="1">
        <v>12</v>
      </c>
      <c r="J182" s="1">
        <v>52</v>
      </c>
      <c r="K182" s="1">
        <v>55</v>
      </c>
      <c r="L182" s="1">
        <v>56</v>
      </c>
      <c r="M182" s="1">
        <v>20</v>
      </c>
      <c r="N182" s="1">
        <v>44</v>
      </c>
      <c r="O182" s="1">
        <v>116</v>
      </c>
      <c r="P182" s="1">
        <v>40</v>
      </c>
      <c r="Q182" s="1">
        <v>69</v>
      </c>
      <c r="R182" s="1">
        <v>39</v>
      </c>
      <c r="S182" s="1">
        <v>43</v>
      </c>
      <c r="T182" s="1">
        <v>59</v>
      </c>
      <c r="U182" s="1">
        <v>71</v>
      </c>
      <c r="V182" s="1">
        <v>61</v>
      </c>
      <c r="W182" s="1">
        <v>73</v>
      </c>
      <c r="X182" s="1">
        <v>78</v>
      </c>
      <c r="Y182" s="1">
        <v>50</v>
      </c>
      <c r="Z182" s="1">
        <v>20</v>
      </c>
      <c r="AA182" s="1">
        <v>75</v>
      </c>
      <c r="AB182" s="1">
        <v>20</v>
      </c>
      <c r="AC182" s="1">
        <v>23</v>
      </c>
      <c r="AD182" s="1">
        <v>13</v>
      </c>
      <c r="AE182" s="1">
        <v>81</v>
      </c>
      <c r="AF182" s="18">
        <f t="shared" si="2"/>
        <v>54.033333333333331</v>
      </c>
    </row>
    <row r="183" spans="1:32" x14ac:dyDescent="0.35">
      <c r="A183" s="1" t="s">
        <v>140</v>
      </c>
      <c r="B183" s="1">
        <v>105</v>
      </c>
      <c r="C183" s="1">
        <v>34</v>
      </c>
      <c r="D183" s="1">
        <v>20</v>
      </c>
      <c r="E183" s="1">
        <v>23</v>
      </c>
      <c r="F183" s="1">
        <v>81</v>
      </c>
      <c r="G183" s="1">
        <v>81</v>
      </c>
      <c r="H183" s="1">
        <v>29</v>
      </c>
      <c r="I183" s="1">
        <v>15</v>
      </c>
      <c r="J183" s="1">
        <v>12</v>
      </c>
      <c r="K183" s="1">
        <v>20</v>
      </c>
      <c r="L183" s="1">
        <v>120</v>
      </c>
      <c r="M183" s="1">
        <v>12</v>
      </c>
      <c r="N183" s="1">
        <v>70</v>
      </c>
      <c r="O183" s="1">
        <v>50</v>
      </c>
      <c r="P183" s="1">
        <v>18</v>
      </c>
      <c r="Q183" s="1">
        <v>77</v>
      </c>
      <c r="R183" s="1">
        <v>23</v>
      </c>
      <c r="S183" s="1">
        <v>22</v>
      </c>
      <c r="T183" s="1">
        <v>15</v>
      </c>
      <c r="U183" s="1">
        <v>22</v>
      </c>
      <c r="V183" s="1">
        <v>185</v>
      </c>
      <c r="W183" s="1">
        <v>18</v>
      </c>
      <c r="X183" s="1">
        <v>16</v>
      </c>
      <c r="Y183" s="1">
        <v>177</v>
      </c>
      <c r="Z183" s="1">
        <v>50</v>
      </c>
      <c r="AA183" s="1">
        <v>224</v>
      </c>
      <c r="AB183" s="1">
        <v>90</v>
      </c>
      <c r="AC183" s="1">
        <v>124</v>
      </c>
      <c r="AD183" s="1">
        <v>26</v>
      </c>
      <c r="AE183" s="1">
        <v>28</v>
      </c>
      <c r="AF183" s="18">
        <f t="shared" si="2"/>
        <v>59.56666666666667</v>
      </c>
    </row>
    <row r="184" spans="1:32" x14ac:dyDescent="0.35">
      <c r="A184" s="1" t="s">
        <v>143</v>
      </c>
      <c r="B184" s="1">
        <v>109</v>
      </c>
      <c r="C184" s="1">
        <v>13</v>
      </c>
      <c r="D184" s="1">
        <v>150</v>
      </c>
      <c r="E184" s="1">
        <v>59</v>
      </c>
      <c r="F184" s="1">
        <v>28</v>
      </c>
      <c r="G184" s="1">
        <v>45</v>
      </c>
      <c r="H184" s="1">
        <v>58</v>
      </c>
      <c r="I184" s="1">
        <v>64</v>
      </c>
      <c r="J184" s="1">
        <v>181</v>
      </c>
      <c r="K184" s="1">
        <v>59</v>
      </c>
      <c r="L184" s="1">
        <v>86</v>
      </c>
      <c r="M184" s="1">
        <v>85</v>
      </c>
      <c r="N184" s="1">
        <v>56</v>
      </c>
      <c r="O184" s="1">
        <v>87</v>
      </c>
      <c r="P184" s="1">
        <v>68</v>
      </c>
      <c r="Q184" s="1">
        <v>64</v>
      </c>
      <c r="R184" s="1">
        <v>30</v>
      </c>
      <c r="S184" s="1">
        <v>65</v>
      </c>
      <c r="T184" s="1">
        <v>97</v>
      </c>
      <c r="U184" s="1">
        <v>66</v>
      </c>
      <c r="V184" s="1">
        <v>106</v>
      </c>
      <c r="W184" s="1">
        <v>67</v>
      </c>
      <c r="X184" s="1">
        <v>18</v>
      </c>
      <c r="Y184" s="1">
        <v>148</v>
      </c>
      <c r="Z184" s="1">
        <v>17</v>
      </c>
      <c r="AA184" s="1">
        <v>156</v>
      </c>
      <c r="AB184" s="1">
        <v>50</v>
      </c>
      <c r="AC184" s="1">
        <v>30</v>
      </c>
      <c r="AD184" s="1">
        <v>12</v>
      </c>
      <c r="AE184" s="1">
        <v>57</v>
      </c>
      <c r="AF184" s="18">
        <f t="shared" si="2"/>
        <v>71.033333333333331</v>
      </c>
    </row>
    <row r="185" spans="1:32" x14ac:dyDescent="0.35">
      <c r="A185" s="1" t="s">
        <v>144</v>
      </c>
      <c r="B185" s="1">
        <v>32</v>
      </c>
      <c r="C185" s="1">
        <v>28</v>
      </c>
      <c r="D185" s="1">
        <v>65</v>
      </c>
      <c r="E185" s="1">
        <v>30</v>
      </c>
      <c r="F185" s="1">
        <v>17</v>
      </c>
      <c r="G185" s="1">
        <v>37</v>
      </c>
      <c r="H185" s="1">
        <v>32</v>
      </c>
      <c r="I185" s="1">
        <v>38</v>
      </c>
      <c r="J185" s="1">
        <v>87</v>
      </c>
      <c r="K185" s="1">
        <v>79</v>
      </c>
      <c r="L185" s="1">
        <v>206</v>
      </c>
      <c r="M185" s="1">
        <v>25</v>
      </c>
      <c r="N185" s="1">
        <v>48</v>
      </c>
      <c r="O185" s="1">
        <v>90</v>
      </c>
      <c r="P185" s="1">
        <v>120</v>
      </c>
      <c r="Q185" s="1">
        <v>25</v>
      </c>
      <c r="R185" s="1">
        <v>146</v>
      </c>
      <c r="S185" s="1">
        <v>35</v>
      </c>
      <c r="T185" s="1">
        <v>20</v>
      </c>
      <c r="U185" s="1">
        <v>67</v>
      </c>
      <c r="V185" s="1">
        <v>18</v>
      </c>
      <c r="W185" s="1">
        <v>51</v>
      </c>
      <c r="X185" s="1">
        <v>51</v>
      </c>
      <c r="Y185" s="1">
        <v>31</v>
      </c>
      <c r="Z185" s="1">
        <v>61</v>
      </c>
      <c r="AA185" s="1">
        <v>94</v>
      </c>
      <c r="AB185" s="1">
        <v>98</v>
      </c>
      <c r="AC185" s="1">
        <v>26</v>
      </c>
      <c r="AD185" s="1">
        <v>57</v>
      </c>
      <c r="AE185" s="1">
        <v>41</v>
      </c>
      <c r="AF185" s="18">
        <f t="shared" si="2"/>
        <v>58.5</v>
      </c>
    </row>
    <row r="186" spans="1:32" x14ac:dyDescent="0.35">
      <c r="A186" s="1" t="s">
        <v>145</v>
      </c>
      <c r="B186" s="1">
        <v>45</v>
      </c>
      <c r="C186" s="1">
        <v>41</v>
      </c>
      <c r="D186" s="1">
        <v>91</v>
      </c>
      <c r="E186" s="1">
        <v>75</v>
      </c>
      <c r="F186" s="1">
        <v>173</v>
      </c>
      <c r="G186" s="1">
        <v>41</v>
      </c>
      <c r="H186" s="1">
        <v>22</v>
      </c>
      <c r="I186" s="1">
        <v>21</v>
      </c>
      <c r="J186" s="1">
        <v>53</v>
      </c>
      <c r="K186" s="1">
        <v>17</v>
      </c>
      <c r="L186" s="1">
        <v>56</v>
      </c>
      <c r="M186" s="1">
        <v>34</v>
      </c>
      <c r="N186" s="1">
        <v>122</v>
      </c>
      <c r="O186" s="1">
        <v>35</v>
      </c>
      <c r="P186" s="1">
        <v>43</v>
      </c>
      <c r="Q186" s="1">
        <v>38</v>
      </c>
      <c r="R186" s="1">
        <v>26</v>
      </c>
      <c r="S186" s="1">
        <v>20</v>
      </c>
      <c r="T186" s="1">
        <v>139</v>
      </c>
      <c r="U186" s="1">
        <v>17</v>
      </c>
      <c r="V186" s="1">
        <v>22</v>
      </c>
      <c r="W186" s="1">
        <v>29</v>
      </c>
      <c r="X186" s="1">
        <v>16</v>
      </c>
      <c r="Y186" s="1">
        <v>22</v>
      </c>
      <c r="Z186" s="1">
        <v>14</v>
      </c>
      <c r="AA186" s="1">
        <v>12</v>
      </c>
      <c r="AB186" s="1">
        <v>30</v>
      </c>
      <c r="AC186" s="1">
        <v>80</v>
      </c>
      <c r="AD186" s="1">
        <v>13</v>
      </c>
      <c r="AE186" s="1">
        <v>72</v>
      </c>
      <c r="AF186" s="18">
        <f t="shared" si="2"/>
        <v>47.3</v>
      </c>
    </row>
    <row r="187" spans="1:32" x14ac:dyDescent="0.35">
      <c r="A187" s="1" t="s">
        <v>146</v>
      </c>
      <c r="B187" s="1">
        <v>19</v>
      </c>
      <c r="C187" s="1">
        <v>14</v>
      </c>
      <c r="D187" s="1">
        <v>16</v>
      </c>
      <c r="E187" s="1">
        <v>25</v>
      </c>
      <c r="F187" s="1">
        <v>92</v>
      </c>
      <c r="G187" s="1">
        <v>45</v>
      </c>
      <c r="H187" s="1">
        <v>36</v>
      </c>
      <c r="I187" s="1">
        <v>76</v>
      </c>
      <c r="J187" s="1">
        <v>74</v>
      </c>
      <c r="K187" s="1">
        <v>14</v>
      </c>
      <c r="L187" s="1">
        <v>98</v>
      </c>
      <c r="M187" s="1">
        <v>27</v>
      </c>
      <c r="N187" s="1">
        <v>72</v>
      </c>
      <c r="O187" s="1">
        <v>23</v>
      </c>
      <c r="P187" s="1">
        <v>28</v>
      </c>
      <c r="Q187" s="1">
        <v>36</v>
      </c>
      <c r="R187" s="1">
        <v>24</v>
      </c>
      <c r="S187" s="1">
        <v>61</v>
      </c>
      <c r="T187" s="1">
        <v>46</v>
      </c>
      <c r="U187" s="1">
        <v>15</v>
      </c>
      <c r="V187" s="1">
        <v>15</v>
      </c>
      <c r="W187" s="1">
        <v>23</v>
      </c>
      <c r="X187" s="1">
        <v>18</v>
      </c>
      <c r="Y187" s="1">
        <v>57</v>
      </c>
      <c r="Z187" s="1">
        <v>28</v>
      </c>
      <c r="AA187" s="1">
        <v>13</v>
      </c>
      <c r="AB187" s="1">
        <v>75</v>
      </c>
      <c r="AC187" s="1">
        <v>39</v>
      </c>
      <c r="AD187" s="1">
        <v>21</v>
      </c>
      <c r="AE187" s="1">
        <v>21</v>
      </c>
      <c r="AF187" s="18">
        <f t="shared" si="2"/>
        <v>38.366666666666667</v>
      </c>
    </row>
    <row r="188" spans="1:32" x14ac:dyDescent="0.35">
      <c r="A188" s="1" t="s">
        <v>147</v>
      </c>
      <c r="B188" s="1">
        <v>146</v>
      </c>
      <c r="C188" s="1">
        <v>29</v>
      </c>
      <c r="D188" s="1">
        <v>102</v>
      </c>
      <c r="E188" s="1">
        <v>76</v>
      </c>
      <c r="F188" s="1">
        <v>272</v>
      </c>
      <c r="G188" s="1">
        <v>47</v>
      </c>
      <c r="H188" s="1">
        <v>53</v>
      </c>
      <c r="I188" s="1">
        <v>35</v>
      </c>
      <c r="J188" s="1">
        <v>18</v>
      </c>
      <c r="K188" s="1">
        <v>107</v>
      </c>
      <c r="L188" s="1">
        <v>30</v>
      </c>
      <c r="M188" s="1">
        <v>37</v>
      </c>
      <c r="N188" s="1">
        <v>117</v>
      </c>
      <c r="O188" s="1">
        <v>117</v>
      </c>
      <c r="P188" s="1">
        <v>14</v>
      </c>
      <c r="Q188" s="1">
        <v>16</v>
      </c>
      <c r="R188" s="1">
        <v>27</v>
      </c>
      <c r="S188" s="1">
        <v>14</v>
      </c>
      <c r="T188" s="1">
        <v>48</v>
      </c>
      <c r="U188" s="1">
        <v>131</v>
      </c>
      <c r="V188" s="1">
        <v>73</v>
      </c>
      <c r="W188" s="1">
        <v>25</v>
      </c>
      <c r="X188" s="1">
        <v>76</v>
      </c>
      <c r="Y188" s="1">
        <v>69</v>
      </c>
      <c r="Z188" s="1">
        <v>64</v>
      </c>
      <c r="AA188" s="1">
        <v>97</v>
      </c>
      <c r="AB188" s="1">
        <v>15</v>
      </c>
      <c r="AC188" s="1">
        <v>35</v>
      </c>
      <c r="AD188" s="1">
        <v>304</v>
      </c>
      <c r="AE188" s="1">
        <v>17</v>
      </c>
      <c r="AF188" s="18">
        <f t="shared" si="2"/>
        <v>73.7</v>
      </c>
    </row>
    <row r="189" spans="1:32" x14ac:dyDescent="0.35">
      <c r="A189" s="1" t="s">
        <v>148</v>
      </c>
      <c r="B189" s="1">
        <v>21</v>
      </c>
      <c r="C189" s="1">
        <v>70</v>
      </c>
      <c r="D189" s="1">
        <v>16</v>
      </c>
      <c r="E189" s="1">
        <v>28</v>
      </c>
      <c r="F189" s="1">
        <v>16</v>
      </c>
      <c r="G189" s="1">
        <v>21</v>
      </c>
      <c r="H189" s="1">
        <v>42</v>
      </c>
      <c r="I189" s="1">
        <v>78</v>
      </c>
      <c r="J189" s="1">
        <v>12</v>
      </c>
      <c r="K189" s="1">
        <v>16</v>
      </c>
      <c r="L189" s="1">
        <v>12</v>
      </c>
      <c r="M189" s="1">
        <v>56</v>
      </c>
      <c r="N189" s="1">
        <v>34</v>
      </c>
      <c r="O189" s="1">
        <v>16</v>
      </c>
      <c r="P189" s="1">
        <v>54</v>
      </c>
      <c r="Q189" s="1">
        <v>69</v>
      </c>
      <c r="R189" s="1">
        <v>44</v>
      </c>
      <c r="S189" s="1">
        <v>28</v>
      </c>
      <c r="T189" s="1">
        <v>91</v>
      </c>
      <c r="U189" s="1">
        <v>21</v>
      </c>
      <c r="V189" s="1">
        <v>43</v>
      </c>
      <c r="W189" s="1">
        <v>40</v>
      </c>
      <c r="X189" s="1">
        <v>35</v>
      </c>
      <c r="Y189" s="1">
        <v>57</v>
      </c>
      <c r="Z189" s="1">
        <v>16</v>
      </c>
      <c r="AA189" s="1">
        <v>38</v>
      </c>
      <c r="AB189" s="1">
        <v>12</v>
      </c>
      <c r="AC189" s="1">
        <v>12</v>
      </c>
      <c r="AD189" s="1">
        <v>36</v>
      </c>
      <c r="AE189" s="1">
        <v>16</v>
      </c>
      <c r="AF189" s="18">
        <f t="shared" si="2"/>
        <v>35</v>
      </c>
    </row>
    <row r="190" spans="1:32" x14ac:dyDescent="0.35">
      <c r="A190" s="1" t="s">
        <v>149</v>
      </c>
      <c r="B190" s="1">
        <v>182</v>
      </c>
      <c r="C190" s="1">
        <v>21</v>
      </c>
      <c r="D190" s="1">
        <v>133</v>
      </c>
      <c r="E190" s="1">
        <v>78</v>
      </c>
      <c r="F190" s="1">
        <v>26</v>
      </c>
      <c r="G190" s="1">
        <v>172</v>
      </c>
      <c r="H190" s="1">
        <v>12</v>
      </c>
      <c r="I190" s="1">
        <v>24</v>
      </c>
      <c r="J190" s="1">
        <v>101</v>
      </c>
      <c r="K190" s="1">
        <v>46</v>
      </c>
      <c r="L190" s="1">
        <v>19</v>
      </c>
      <c r="M190" s="1">
        <v>84</v>
      </c>
      <c r="N190" s="1">
        <v>141</v>
      </c>
      <c r="O190" s="1">
        <v>27</v>
      </c>
      <c r="P190" s="1">
        <v>15</v>
      </c>
      <c r="Q190" s="1">
        <v>20</v>
      </c>
      <c r="R190" s="1">
        <v>12</v>
      </c>
      <c r="S190" s="1">
        <v>15</v>
      </c>
      <c r="T190" s="1">
        <v>55</v>
      </c>
      <c r="U190" s="1">
        <v>17</v>
      </c>
      <c r="V190" s="1">
        <v>61</v>
      </c>
      <c r="W190" s="1">
        <v>117</v>
      </c>
      <c r="X190" s="1">
        <v>46</v>
      </c>
      <c r="Y190" s="1">
        <v>50</v>
      </c>
      <c r="Z190" s="1">
        <v>135</v>
      </c>
      <c r="AA190" s="1">
        <v>136</v>
      </c>
      <c r="AB190" s="1">
        <v>32</v>
      </c>
      <c r="AC190" s="1">
        <v>23</v>
      </c>
      <c r="AD190" s="1">
        <v>29</v>
      </c>
      <c r="AE190" s="1">
        <v>25</v>
      </c>
      <c r="AF190" s="18">
        <f t="shared" si="2"/>
        <v>61.8</v>
      </c>
    </row>
    <row r="191" spans="1:32" x14ac:dyDescent="0.35">
      <c r="A191" s="1" t="s">
        <v>150</v>
      </c>
      <c r="B191" s="1">
        <v>16</v>
      </c>
      <c r="C191" s="1">
        <v>17</v>
      </c>
      <c r="D191" s="1">
        <v>28</v>
      </c>
      <c r="E191" s="1">
        <v>42</v>
      </c>
      <c r="F191" s="1">
        <v>19</v>
      </c>
      <c r="G191" s="1">
        <v>86</v>
      </c>
      <c r="H191" s="1">
        <v>24</v>
      </c>
      <c r="I191" s="1">
        <v>165</v>
      </c>
      <c r="J191" s="1">
        <v>163</v>
      </c>
      <c r="K191" s="1">
        <v>180</v>
      </c>
      <c r="L191" s="1">
        <v>21</v>
      </c>
      <c r="M191" s="1">
        <v>21</v>
      </c>
      <c r="N191" s="1">
        <v>36</v>
      </c>
      <c r="O191" s="1">
        <v>121</v>
      </c>
      <c r="P191" s="1">
        <v>208</v>
      </c>
      <c r="Q191" s="1">
        <v>45</v>
      </c>
      <c r="R191" s="1">
        <v>150</v>
      </c>
      <c r="S191" s="1">
        <v>40</v>
      </c>
      <c r="T191" s="1">
        <v>145</v>
      </c>
      <c r="U191" s="1">
        <v>130</v>
      </c>
      <c r="V191" s="1">
        <v>39</v>
      </c>
      <c r="W191" s="1">
        <v>42</v>
      </c>
      <c r="X191" s="1">
        <v>152</v>
      </c>
      <c r="Y191" s="1">
        <v>157</v>
      </c>
      <c r="Z191" s="1">
        <v>37</v>
      </c>
      <c r="AA191" s="1">
        <v>18</v>
      </c>
      <c r="AB191" s="1">
        <v>76</v>
      </c>
      <c r="AC191" s="1">
        <v>29</v>
      </c>
      <c r="AD191" s="1">
        <v>45</v>
      </c>
      <c r="AE191" s="1">
        <v>27</v>
      </c>
      <c r="AF191" s="18">
        <f t="shared" si="2"/>
        <v>75.966666666666669</v>
      </c>
    </row>
    <row r="192" spans="1:32" x14ac:dyDescent="0.35">
      <c r="A192" s="1" t="s">
        <v>159</v>
      </c>
      <c r="B192" s="1">
        <v>38</v>
      </c>
      <c r="C192" s="1">
        <v>15</v>
      </c>
      <c r="D192" s="1">
        <v>19</v>
      </c>
      <c r="E192" s="1">
        <v>28</v>
      </c>
      <c r="F192" s="1">
        <v>49</v>
      </c>
      <c r="G192" s="1">
        <v>74</v>
      </c>
      <c r="H192" s="1">
        <v>36</v>
      </c>
      <c r="I192" s="1">
        <v>97</v>
      </c>
      <c r="J192" s="1">
        <v>57</v>
      </c>
      <c r="K192" s="1">
        <v>13</v>
      </c>
      <c r="L192" s="1">
        <v>25</v>
      </c>
      <c r="M192" s="1">
        <v>31</v>
      </c>
      <c r="N192" s="1">
        <v>14</v>
      </c>
      <c r="O192" s="1">
        <v>96</v>
      </c>
      <c r="P192" s="1">
        <v>22</v>
      </c>
      <c r="Q192" s="1">
        <v>47</v>
      </c>
      <c r="R192" s="1">
        <v>53</v>
      </c>
      <c r="S192" s="1">
        <v>80</v>
      </c>
      <c r="T192" s="1">
        <v>78</v>
      </c>
      <c r="U192" s="1">
        <v>53</v>
      </c>
      <c r="V192" s="1">
        <v>26</v>
      </c>
      <c r="W192" s="1">
        <v>86</v>
      </c>
      <c r="X192" s="1">
        <v>98</v>
      </c>
      <c r="Y192" s="1">
        <v>20</v>
      </c>
      <c r="Z192" s="1">
        <v>13</v>
      </c>
      <c r="AA192" s="1">
        <v>65</v>
      </c>
      <c r="AB192" s="1">
        <v>70</v>
      </c>
      <c r="AC192" s="1">
        <v>41</v>
      </c>
      <c r="AD192" s="1">
        <v>52</v>
      </c>
      <c r="AE192" s="1">
        <v>33</v>
      </c>
      <c r="AF192" s="18">
        <f t="shared" si="2"/>
        <v>47.633333333333333</v>
      </c>
    </row>
    <row r="193" spans="1:32" x14ac:dyDescent="0.35">
      <c r="A193" s="1" t="s">
        <v>151</v>
      </c>
      <c r="B193" s="1">
        <v>85</v>
      </c>
      <c r="C193" s="1">
        <v>77</v>
      </c>
      <c r="D193" s="1">
        <v>106</v>
      </c>
      <c r="E193" s="1">
        <v>105</v>
      </c>
      <c r="F193" s="1">
        <v>23</v>
      </c>
      <c r="G193" s="1">
        <v>29</v>
      </c>
      <c r="H193" s="1">
        <v>63</v>
      </c>
      <c r="I193" s="1">
        <v>145</v>
      </c>
      <c r="J193" s="1">
        <v>55</v>
      </c>
      <c r="K193" s="1">
        <v>61</v>
      </c>
      <c r="L193" s="1">
        <v>25</v>
      </c>
      <c r="M193" s="1">
        <v>17</v>
      </c>
      <c r="N193" s="1">
        <v>119</v>
      </c>
      <c r="O193" s="1">
        <v>12</v>
      </c>
      <c r="P193" s="1">
        <v>47</v>
      </c>
      <c r="Q193" s="1">
        <v>43</v>
      </c>
      <c r="R193" s="1">
        <v>26</v>
      </c>
      <c r="S193" s="1">
        <v>12</v>
      </c>
      <c r="T193" s="1">
        <v>81</v>
      </c>
      <c r="U193" s="1">
        <v>16</v>
      </c>
      <c r="V193" s="1">
        <v>42</v>
      </c>
      <c r="W193" s="1">
        <v>58</v>
      </c>
      <c r="X193" s="1">
        <v>54</v>
      </c>
      <c r="Y193" s="1">
        <v>50</v>
      </c>
      <c r="Z193" s="1">
        <v>59</v>
      </c>
      <c r="AA193" s="1">
        <v>54</v>
      </c>
      <c r="AB193" s="1">
        <v>18</v>
      </c>
      <c r="AC193" s="1">
        <v>41</v>
      </c>
      <c r="AD193" s="1">
        <v>16</v>
      </c>
      <c r="AE193" s="1">
        <v>15</v>
      </c>
      <c r="AF193" s="18">
        <f t="shared" si="2"/>
        <v>51.8</v>
      </c>
    </row>
    <row r="194" spans="1:32" x14ac:dyDescent="0.35">
      <c r="A194" s="1" t="s">
        <v>152</v>
      </c>
      <c r="B194" s="1">
        <v>110</v>
      </c>
      <c r="C194" s="1">
        <v>31</v>
      </c>
      <c r="D194" s="1">
        <v>54</v>
      </c>
      <c r="E194" s="1">
        <v>47</v>
      </c>
      <c r="F194" s="1">
        <v>39</v>
      </c>
      <c r="G194" s="1">
        <v>136</v>
      </c>
      <c r="H194" s="1">
        <v>51</v>
      </c>
      <c r="I194" s="1">
        <v>23</v>
      </c>
      <c r="J194" s="1">
        <v>38</v>
      </c>
      <c r="K194" s="1">
        <v>48</v>
      </c>
      <c r="L194" s="1">
        <v>58</v>
      </c>
      <c r="M194" s="1">
        <v>18</v>
      </c>
      <c r="N194" s="1">
        <v>30</v>
      </c>
      <c r="O194" s="1">
        <v>13</v>
      </c>
      <c r="P194" s="1">
        <v>117</v>
      </c>
      <c r="Q194" s="1">
        <v>15</v>
      </c>
      <c r="R194" s="1">
        <v>14</v>
      </c>
      <c r="S194" s="1">
        <v>174</v>
      </c>
      <c r="T194" s="1">
        <v>18</v>
      </c>
      <c r="U194" s="1">
        <v>44</v>
      </c>
      <c r="V194" s="1">
        <v>123</v>
      </c>
      <c r="W194" s="1">
        <v>20</v>
      </c>
      <c r="X194" s="1">
        <v>180</v>
      </c>
      <c r="Y194" s="1">
        <v>19</v>
      </c>
      <c r="Z194" s="1">
        <v>36</v>
      </c>
      <c r="AA194" s="1">
        <v>15</v>
      </c>
      <c r="AB194" s="1">
        <v>112</v>
      </c>
      <c r="AC194" s="1">
        <v>53</v>
      </c>
      <c r="AD194" s="1">
        <v>29</v>
      </c>
      <c r="AE194" s="1">
        <v>176</v>
      </c>
      <c r="AF194" s="18">
        <f t="shared" si="2"/>
        <v>61.366666666666667</v>
      </c>
    </row>
    <row r="195" spans="1:32" x14ac:dyDescent="0.35">
      <c r="A195" s="1" t="s">
        <v>153</v>
      </c>
      <c r="B195" s="1">
        <v>44</v>
      </c>
      <c r="C195" s="1">
        <v>31</v>
      </c>
      <c r="D195" s="1">
        <v>12</v>
      </c>
      <c r="E195" s="1">
        <v>45</v>
      </c>
      <c r="F195" s="1">
        <v>15</v>
      </c>
      <c r="G195" s="1">
        <v>13</v>
      </c>
      <c r="H195" s="1">
        <v>17</v>
      </c>
      <c r="I195" s="1">
        <v>23</v>
      </c>
      <c r="J195" s="1">
        <v>19</v>
      </c>
      <c r="K195" s="1">
        <v>23</v>
      </c>
      <c r="L195" s="1">
        <v>16</v>
      </c>
      <c r="M195" s="1">
        <v>31</v>
      </c>
      <c r="N195" s="1">
        <v>12</v>
      </c>
      <c r="O195" s="1">
        <v>125</v>
      </c>
      <c r="P195" s="1">
        <v>18</v>
      </c>
      <c r="Q195" s="1">
        <v>28</v>
      </c>
      <c r="R195" s="1">
        <v>18</v>
      </c>
      <c r="S195" s="1">
        <v>137</v>
      </c>
      <c r="T195" s="1">
        <v>24</v>
      </c>
      <c r="U195" s="1">
        <v>34</v>
      </c>
      <c r="V195" s="1">
        <v>137</v>
      </c>
      <c r="W195" s="1">
        <v>91</v>
      </c>
      <c r="X195" s="1">
        <v>35</v>
      </c>
      <c r="Y195" s="1">
        <v>54</v>
      </c>
      <c r="Z195" s="1">
        <v>23</v>
      </c>
      <c r="AA195" s="1">
        <v>35</v>
      </c>
      <c r="AB195" s="1">
        <v>25</v>
      </c>
      <c r="AC195" s="1">
        <v>70</v>
      </c>
      <c r="AD195" s="1">
        <v>17</v>
      </c>
      <c r="AE195" s="1">
        <v>61</v>
      </c>
      <c r="AF195" s="18">
        <f t="shared" si="2"/>
        <v>41.1</v>
      </c>
    </row>
    <row r="196" spans="1:32" x14ac:dyDescent="0.35">
      <c r="A196" s="1" t="s">
        <v>193</v>
      </c>
      <c r="B196" s="1">
        <v>125</v>
      </c>
      <c r="C196" s="1">
        <v>122</v>
      </c>
      <c r="D196" s="1">
        <v>23</v>
      </c>
      <c r="E196" s="1">
        <v>29</v>
      </c>
      <c r="F196" s="1">
        <v>34</v>
      </c>
      <c r="G196" s="1">
        <v>95</v>
      </c>
      <c r="H196" s="1">
        <v>14</v>
      </c>
      <c r="I196" s="1">
        <v>52</v>
      </c>
      <c r="J196" s="1">
        <v>25</v>
      </c>
      <c r="K196" s="1">
        <v>20</v>
      </c>
      <c r="L196" s="1">
        <v>19</v>
      </c>
      <c r="M196" s="1">
        <v>88</v>
      </c>
      <c r="N196" s="1">
        <v>16</v>
      </c>
      <c r="O196" s="1">
        <v>29</v>
      </c>
      <c r="P196" s="1">
        <v>134</v>
      </c>
      <c r="Q196" s="1">
        <v>44</v>
      </c>
      <c r="R196" s="1">
        <v>26</v>
      </c>
      <c r="S196" s="1">
        <v>25</v>
      </c>
      <c r="T196" s="1">
        <v>25</v>
      </c>
      <c r="U196" s="1">
        <v>71</v>
      </c>
      <c r="V196" s="1">
        <v>35</v>
      </c>
      <c r="W196" s="1">
        <v>122</v>
      </c>
      <c r="X196" s="1">
        <v>19</v>
      </c>
      <c r="Y196" s="1">
        <v>209</v>
      </c>
      <c r="Z196" s="1">
        <v>44</v>
      </c>
      <c r="AA196" s="1">
        <v>15</v>
      </c>
      <c r="AB196" s="1">
        <v>14</v>
      </c>
      <c r="AC196" s="1">
        <v>26</v>
      </c>
      <c r="AD196" s="1">
        <v>66</v>
      </c>
      <c r="AE196" s="1">
        <v>31</v>
      </c>
      <c r="AF196" s="18">
        <f t="shared" ref="AF196:AF202" si="3">AVERAGE(B196:AE196)</f>
        <v>53.233333333333334</v>
      </c>
    </row>
    <row r="197" spans="1:32" x14ac:dyDescent="0.35">
      <c r="A197" s="1" t="s">
        <v>154</v>
      </c>
      <c r="B197" s="1">
        <v>22</v>
      </c>
      <c r="C197" s="1">
        <v>13</v>
      </c>
      <c r="D197" s="1">
        <v>56</v>
      </c>
      <c r="E197" s="1">
        <v>69</v>
      </c>
      <c r="F197" s="1">
        <v>24</v>
      </c>
      <c r="G197" s="1">
        <v>47</v>
      </c>
      <c r="H197" s="1">
        <v>40</v>
      </c>
      <c r="I197" s="1">
        <v>21</v>
      </c>
      <c r="J197" s="1">
        <v>27</v>
      </c>
      <c r="K197" s="1">
        <v>32</v>
      </c>
      <c r="L197" s="1">
        <v>27</v>
      </c>
      <c r="M197" s="1">
        <v>60</v>
      </c>
      <c r="N197" s="1">
        <v>116</v>
      </c>
      <c r="O197" s="1">
        <v>147</v>
      </c>
      <c r="P197" s="1">
        <v>22</v>
      </c>
      <c r="Q197" s="1">
        <v>50</v>
      </c>
      <c r="R197" s="1">
        <v>18</v>
      </c>
      <c r="S197" s="1">
        <v>93</v>
      </c>
      <c r="T197" s="1">
        <v>57</v>
      </c>
      <c r="U197" s="1">
        <v>42</v>
      </c>
      <c r="V197" s="1">
        <v>69</v>
      </c>
      <c r="W197" s="1">
        <v>227</v>
      </c>
      <c r="X197" s="1">
        <v>12</v>
      </c>
      <c r="Y197" s="1">
        <v>57</v>
      </c>
      <c r="Z197" s="1">
        <v>14</v>
      </c>
      <c r="AA197" s="1">
        <v>329</v>
      </c>
      <c r="AB197" s="1">
        <v>45</v>
      </c>
      <c r="AC197" s="1">
        <v>23</v>
      </c>
      <c r="AD197" s="1">
        <v>48</v>
      </c>
      <c r="AE197" s="1">
        <v>32</v>
      </c>
      <c r="AF197" s="18">
        <f t="shared" si="3"/>
        <v>61.3</v>
      </c>
    </row>
    <row r="198" spans="1:32" x14ac:dyDescent="0.35">
      <c r="A198" s="1" t="s">
        <v>155</v>
      </c>
      <c r="B198" s="1">
        <v>16</v>
      </c>
      <c r="C198" s="1">
        <v>109</v>
      </c>
      <c r="D198" s="1">
        <v>53</v>
      </c>
      <c r="E198" s="1">
        <v>16</v>
      </c>
      <c r="F198" s="1">
        <v>72</v>
      </c>
      <c r="G198" s="1">
        <v>15</v>
      </c>
      <c r="H198" s="1">
        <v>29</v>
      </c>
      <c r="I198" s="1">
        <v>19</v>
      </c>
      <c r="J198" s="1">
        <v>36</v>
      </c>
      <c r="K198" s="1">
        <v>13</v>
      </c>
      <c r="L198" s="1">
        <v>17</v>
      </c>
      <c r="M198" s="1">
        <v>144</v>
      </c>
      <c r="N198" s="1">
        <v>81</v>
      </c>
      <c r="O198" s="1">
        <v>76</v>
      </c>
      <c r="P198" s="1">
        <v>44</v>
      </c>
      <c r="Q198" s="1">
        <v>138</v>
      </c>
      <c r="R198" s="1">
        <v>12</v>
      </c>
      <c r="S198" s="1">
        <v>12</v>
      </c>
      <c r="T198" s="1">
        <v>182</v>
      </c>
      <c r="U198" s="1">
        <v>13</v>
      </c>
      <c r="V198" s="1">
        <v>23</v>
      </c>
      <c r="W198" s="1">
        <v>29</v>
      </c>
      <c r="X198" s="1">
        <v>56</v>
      </c>
      <c r="Y198" s="1">
        <v>36</v>
      </c>
      <c r="Z198" s="1">
        <v>137</v>
      </c>
      <c r="AA198" s="1">
        <v>29</v>
      </c>
      <c r="AB198" s="1">
        <v>41</v>
      </c>
      <c r="AC198" s="1">
        <v>79</v>
      </c>
      <c r="AD198" s="1">
        <v>14</v>
      </c>
      <c r="AE198" s="1">
        <v>24</v>
      </c>
      <c r="AF198" s="18">
        <f t="shared" si="3"/>
        <v>52.166666666666664</v>
      </c>
    </row>
    <row r="199" spans="1:32" x14ac:dyDescent="0.35">
      <c r="A199" s="1" t="s">
        <v>163</v>
      </c>
      <c r="B199" s="1">
        <v>12</v>
      </c>
      <c r="C199" s="1">
        <v>89</v>
      </c>
      <c r="D199" s="1">
        <v>228</v>
      </c>
      <c r="E199" s="1">
        <v>56</v>
      </c>
      <c r="F199" s="1">
        <v>34</v>
      </c>
      <c r="G199" s="1">
        <v>71</v>
      </c>
      <c r="H199" s="1">
        <v>81</v>
      </c>
      <c r="I199" s="1">
        <v>12</v>
      </c>
      <c r="J199" s="1">
        <v>44</v>
      </c>
      <c r="K199" s="1">
        <v>171</v>
      </c>
      <c r="L199" s="1">
        <v>38</v>
      </c>
      <c r="M199" s="1">
        <v>26</v>
      </c>
      <c r="N199" s="1">
        <v>69</v>
      </c>
      <c r="O199" s="1">
        <v>49</v>
      </c>
      <c r="P199" s="1">
        <v>39</v>
      </c>
      <c r="Q199" s="1">
        <v>46</v>
      </c>
      <c r="R199" s="1">
        <v>46</v>
      </c>
      <c r="S199" s="1">
        <v>53</v>
      </c>
      <c r="T199" s="1">
        <v>28</v>
      </c>
      <c r="U199" s="1">
        <v>25</v>
      </c>
      <c r="V199" s="1">
        <v>36</v>
      </c>
      <c r="W199" s="1">
        <v>31</v>
      </c>
      <c r="X199" s="1">
        <v>22</v>
      </c>
      <c r="Y199" s="1">
        <v>20</v>
      </c>
      <c r="Z199" s="1">
        <v>111</v>
      </c>
      <c r="AA199" s="1">
        <v>107</v>
      </c>
      <c r="AB199" s="1">
        <v>159</v>
      </c>
      <c r="AC199" s="1">
        <v>164</v>
      </c>
      <c r="AD199" s="1">
        <v>42</v>
      </c>
      <c r="AE199" s="1">
        <v>49</v>
      </c>
      <c r="AF199" s="18">
        <f t="shared" si="3"/>
        <v>65.266666666666666</v>
      </c>
    </row>
    <row r="200" spans="1:32" x14ac:dyDescent="0.35">
      <c r="A200" s="1" t="s">
        <v>194</v>
      </c>
      <c r="B200" s="1">
        <v>13</v>
      </c>
      <c r="C200" s="1">
        <v>35</v>
      </c>
      <c r="D200" s="1">
        <v>32</v>
      </c>
      <c r="E200" s="1">
        <v>17</v>
      </c>
      <c r="F200" s="1">
        <v>13</v>
      </c>
      <c r="G200" s="1">
        <v>13</v>
      </c>
      <c r="H200" s="1">
        <v>93</v>
      </c>
      <c r="I200" s="1">
        <v>37</v>
      </c>
      <c r="J200" s="1">
        <v>13</v>
      </c>
      <c r="K200" s="1">
        <v>38</v>
      </c>
      <c r="L200" s="1">
        <v>31</v>
      </c>
      <c r="M200" s="1">
        <v>30</v>
      </c>
      <c r="N200" s="1">
        <v>17</v>
      </c>
      <c r="O200" s="1">
        <v>36</v>
      </c>
      <c r="P200" s="1">
        <v>14</v>
      </c>
      <c r="Q200" s="1">
        <v>73</v>
      </c>
      <c r="R200" s="1">
        <v>14</v>
      </c>
      <c r="S200" s="1">
        <v>26</v>
      </c>
      <c r="T200" s="1">
        <v>42</v>
      </c>
      <c r="U200" s="1">
        <v>30</v>
      </c>
      <c r="V200" s="1">
        <v>31</v>
      </c>
      <c r="W200" s="1">
        <v>14</v>
      </c>
      <c r="X200" s="1">
        <v>18</v>
      </c>
      <c r="Y200" s="1">
        <v>174</v>
      </c>
      <c r="Z200" s="1">
        <v>15</v>
      </c>
      <c r="AA200" s="1">
        <v>14</v>
      </c>
      <c r="AB200" s="1">
        <v>85</v>
      </c>
      <c r="AC200" s="1">
        <v>87</v>
      </c>
      <c r="AD200" s="1">
        <v>43</v>
      </c>
      <c r="AE200" s="1">
        <v>37</v>
      </c>
      <c r="AF200" s="18">
        <f t="shared" si="3"/>
        <v>37.833333333333336</v>
      </c>
    </row>
    <row r="201" spans="1:32" x14ac:dyDescent="0.35">
      <c r="A201" s="1" t="s">
        <v>157</v>
      </c>
      <c r="B201" s="1">
        <v>29</v>
      </c>
      <c r="C201" s="1">
        <v>19</v>
      </c>
      <c r="D201" s="1">
        <v>33</v>
      </c>
      <c r="E201" s="1">
        <v>19</v>
      </c>
      <c r="F201" s="1">
        <v>15</v>
      </c>
      <c r="G201" s="1">
        <v>20</v>
      </c>
      <c r="H201" s="1">
        <v>51</v>
      </c>
      <c r="I201" s="1">
        <v>84</v>
      </c>
      <c r="J201" s="1">
        <v>12</v>
      </c>
      <c r="K201" s="1">
        <v>87</v>
      </c>
      <c r="L201" s="1">
        <v>12</v>
      </c>
      <c r="M201" s="1">
        <v>49</v>
      </c>
      <c r="N201" s="1">
        <v>47</v>
      </c>
      <c r="O201" s="1">
        <v>146</v>
      </c>
      <c r="P201" s="1">
        <v>154</v>
      </c>
      <c r="Q201" s="1">
        <v>97</v>
      </c>
      <c r="R201" s="1">
        <v>230</v>
      </c>
      <c r="S201" s="1">
        <v>110</v>
      </c>
      <c r="T201" s="1">
        <v>78</v>
      </c>
      <c r="U201" s="1">
        <v>32</v>
      </c>
      <c r="V201" s="1">
        <v>33</v>
      </c>
      <c r="W201" s="1">
        <v>44</v>
      </c>
      <c r="X201" s="1">
        <v>22</v>
      </c>
      <c r="Y201" s="1">
        <v>26</v>
      </c>
      <c r="Z201" s="1">
        <v>26</v>
      </c>
      <c r="AA201" s="1">
        <v>98</v>
      </c>
      <c r="AB201" s="1">
        <v>64</v>
      </c>
      <c r="AC201" s="1">
        <v>22</v>
      </c>
      <c r="AD201" s="1">
        <v>16</v>
      </c>
      <c r="AE201" s="1">
        <v>101</v>
      </c>
      <c r="AF201" s="18">
        <f t="shared" si="3"/>
        <v>59.2</v>
      </c>
    </row>
    <row r="202" spans="1:32" x14ac:dyDescent="0.35">
      <c r="A202" s="1" t="s">
        <v>158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8">
        <f t="shared" si="3"/>
        <v>0</v>
      </c>
    </row>
    <row r="203" spans="1:32" x14ac:dyDescent="0.35">
      <c r="B203" s="1">
        <v>98</v>
      </c>
      <c r="C203" s="1">
        <v>73</v>
      </c>
      <c r="D203" s="1">
        <v>50</v>
      </c>
      <c r="E203" s="1">
        <v>22</v>
      </c>
      <c r="F203" s="1">
        <v>42</v>
      </c>
      <c r="G203" s="1">
        <v>85</v>
      </c>
      <c r="H203" s="1">
        <v>26</v>
      </c>
      <c r="I203" s="1">
        <v>48</v>
      </c>
      <c r="J203" s="1">
        <v>14</v>
      </c>
      <c r="K203" s="1">
        <v>13</v>
      </c>
      <c r="L203" s="1">
        <v>13</v>
      </c>
      <c r="M203" s="1">
        <v>42</v>
      </c>
      <c r="N203" s="1">
        <v>44</v>
      </c>
      <c r="O203" s="1">
        <v>31</v>
      </c>
      <c r="P203" s="1">
        <v>39</v>
      </c>
      <c r="Q203" s="1">
        <v>39</v>
      </c>
      <c r="R203" s="1">
        <v>17</v>
      </c>
      <c r="S203" s="1">
        <v>12</v>
      </c>
      <c r="T203" s="1">
        <v>24</v>
      </c>
      <c r="U203" s="1">
        <v>30</v>
      </c>
      <c r="V203" s="1">
        <v>13</v>
      </c>
      <c r="W203" s="1">
        <v>19</v>
      </c>
      <c r="X203" s="1">
        <v>39</v>
      </c>
      <c r="Y203" s="1">
        <v>16</v>
      </c>
      <c r="Z203" s="1">
        <v>110</v>
      </c>
      <c r="AA203" s="1">
        <v>14</v>
      </c>
      <c r="AB203" s="1">
        <v>13</v>
      </c>
      <c r="AC203" s="1">
        <v>15</v>
      </c>
      <c r="AD203" s="1">
        <v>38</v>
      </c>
      <c r="AE203" s="1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9FF7-9EEB-4662-B47C-4B379D6F629B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8">
        <f>AVERAGE(B3:AE3)</f>
        <v>0</v>
      </c>
    </row>
    <row r="4" spans="1:32" x14ac:dyDescent="0.35">
      <c r="A4" s="1" t="s">
        <v>166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8">
        <f t="shared" ref="AF4:AF67" si="0">AVERAGE(B4:AE4)</f>
        <v>0</v>
      </c>
    </row>
    <row r="5" spans="1:32" x14ac:dyDescent="0.35">
      <c r="A5" s="1" t="s">
        <v>167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8">
        <f t="shared" si="0"/>
        <v>0</v>
      </c>
    </row>
    <row r="6" spans="1:32" x14ac:dyDescent="0.35">
      <c r="A6" s="1" t="s">
        <v>211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8">
        <f t="shared" si="0"/>
        <v>0</v>
      </c>
    </row>
    <row r="7" spans="1:32" x14ac:dyDescent="0.35">
      <c r="A7" s="1" t="s">
        <v>168</v>
      </c>
      <c r="B7" s="1">
        <v>24</v>
      </c>
      <c r="C7" s="1">
        <v>14</v>
      </c>
      <c r="D7" s="1">
        <v>23</v>
      </c>
      <c r="E7" s="1">
        <v>15</v>
      </c>
      <c r="F7" s="1">
        <v>57</v>
      </c>
      <c r="G7" s="1">
        <v>38</v>
      </c>
      <c r="H7" s="1">
        <v>19</v>
      </c>
      <c r="I7" s="1">
        <v>31</v>
      </c>
      <c r="J7" s="1">
        <v>23</v>
      </c>
      <c r="K7" s="1">
        <v>16</v>
      </c>
      <c r="L7" s="1">
        <v>17</v>
      </c>
      <c r="M7" s="1">
        <v>42</v>
      </c>
      <c r="N7" s="1">
        <v>19</v>
      </c>
      <c r="O7" s="1">
        <v>45</v>
      </c>
      <c r="P7" s="1">
        <v>12</v>
      </c>
      <c r="Q7" s="1">
        <v>134</v>
      </c>
      <c r="R7" s="1">
        <v>100</v>
      </c>
      <c r="S7" s="1">
        <v>13</v>
      </c>
      <c r="T7" s="1">
        <v>40</v>
      </c>
      <c r="U7" s="1">
        <v>16</v>
      </c>
      <c r="V7" s="1">
        <v>25</v>
      </c>
      <c r="W7" s="1">
        <v>35</v>
      </c>
      <c r="X7" s="1">
        <v>28</v>
      </c>
      <c r="Y7" s="1">
        <v>21</v>
      </c>
      <c r="Z7" s="1">
        <v>20</v>
      </c>
      <c r="AA7" s="1">
        <v>59</v>
      </c>
      <c r="AB7" s="1">
        <v>31</v>
      </c>
      <c r="AC7" s="1">
        <v>25</v>
      </c>
      <c r="AD7" s="1">
        <v>43</v>
      </c>
      <c r="AE7" s="1">
        <v>27</v>
      </c>
      <c r="AF7" s="18">
        <f t="shared" si="0"/>
        <v>33.733333333333334</v>
      </c>
    </row>
    <row r="8" spans="1:32" x14ac:dyDescent="0.35">
      <c r="A8" s="1" t="s">
        <v>169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8">
        <f t="shared" si="0"/>
        <v>0</v>
      </c>
    </row>
    <row r="9" spans="1:32" x14ac:dyDescent="0.35">
      <c r="A9" s="1" t="s">
        <v>170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8">
        <f t="shared" si="0"/>
        <v>0</v>
      </c>
    </row>
    <row r="10" spans="1:32" x14ac:dyDescent="0.35">
      <c r="A10" s="1" t="s">
        <v>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8">
        <f t="shared" si="0"/>
        <v>0</v>
      </c>
    </row>
    <row r="11" spans="1:32" x14ac:dyDescent="0.35">
      <c r="A11" s="1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8">
        <f t="shared" si="0"/>
        <v>0</v>
      </c>
    </row>
    <row r="12" spans="1:32" x14ac:dyDescent="0.35">
      <c r="A12" s="1" t="s">
        <v>161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8">
        <f t="shared" si="0"/>
        <v>0</v>
      </c>
    </row>
    <row r="13" spans="1:32" x14ac:dyDescent="0.35">
      <c r="A13" s="1" t="s">
        <v>212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8">
        <f t="shared" si="0"/>
        <v>0</v>
      </c>
    </row>
    <row r="14" spans="1:32" x14ac:dyDescent="0.35">
      <c r="A14" s="1" t="s">
        <v>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8">
        <f t="shared" si="0"/>
        <v>0</v>
      </c>
    </row>
    <row r="15" spans="1:32" x14ac:dyDescent="0.35">
      <c r="A15" s="1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8">
        <f t="shared" si="0"/>
        <v>0</v>
      </c>
    </row>
    <row r="16" spans="1:32" x14ac:dyDescent="0.35">
      <c r="A16" s="1" t="s">
        <v>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8">
        <f t="shared" si="0"/>
        <v>0</v>
      </c>
    </row>
    <row r="17" spans="1:32" x14ac:dyDescent="0.35">
      <c r="A17" s="1" t="s">
        <v>9</v>
      </c>
      <c r="B17" s="1">
        <v>19</v>
      </c>
      <c r="C17" s="1">
        <v>41</v>
      </c>
      <c r="D17" s="1">
        <v>18</v>
      </c>
      <c r="E17" s="1">
        <v>36</v>
      </c>
      <c r="F17" s="1">
        <v>55</v>
      </c>
      <c r="G17" s="1">
        <v>44</v>
      </c>
      <c r="H17" s="1">
        <v>184</v>
      </c>
      <c r="I17" s="1">
        <v>26</v>
      </c>
      <c r="J17" s="1">
        <v>26</v>
      </c>
      <c r="K17" s="1">
        <v>32</v>
      </c>
      <c r="L17" s="1">
        <v>18</v>
      </c>
      <c r="M17" s="1">
        <v>19</v>
      </c>
      <c r="N17" s="1">
        <v>141</v>
      </c>
      <c r="O17" s="1">
        <v>63</v>
      </c>
      <c r="P17" s="1">
        <v>58</v>
      </c>
      <c r="Q17" s="1">
        <v>153</v>
      </c>
      <c r="R17" s="1">
        <v>232</v>
      </c>
      <c r="S17" s="1">
        <v>70</v>
      </c>
      <c r="T17" s="1">
        <v>127</v>
      </c>
      <c r="U17" s="1">
        <v>35</v>
      </c>
      <c r="V17" s="1">
        <v>113</v>
      </c>
      <c r="W17" s="1">
        <v>52</v>
      </c>
      <c r="X17" s="1">
        <v>103</v>
      </c>
      <c r="Y17" s="1">
        <v>29</v>
      </c>
      <c r="Z17" s="1">
        <v>35</v>
      </c>
      <c r="AA17" s="1">
        <v>32</v>
      </c>
      <c r="AB17" s="1">
        <v>60</v>
      </c>
      <c r="AC17" s="1">
        <v>45</v>
      </c>
      <c r="AD17" s="1">
        <v>28</v>
      </c>
      <c r="AE17" s="1">
        <v>16</v>
      </c>
      <c r="AF17" s="18">
        <f t="shared" si="0"/>
        <v>63.666666666666664</v>
      </c>
    </row>
    <row r="18" spans="1:32" x14ac:dyDescent="0.35">
      <c r="A18" s="1" t="s">
        <v>213</v>
      </c>
      <c r="B18" s="1">
        <v>17</v>
      </c>
      <c r="C18" s="1">
        <v>28</v>
      </c>
      <c r="D18" s="1">
        <v>45</v>
      </c>
      <c r="E18" s="1">
        <v>18</v>
      </c>
      <c r="F18" s="1">
        <v>48</v>
      </c>
      <c r="G18" s="1">
        <v>116</v>
      </c>
      <c r="H18" s="1">
        <v>80</v>
      </c>
      <c r="I18" s="1">
        <v>23</v>
      </c>
      <c r="J18" s="1">
        <v>49</v>
      </c>
      <c r="K18" s="1">
        <v>28</v>
      </c>
      <c r="L18" s="1">
        <v>16</v>
      </c>
      <c r="M18" s="1">
        <v>17</v>
      </c>
      <c r="N18" s="1">
        <v>14</v>
      </c>
      <c r="O18" s="1">
        <v>16</v>
      </c>
      <c r="P18" s="1">
        <v>39</v>
      </c>
      <c r="Q18" s="1">
        <v>42</v>
      </c>
      <c r="R18" s="1">
        <v>70</v>
      </c>
      <c r="S18" s="1">
        <v>28</v>
      </c>
      <c r="T18" s="1">
        <v>34</v>
      </c>
      <c r="U18" s="1">
        <v>52</v>
      </c>
      <c r="V18" s="1">
        <v>47</v>
      </c>
      <c r="W18" s="1">
        <v>47</v>
      </c>
      <c r="X18" s="1">
        <v>201</v>
      </c>
      <c r="Y18" s="1">
        <v>23</v>
      </c>
      <c r="Z18" s="1">
        <v>31</v>
      </c>
      <c r="AA18" s="1">
        <v>53</v>
      </c>
      <c r="AB18" s="1">
        <v>34</v>
      </c>
      <c r="AC18" s="1">
        <v>28</v>
      </c>
      <c r="AD18" s="1">
        <v>24</v>
      </c>
      <c r="AE18" s="1">
        <v>13</v>
      </c>
      <c r="AF18" s="18">
        <f t="shared" si="0"/>
        <v>42.7</v>
      </c>
    </row>
    <row r="19" spans="1:32" x14ac:dyDescent="0.35">
      <c r="A19" s="1" t="s">
        <v>171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8">
        <f t="shared" si="0"/>
        <v>0</v>
      </c>
    </row>
    <row r="20" spans="1:32" x14ac:dyDescent="0.35">
      <c r="A20" s="1" t="s">
        <v>214</v>
      </c>
      <c r="B20" s="1">
        <v>76</v>
      </c>
      <c r="C20" s="1">
        <v>92</v>
      </c>
      <c r="D20" s="1">
        <v>49</v>
      </c>
      <c r="E20" s="1">
        <v>20</v>
      </c>
      <c r="F20" s="1">
        <v>13</v>
      </c>
      <c r="G20" s="1">
        <v>22</v>
      </c>
      <c r="H20" s="1">
        <v>33</v>
      </c>
      <c r="I20" s="1">
        <v>44</v>
      </c>
      <c r="J20" s="1">
        <v>76</v>
      </c>
      <c r="K20" s="1">
        <v>15</v>
      </c>
      <c r="L20" s="1">
        <v>52</v>
      </c>
      <c r="M20" s="1">
        <v>14</v>
      </c>
      <c r="N20" s="1">
        <v>59</v>
      </c>
      <c r="O20" s="1">
        <v>26</v>
      </c>
      <c r="P20" s="1">
        <v>18</v>
      </c>
      <c r="Q20" s="1">
        <v>48</v>
      </c>
      <c r="R20" s="1">
        <v>23</v>
      </c>
      <c r="S20" s="1">
        <v>58</v>
      </c>
      <c r="T20" s="1">
        <v>22</v>
      </c>
      <c r="U20" s="1">
        <v>78</v>
      </c>
      <c r="V20" s="1">
        <v>38</v>
      </c>
      <c r="W20" s="1">
        <v>19</v>
      </c>
      <c r="X20" s="1">
        <v>29</v>
      </c>
      <c r="Y20" s="1">
        <v>57</v>
      </c>
      <c r="Z20" s="1">
        <v>34</v>
      </c>
      <c r="AA20" s="1">
        <v>76</v>
      </c>
      <c r="AB20" s="1">
        <v>49</v>
      </c>
      <c r="AC20" s="1">
        <v>27</v>
      </c>
      <c r="AD20" s="1">
        <v>232</v>
      </c>
      <c r="AE20" s="1">
        <v>16</v>
      </c>
      <c r="AF20" s="18">
        <f t="shared" si="0"/>
        <v>47.166666666666664</v>
      </c>
    </row>
    <row r="21" spans="1:32" x14ac:dyDescent="0.35">
      <c r="A21" s="1" t="s">
        <v>10</v>
      </c>
      <c r="B21" s="1">
        <v>18</v>
      </c>
      <c r="C21" s="1">
        <v>64</v>
      </c>
      <c r="D21" s="1">
        <v>138</v>
      </c>
      <c r="E21" s="1">
        <v>40</v>
      </c>
      <c r="F21" s="1">
        <v>73</v>
      </c>
      <c r="G21" s="1">
        <v>74</v>
      </c>
      <c r="H21" s="1">
        <v>63</v>
      </c>
      <c r="I21" s="1">
        <v>61</v>
      </c>
      <c r="J21" s="1">
        <v>64</v>
      </c>
      <c r="K21" s="1">
        <v>213</v>
      </c>
      <c r="L21" s="1">
        <v>104</v>
      </c>
      <c r="M21" s="1">
        <v>265</v>
      </c>
      <c r="N21" s="1">
        <v>24</v>
      </c>
      <c r="O21" s="1">
        <v>162</v>
      </c>
      <c r="P21" s="1">
        <v>31</v>
      </c>
      <c r="Q21" s="1">
        <v>12</v>
      </c>
      <c r="R21" s="1">
        <v>93</v>
      </c>
      <c r="S21" s="1">
        <v>59</v>
      </c>
      <c r="T21" s="1">
        <v>17</v>
      </c>
      <c r="U21" s="1">
        <v>87</v>
      </c>
      <c r="V21" s="1">
        <v>24</v>
      </c>
      <c r="W21" s="1">
        <v>201</v>
      </c>
      <c r="X21" s="1">
        <v>87</v>
      </c>
      <c r="Y21" s="1">
        <v>87</v>
      </c>
      <c r="Z21" s="1">
        <v>47</v>
      </c>
      <c r="AA21" s="1">
        <v>89</v>
      </c>
      <c r="AB21" s="1">
        <v>242</v>
      </c>
      <c r="AC21" s="1">
        <v>48</v>
      </c>
      <c r="AD21" s="1">
        <v>20</v>
      </c>
      <c r="AE21" s="1">
        <v>26</v>
      </c>
      <c r="AF21" s="18">
        <f t="shared" si="0"/>
        <v>84.433333333333337</v>
      </c>
    </row>
    <row r="22" spans="1:32" x14ac:dyDescent="0.35">
      <c r="A22" s="1" t="s">
        <v>11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8">
        <f t="shared" si="0"/>
        <v>0</v>
      </c>
    </row>
    <row r="23" spans="1:32" x14ac:dyDescent="0.35">
      <c r="A23" s="1" t="s">
        <v>12</v>
      </c>
      <c r="B23" s="1">
        <v>143</v>
      </c>
      <c r="C23" s="1">
        <v>166</v>
      </c>
      <c r="D23" s="1">
        <v>33</v>
      </c>
      <c r="E23" s="1">
        <v>15</v>
      </c>
      <c r="F23" s="1">
        <v>142</v>
      </c>
      <c r="G23" s="1">
        <v>119</v>
      </c>
      <c r="H23" s="1">
        <v>142</v>
      </c>
      <c r="I23" s="1">
        <v>22</v>
      </c>
      <c r="J23" s="1">
        <v>92</v>
      </c>
      <c r="K23" s="1">
        <v>53</v>
      </c>
      <c r="L23" s="1">
        <v>21</v>
      </c>
      <c r="M23" s="1">
        <v>69</v>
      </c>
      <c r="N23" s="1">
        <v>62</v>
      </c>
      <c r="O23" s="1">
        <v>14</v>
      </c>
      <c r="P23" s="1">
        <v>32</v>
      </c>
      <c r="Q23" s="1">
        <v>29</v>
      </c>
      <c r="R23" s="1">
        <v>32</v>
      </c>
      <c r="S23" s="1">
        <v>59</v>
      </c>
      <c r="T23" s="1">
        <v>31</v>
      </c>
      <c r="U23" s="1">
        <v>83</v>
      </c>
      <c r="V23" s="1">
        <v>67</v>
      </c>
      <c r="W23" s="1">
        <v>129</v>
      </c>
      <c r="X23" s="1">
        <v>13</v>
      </c>
      <c r="Y23" s="1">
        <v>96</v>
      </c>
      <c r="Z23" s="1">
        <v>52</v>
      </c>
      <c r="AA23" s="1">
        <v>71</v>
      </c>
      <c r="AB23" s="1">
        <v>12</v>
      </c>
      <c r="AC23" s="1">
        <v>58</v>
      </c>
      <c r="AD23" s="1">
        <v>101</v>
      </c>
      <c r="AE23" s="1">
        <v>16</v>
      </c>
      <c r="AF23" s="18">
        <f t="shared" si="0"/>
        <v>65.8</v>
      </c>
    </row>
    <row r="24" spans="1:32" x14ac:dyDescent="0.35">
      <c r="A24" s="1" t="s">
        <v>13</v>
      </c>
      <c r="B24" s="1">
        <v>13</v>
      </c>
      <c r="C24" s="1">
        <v>54</v>
      </c>
      <c r="D24" s="1">
        <v>12</v>
      </c>
      <c r="E24" s="1">
        <v>16</v>
      </c>
      <c r="F24" s="1">
        <v>186</v>
      </c>
      <c r="G24" s="1">
        <v>196</v>
      </c>
      <c r="H24" s="1">
        <v>13</v>
      </c>
      <c r="I24" s="1">
        <v>30</v>
      </c>
      <c r="J24" s="1">
        <v>198</v>
      </c>
      <c r="K24" s="1">
        <v>104</v>
      </c>
      <c r="L24" s="1">
        <v>30</v>
      </c>
      <c r="M24" s="1">
        <v>15</v>
      </c>
      <c r="N24" s="1">
        <v>80</v>
      </c>
      <c r="O24" s="1">
        <v>17</v>
      </c>
      <c r="P24" s="1">
        <v>18</v>
      </c>
      <c r="Q24" s="1">
        <v>114</v>
      </c>
      <c r="R24" s="1">
        <v>110</v>
      </c>
      <c r="S24" s="1">
        <v>32</v>
      </c>
      <c r="T24" s="1">
        <v>35</v>
      </c>
      <c r="U24" s="1">
        <v>16</v>
      </c>
      <c r="V24" s="1">
        <v>95</v>
      </c>
      <c r="W24" s="1">
        <v>22</v>
      </c>
      <c r="X24" s="1">
        <v>28</v>
      </c>
      <c r="Y24" s="1">
        <v>31</v>
      </c>
      <c r="Z24" s="1">
        <v>262</v>
      </c>
      <c r="AA24" s="1">
        <v>125</v>
      </c>
      <c r="AB24" s="1">
        <v>24</v>
      </c>
      <c r="AC24" s="1">
        <v>230</v>
      </c>
      <c r="AD24" s="1">
        <v>35</v>
      </c>
      <c r="AE24" s="1">
        <v>12</v>
      </c>
      <c r="AF24" s="18">
        <f t="shared" si="0"/>
        <v>71.766666666666666</v>
      </c>
    </row>
    <row r="25" spans="1:32" x14ac:dyDescent="0.35">
      <c r="A25" s="1" t="s">
        <v>14</v>
      </c>
      <c r="B25" s="1">
        <v>66</v>
      </c>
      <c r="C25" s="1">
        <v>75</v>
      </c>
      <c r="D25" s="1">
        <v>149</v>
      </c>
      <c r="E25" s="1">
        <v>89</v>
      </c>
      <c r="F25" s="1">
        <v>100</v>
      </c>
      <c r="G25" s="1">
        <v>98</v>
      </c>
      <c r="H25" s="1">
        <v>15</v>
      </c>
      <c r="I25" s="1">
        <v>38</v>
      </c>
      <c r="J25" s="1">
        <v>35</v>
      </c>
      <c r="K25" s="1">
        <v>41</v>
      </c>
      <c r="L25" s="1">
        <v>24</v>
      </c>
      <c r="M25" s="1">
        <v>57</v>
      </c>
      <c r="N25" s="1">
        <v>22</v>
      </c>
      <c r="O25" s="1">
        <v>86</v>
      </c>
      <c r="P25" s="1">
        <v>162</v>
      </c>
      <c r="Q25" s="1">
        <v>34</v>
      </c>
      <c r="R25" s="1">
        <v>81</v>
      </c>
      <c r="S25" s="1">
        <v>34</v>
      </c>
      <c r="T25" s="1">
        <v>83</v>
      </c>
      <c r="U25" s="1">
        <v>55</v>
      </c>
      <c r="V25" s="1">
        <v>12</v>
      </c>
      <c r="W25" s="1">
        <v>43</v>
      </c>
      <c r="X25" s="1">
        <v>14</v>
      </c>
      <c r="Y25" s="1">
        <v>52</v>
      </c>
      <c r="Z25" s="1">
        <v>19</v>
      </c>
      <c r="AA25" s="1">
        <v>26</v>
      </c>
      <c r="AB25" s="1">
        <v>13</v>
      </c>
      <c r="AC25" s="1">
        <v>73</v>
      </c>
      <c r="AD25" s="1">
        <v>39</v>
      </c>
      <c r="AE25" s="1">
        <v>120</v>
      </c>
      <c r="AF25" s="18">
        <f t="shared" si="0"/>
        <v>58.5</v>
      </c>
    </row>
    <row r="26" spans="1:32" x14ac:dyDescent="0.35">
      <c r="A26" s="1" t="s">
        <v>15</v>
      </c>
      <c r="B26" s="1">
        <v>12</v>
      </c>
      <c r="C26" s="1">
        <v>66</v>
      </c>
      <c r="D26" s="1">
        <v>82</v>
      </c>
      <c r="E26" s="1">
        <v>53</v>
      </c>
      <c r="F26" s="1">
        <v>19</v>
      </c>
      <c r="G26" s="1">
        <v>13</v>
      </c>
      <c r="H26" s="1">
        <v>24</v>
      </c>
      <c r="I26" s="1">
        <v>49</v>
      </c>
      <c r="J26" s="1">
        <v>52</v>
      </c>
      <c r="K26" s="1">
        <v>28</v>
      </c>
      <c r="L26" s="1">
        <v>146</v>
      </c>
      <c r="M26" s="1">
        <v>113</v>
      </c>
      <c r="N26" s="1">
        <v>28</v>
      </c>
      <c r="O26" s="1">
        <v>111</v>
      </c>
      <c r="P26" s="1">
        <v>181</v>
      </c>
      <c r="Q26" s="1">
        <v>138</v>
      </c>
      <c r="R26" s="1">
        <v>38</v>
      </c>
      <c r="S26" s="1">
        <v>16</v>
      </c>
      <c r="T26" s="1">
        <v>185</v>
      </c>
      <c r="U26" s="1">
        <v>125</v>
      </c>
      <c r="V26" s="1">
        <v>49</v>
      </c>
      <c r="W26" s="1">
        <v>12</v>
      </c>
      <c r="X26" s="1">
        <v>174</v>
      </c>
      <c r="Y26" s="1">
        <v>14</v>
      </c>
      <c r="Z26" s="1">
        <v>63</v>
      </c>
      <c r="AA26" s="1">
        <v>33</v>
      </c>
      <c r="AB26" s="1">
        <v>170</v>
      </c>
      <c r="AC26" s="1">
        <v>21</v>
      </c>
      <c r="AD26" s="1">
        <v>17</v>
      </c>
      <c r="AE26" s="1">
        <v>78</v>
      </c>
      <c r="AF26" s="18">
        <f t="shared" si="0"/>
        <v>70.333333333333329</v>
      </c>
    </row>
    <row r="27" spans="1:32" x14ac:dyDescent="0.35">
      <c r="A27" s="1" t="s">
        <v>172</v>
      </c>
      <c r="B27" s="1">
        <v>59</v>
      </c>
      <c r="C27" s="1">
        <v>85</v>
      </c>
      <c r="D27" s="1">
        <v>31</v>
      </c>
      <c r="E27" s="1">
        <v>27</v>
      </c>
      <c r="F27" s="1">
        <v>51</v>
      </c>
      <c r="G27" s="1">
        <v>103</v>
      </c>
      <c r="H27" s="1">
        <v>19</v>
      </c>
      <c r="I27" s="1">
        <v>32</v>
      </c>
      <c r="J27" s="1">
        <v>56</v>
      </c>
      <c r="K27" s="1">
        <v>90</v>
      </c>
      <c r="L27" s="1">
        <v>71</v>
      </c>
      <c r="M27" s="1">
        <v>49</v>
      </c>
      <c r="N27" s="1">
        <v>46</v>
      </c>
      <c r="O27" s="1">
        <v>22</v>
      </c>
      <c r="P27" s="1">
        <v>57</v>
      </c>
      <c r="Q27" s="1">
        <v>93</v>
      </c>
      <c r="R27" s="1">
        <v>53</v>
      </c>
      <c r="S27" s="1">
        <v>89</v>
      </c>
      <c r="T27" s="1">
        <v>37</v>
      </c>
      <c r="U27" s="1">
        <v>81</v>
      </c>
      <c r="V27" s="1">
        <v>25</v>
      </c>
      <c r="W27" s="1">
        <v>128</v>
      </c>
      <c r="X27" s="1">
        <v>33</v>
      </c>
      <c r="Y27" s="1">
        <v>13</v>
      </c>
      <c r="Z27" s="1">
        <v>83</v>
      </c>
      <c r="AA27" s="1">
        <v>37</v>
      </c>
      <c r="AB27" s="1">
        <v>83</v>
      </c>
      <c r="AC27" s="1">
        <v>18</v>
      </c>
      <c r="AD27" s="1">
        <v>33</v>
      </c>
      <c r="AE27" s="1">
        <v>20</v>
      </c>
      <c r="AF27" s="18">
        <f t="shared" si="0"/>
        <v>54.133333333333333</v>
      </c>
    </row>
    <row r="28" spans="1:32" x14ac:dyDescent="0.35">
      <c r="A28" s="1" t="s">
        <v>16</v>
      </c>
      <c r="B28" s="1">
        <v>152</v>
      </c>
      <c r="C28" s="1">
        <v>36</v>
      </c>
      <c r="D28" s="1">
        <v>76</v>
      </c>
      <c r="E28" s="1">
        <v>47</v>
      </c>
      <c r="F28" s="1">
        <v>132</v>
      </c>
      <c r="G28" s="1">
        <v>151</v>
      </c>
      <c r="H28" s="1">
        <v>49</v>
      </c>
      <c r="I28" s="1">
        <v>60</v>
      </c>
      <c r="J28" s="1">
        <v>28</v>
      </c>
      <c r="K28" s="1">
        <v>18</v>
      </c>
      <c r="L28" s="1">
        <v>155</v>
      </c>
      <c r="M28" s="1">
        <v>176</v>
      </c>
      <c r="N28" s="1">
        <v>126</v>
      </c>
      <c r="O28" s="1">
        <v>176</v>
      </c>
      <c r="P28" s="1">
        <v>102</v>
      </c>
      <c r="Q28" s="1">
        <v>186</v>
      </c>
      <c r="R28" s="1">
        <v>15</v>
      </c>
      <c r="S28" s="1">
        <v>138</v>
      </c>
      <c r="T28" s="1">
        <v>18</v>
      </c>
      <c r="U28" s="1">
        <v>83</v>
      </c>
      <c r="V28" s="1">
        <v>41</v>
      </c>
      <c r="W28" s="1">
        <v>57</v>
      </c>
      <c r="X28" s="1">
        <v>81</v>
      </c>
      <c r="Y28" s="1">
        <v>172</v>
      </c>
      <c r="Z28" s="1">
        <v>85</v>
      </c>
      <c r="AA28" s="1">
        <v>26</v>
      </c>
      <c r="AB28" s="1">
        <v>91</v>
      </c>
      <c r="AC28" s="1">
        <v>146</v>
      </c>
      <c r="AD28" s="1">
        <v>42</v>
      </c>
      <c r="AE28" s="1">
        <v>89</v>
      </c>
      <c r="AF28" s="18">
        <f t="shared" si="0"/>
        <v>91.8</v>
      </c>
    </row>
    <row r="29" spans="1:32" x14ac:dyDescent="0.35">
      <c r="A29" s="1" t="s">
        <v>195</v>
      </c>
      <c r="B29" s="1">
        <v>89</v>
      </c>
      <c r="C29" s="1">
        <v>23</v>
      </c>
      <c r="D29" s="1">
        <v>25</v>
      </c>
      <c r="E29" s="1">
        <v>23</v>
      </c>
      <c r="F29" s="1">
        <v>19</v>
      </c>
      <c r="G29" s="1">
        <v>81</v>
      </c>
      <c r="H29" s="1">
        <v>93</v>
      </c>
      <c r="I29" s="1">
        <v>201</v>
      </c>
      <c r="J29" s="1">
        <v>181</v>
      </c>
      <c r="K29" s="1">
        <v>54</v>
      </c>
      <c r="L29" s="1">
        <v>12</v>
      </c>
      <c r="M29" s="1">
        <v>36</v>
      </c>
      <c r="N29" s="1">
        <v>164</v>
      </c>
      <c r="O29" s="1">
        <v>33</v>
      </c>
      <c r="P29" s="1">
        <v>29</v>
      </c>
      <c r="Q29" s="1">
        <v>133</v>
      </c>
      <c r="R29" s="1">
        <v>57</v>
      </c>
      <c r="S29" s="1">
        <v>52</v>
      </c>
      <c r="T29" s="1">
        <v>60</v>
      </c>
      <c r="U29" s="1">
        <v>16</v>
      </c>
      <c r="V29" s="1">
        <v>52</v>
      </c>
      <c r="W29" s="1">
        <v>36</v>
      </c>
      <c r="X29" s="1">
        <v>12</v>
      </c>
      <c r="Y29" s="1">
        <v>54</v>
      </c>
      <c r="Z29" s="1">
        <v>20</v>
      </c>
      <c r="AA29" s="1">
        <v>183</v>
      </c>
      <c r="AB29" s="1">
        <v>65</v>
      </c>
      <c r="AC29" s="1">
        <v>66</v>
      </c>
      <c r="AD29" s="1">
        <v>75</v>
      </c>
      <c r="AE29" s="1">
        <v>96</v>
      </c>
      <c r="AF29" s="18">
        <f t="shared" si="0"/>
        <v>68</v>
      </c>
    </row>
    <row r="30" spans="1:32" x14ac:dyDescent="0.35">
      <c r="A30" s="1" t="s">
        <v>173</v>
      </c>
      <c r="B30" s="1">
        <v>74</v>
      </c>
      <c r="C30" s="1">
        <v>28</v>
      </c>
      <c r="D30" s="1">
        <v>30</v>
      </c>
      <c r="E30" s="1">
        <v>25</v>
      </c>
      <c r="F30" s="1">
        <v>67</v>
      </c>
      <c r="G30" s="1">
        <v>91</v>
      </c>
      <c r="H30" s="1">
        <v>36</v>
      </c>
      <c r="I30" s="1">
        <v>24</v>
      </c>
      <c r="J30" s="1">
        <v>144</v>
      </c>
      <c r="K30" s="1">
        <v>32</v>
      </c>
      <c r="L30" s="1">
        <v>42</v>
      </c>
      <c r="M30" s="1">
        <v>169</v>
      </c>
      <c r="N30" s="1">
        <v>241</v>
      </c>
      <c r="O30" s="1">
        <v>15</v>
      </c>
      <c r="P30" s="1">
        <v>32</v>
      </c>
      <c r="Q30" s="1">
        <v>82</v>
      </c>
      <c r="R30" s="1">
        <v>155</v>
      </c>
      <c r="S30" s="1">
        <v>42</v>
      </c>
      <c r="T30" s="1">
        <v>112</v>
      </c>
      <c r="U30" s="1">
        <v>20</v>
      </c>
      <c r="V30" s="1">
        <v>69</v>
      </c>
      <c r="W30" s="1">
        <v>32</v>
      </c>
      <c r="X30" s="1">
        <v>241</v>
      </c>
      <c r="Y30" s="1">
        <v>14</v>
      </c>
      <c r="Z30" s="1">
        <v>42</v>
      </c>
      <c r="AA30" s="1">
        <v>58</v>
      </c>
      <c r="AB30" s="1">
        <v>78</v>
      </c>
      <c r="AC30" s="1">
        <v>84</v>
      </c>
      <c r="AD30" s="1">
        <v>15</v>
      </c>
      <c r="AE30" s="1">
        <v>18</v>
      </c>
      <c r="AF30" s="18">
        <f t="shared" si="0"/>
        <v>70.400000000000006</v>
      </c>
    </row>
    <row r="31" spans="1:32" x14ac:dyDescent="0.35">
      <c r="A31" s="1" t="s">
        <v>17</v>
      </c>
      <c r="B31" s="1">
        <v>149</v>
      </c>
      <c r="C31" s="1">
        <v>80</v>
      </c>
      <c r="D31" s="1">
        <v>44</v>
      </c>
      <c r="E31" s="1">
        <v>150</v>
      </c>
      <c r="F31" s="1">
        <v>82</v>
      </c>
      <c r="G31" s="1">
        <v>40</v>
      </c>
      <c r="H31" s="1">
        <v>106</v>
      </c>
      <c r="I31" s="1">
        <v>44</v>
      </c>
      <c r="J31" s="1">
        <v>49</v>
      </c>
      <c r="K31" s="1">
        <v>21</v>
      </c>
      <c r="L31" s="1">
        <v>26</v>
      </c>
      <c r="M31" s="1">
        <v>41</v>
      </c>
      <c r="N31" s="1">
        <v>63</v>
      </c>
      <c r="O31" s="1">
        <v>12</v>
      </c>
      <c r="P31" s="1">
        <v>76</v>
      </c>
      <c r="Q31" s="1">
        <v>133</v>
      </c>
      <c r="R31" s="1">
        <v>15</v>
      </c>
      <c r="S31" s="1">
        <v>44</v>
      </c>
      <c r="T31" s="1">
        <v>56</v>
      </c>
      <c r="U31" s="1">
        <v>59</v>
      </c>
      <c r="V31" s="1">
        <v>84</v>
      </c>
      <c r="W31" s="1">
        <v>12</v>
      </c>
      <c r="X31" s="1">
        <v>38</v>
      </c>
      <c r="Y31" s="1">
        <v>14</v>
      </c>
      <c r="Z31" s="1">
        <v>55</v>
      </c>
      <c r="AA31" s="1">
        <v>53</v>
      </c>
      <c r="AB31" s="1">
        <v>48</v>
      </c>
      <c r="AC31" s="1">
        <v>153</v>
      </c>
      <c r="AD31" s="1">
        <v>30</v>
      </c>
      <c r="AE31" s="1">
        <v>31</v>
      </c>
      <c r="AF31" s="18">
        <f t="shared" si="0"/>
        <v>60.266666666666666</v>
      </c>
    </row>
    <row r="32" spans="1:32" x14ac:dyDescent="0.35">
      <c r="A32" s="1" t="s">
        <v>18</v>
      </c>
      <c r="B32" s="1">
        <v>55</v>
      </c>
      <c r="C32" s="1">
        <v>128</v>
      </c>
      <c r="D32" s="1">
        <v>23</v>
      </c>
      <c r="E32" s="1">
        <v>27</v>
      </c>
      <c r="F32" s="1">
        <v>25</v>
      </c>
      <c r="G32" s="1">
        <v>13</v>
      </c>
      <c r="H32" s="1">
        <v>34</v>
      </c>
      <c r="I32" s="1">
        <v>20</v>
      </c>
      <c r="J32" s="1">
        <v>18</v>
      </c>
      <c r="K32" s="1">
        <v>26</v>
      </c>
      <c r="L32" s="1">
        <v>34</v>
      </c>
      <c r="M32" s="1">
        <v>46</v>
      </c>
      <c r="N32" s="1">
        <v>43</v>
      </c>
      <c r="O32" s="1">
        <v>12</v>
      </c>
      <c r="P32" s="1">
        <v>22</v>
      </c>
      <c r="Q32" s="1">
        <v>101</v>
      </c>
      <c r="R32" s="1">
        <v>21</v>
      </c>
      <c r="S32" s="1">
        <v>14</v>
      </c>
      <c r="T32" s="1">
        <v>56</v>
      </c>
      <c r="U32" s="1">
        <v>25</v>
      </c>
      <c r="V32" s="1">
        <v>86</v>
      </c>
      <c r="W32" s="1">
        <v>29</v>
      </c>
      <c r="X32" s="1">
        <v>12</v>
      </c>
      <c r="Y32" s="1">
        <v>15</v>
      </c>
      <c r="Z32" s="1">
        <v>13</v>
      </c>
      <c r="AA32" s="1">
        <v>23</v>
      </c>
      <c r="AB32" s="1">
        <v>20</v>
      </c>
      <c r="AC32" s="1">
        <v>165</v>
      </c>
      <c r="AD32" s="1">
        <v>58</v>
      </c>
      <c r="AE32" s="1">
        <v>12</v>
      </c>
      <c r="AF32" s="18">
        <f t="shared" si="0"/>
        <v>39.200000000000003</v>
      </c>
    </row>
    <row r="33" spans="1:32" x14ac:dyDescent="0.35">
      <c r="A33" s="1" t="s">
        <v>19</v>
      </c>
      <c r="B33" s="1">
        <v>12</v>
      </c>
      <c r="C33" s="1">
        <v>45</v>
      </c>
      <c r="D33" s="1">
        <v>17</v>
      </c>
      <c r="E33" s="1">
        <v>34</v>
      </c>
      <c r="F33" s="1">
        <v>234</v>
      </c>
      <c r="G33" s="1">
        <v>67</v>
      </c>
      <c r="H33" s="1">
        <v>32</v>
      </c>
      <c r="I33" s="1">
        <v>88</v>
      </c>
      <c r="J33" s="1">
        <v>211</v>
      </c>
      <c r="K33" s="1">
        <v>28</v>
      </c>
      <c r="L33" s="1">
        <v>60</v>
      </c>
      <c r="M33" s="1">
        <v>81</v>
      </c>
      <c r="N33" s="1">
        <v>149</v>
      </c>
      <c r="O33" s="1">
        <v>80</v>
      </c>
      <c r="P33" s="1">
        <v>28</v>
      </c>
      <c r="Q33" s="1">
        <v>41</v>
      </c>
      <c r="R33" s="1">
        <v>14</v>
      </c>
      <c r="S33" s="1">
        <v>70</v>
      </c>
      <c r="T33" s="1">
        <v>33</v>
      </c>
      <c r="U33" s="1">
        <v>96</v>
      </c>
      <c r="V33" s="1">
        <v>115</v>
      </c>
      <c r="W33" s="1">
        <v>108</v>
      </c>
      <c r="X33" s="1">
        <v>84</v>
      </c>
      <c r="Y33" s="1">
        <v>90</v>
      </c>
      <c r="Z33" s="1">
        <v>132</v>
      </c>
      <c r="AA33" s="1">
        <v>35</v>
      </c>
      <c r="AB33" s="1">
        <v>14</v>
      </c>
      <c r="AC33" s="1">
        <v>170</v>
      </c>
      <c r="AD33" s="1">
        <v>137</v>
      </c>
      <c r="AE33" s="1">
        <v>22</v>
      </c>
      <c r="AF33" s="18">
        <f t="shared" si="0"/>
        <v>77.566666666666663</v>
      </c>
    </row>
    <row r="34" spans="1:32" x14ac:dyDescent="0.35">
      <c r="A34" s="1" t="s">
        <v>174</v>
      </c>
      <c r="B34" s="1">
        <v>13</v>
      </c>
      <c r="C34" s="1">
        <v>33</v>
      </c>
      <c r="D34" s="1">
        <v>28</v>
      </c>
      <c r="E34" s="1">
        <v>60</v>
      </c>
      <c r="F34" s="1">
        <v>14</v>
      </c>
      <c r="G34" s="1">
        <v>89</v>
      </c>
      <c r="H34" s="1">
        <v>17</v>
      </c>
      <c r="I34" s="1">
        <v>22</v>
      </c>
      <c r="J34" s="1">
        <v>19</v>
      </c>
      <c r="K34" s="1">
        <v>16</v>
      </c>
      <c r="L34" s="1">
        <v>14</v>
      </c>
      <c r="M34" s="1">
        <v>20</v>
      </c>
      <c r="N34" s="1">
        <v>48</v>
      </c>
      <c r="O34" s="1">
        <v>18</v>
      </c>
      <c r="P34" s="1">
        <v>12</v>
      </c>
      <c r="Q34" s="1">
        <v>12</v>
      </c>
      <c r="R34" s="1">
        <v>64</v>
      </c>
      <c r="S34" s="1">
        <v>14</v>
      </c>
      <c r="T34" s="1">
        <v>49</v>
      </c>
      <c r="U34" s="1">
        <v>75</v>
      </c>
      <c r="V34" s="1">
        <v>22</v>
      </c>
      <c r="W34" s="1">
        <v>59</v>
      </c>
      <c r="X34" s="1">
        <v>13</v>
      </c>
      <c r="Y34" s="1">
        <v>42</v>
      </c>
      <c r="Z34" s="1">
        <v>103</v>
      </c>
      <c r="AA34" s="1">
        <v>19</v>
      </c>
      <c r="AB34" s="1">
        <v>15</v>
      </c>
      <c r="AC34" s="1">
        <v>17</v>
      </c>
      <c r="AD34" s="1">
        <v>18</v>
      </c>
      <c r="AE34" s="1">
        <v>44</v>
      </c>
      <c r="AF34" s="18">
        <f t="shared" si="0"/>
        <v>32.966666666666669</v>
      </c>
    </row>
    <row r="35" spans="1:32" x14ac:dyDescent="0.35">
      <c r="A35" s="1" t="s">
        <v>20</v>
      </c>
      <c r="B35" s="1">
        <v>88</v>
      </c>
      <c r="C35" s="1">
        <v>14</v>
      </c>
      <c r="D35" s="1">
        <v>49</v>
      </c>
      <c r="E35" s="1">
        <v>264</v>
      </c>
      <c r="F35" s="1">
        <v>107</v>
      </c>
      <c r="G35" s="1">
        <v>208</v>
      </c>
      <c r="H35" s="1">
        <v>17</v>
      </c>
      <c r="I35" s="1">
        <v>64</v>
      </c>
      <c r="J35" s="1">
        <v>18</v>
      </c>
      <c r="K35" s="1">
        <v>175</v>
      </c>
      <c r="L35" s="1">
        <v>15</v>
      </c>
      <c r="M35" s="1">
        <v>26</v>
      </c>
      <c r="N35" s="1">
        <v>133</v>
      </c>
      <c r="O35" s="1">
        <v>15</v>
      </c>
      <c r="P35" s="1">
        <v>167</v>
      </c>
      <c r="Q35" s="1">
        <v>69</v>
      </c>
      <c r="R35" s="1">
        <v>39</v>
      </c>
      <c r="S35" s="1">
        <v>134</v>
      </c>
      <c r="T35" s="1">
        <v>85</v>
      </c>
      <c r="U35" s="1">
        <v>100</v>
      </c>
      <c r="V35" s="1">
        <v>23</v>
      </c>
      <c r="W35" s="1">
        <v>69</v>
      </c>
      <c r="X35" s="1">
        <v>76</v>
      </c>
      <c r="Y35" s="1">
        <v>119</v>
      </c>
      <c r="Z35" s="1">
        <v>77</v>
      </c>
      <c r="AA35" s="1">
        <v>32</v>
      </c>
      <c r="AB35" s="1">
        <v>28</v>
      </c>
      <c r="AC35" s="1">
        <v>21</v>
      </c>
      <c r="AD35" s="1">
        <v>13</v>
      </c>
      <c r="AE35" s="1">
        <v>26</v>
      </c>
      <c r="AF35" s="18">
        <f t="shared" si="0"/>
        <v>75.7</v>
      </c>
    </row>
    <row r="36" spans="1:32" x14ac:dyDescent="0.35">
      <c r="A36" s="1" t="s">
        <v>21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8">
        <f t="shared" si="0"/>
        <v>0</v>
      </c>
    </row>
    <row r="37" spans="1:32" x14ac:dyDescent="0.35">
      <c r="A37" s="1" t="s">
        <v>22</v>
      </c>
      <c r="B37" s="1">
        <v>13</v>
      </c>
      <c r="C37" s="1">
        <v>38</v>
      </c>
      <c r="D37" s="1">
        <v>189</v>
      </c>
      <c r="E37" s="1">
        <v>19</v>
      </c>
      <c r="F37" s="1">
        <v>164</v>
      </c>
      <c r="G37" s="1">
        <v>28</v>
      </c>
      <c r="H37" s="1">
        <v>118</v>
      </c>
      <c r="I37" s="1">
        <v>92</v>
      </c>
      <c r="J37" s="1">
        <v>15</v>
      </c>
      <c r="K37" s="1">
        <v>115</v>
      </c>
      <c r="L37" s="1">
        <v>66</v>
      </c>
      <c r="M37" s="1">
        <v>14</v>
      </c>
      <c r="N37" s="1">
        <v>41</v>
      </c>
      <c r="O37" s="1">
        <v>24</v>
      </c>
      <c r="P37" s="1">
        <v>52</v>
      </c>
      <c r="Q37" s="1">
        <v>113</v>
      </c>
      <c r="R37" s="1">
        <v>69</v>
      </c>
      <c r="S37" s="1">
        <v>31</v>
      </c>
      <c r="T37" s="1">
        <v>138</v>
      </c>
      <c r="U37" s="1">
        <v>132</v>
      </c>
      <c r="V37" s="1">
        <v>28</v>
      </c>
      <c r="W37" s="1">
        <v>74</v>
      </c>
      <c r="X37" s="1">
        <v>166</v>
      </c>
      <c r="Y37" s="1">
        <v>41</v>
      </c>
      <c r="Z37" s="1">
        <v>93</v>
      </c>
      <c r="AA37" s="1">
        <v>43</v>
      </c>
      <c r="AB37" s="1">
        <v>106</v>
      </c>
      <c r="AC37" s="1">
        <v>83</v>
      </c>
      <c r="AD37" s="1">
        <v>69</v>
      </c>
      <c r="AE37" s="1">
        <v>43</v>
      </c>
      <c r="AF37" s="18">
        <f t="shared" si="0"/>
        <v>73.900000000000006</v>
      </c>
    </row>
    <row r="38" spans="1:32" x14ac:dyDescent="0.35">
      <c r="A38" s="1" t="s">
        <v>23</v>
      </c>
      <c r="B38" s="1">
        <v>39</v>
      </c>
      <c r="C38" s="1">
        <v>22</v>
      </c>
      <c r="D38" s="1">
        <v>94</v>
      </c>
      <c r="E38" s="1">
        <v>118</v>
      </c>
      <c r="F38" s="1">
        <v>14</v>
      </c>
      <c r="G38" s="1">
        <v>95</v>
      </c>
      <c r="H38" s="1">
        <v>66</v>
      </c>
      <c r="I38" s="1">
        <v>29</v>
      </c>
      <c r="J38" s="1">
        <v>43</v>
      </c>
      <c r="K38" s="1">
        <v>39</v>
      </c>
      <c r="L38" s="1">
        <v>24</v>
      </c>
      <c r="M38" s="1">
        <v>42</v>
      </c>
      <c r="N38" s="1">
        <v>64</v>
      </c>
      <c r="O38" s="1">
        <v>16</v>
      </c>
      <c r="P38" s="1">
        <v>49</v>
      </c>
      <c r="Q38" s="1">
        <v>37</v>
      </c>
      <c r="R38" s="1">
        <v>41</v>
      </c>
      <c r="S38" s="1">
        <v>149</v>
      </c>
      <c r="T38" s="1">
        <v>85</v>
      </c>
      <c r="U38" s="1">
        <v>158</v>
      </c>
      <c r="V38" s="1">
        <v>34</v>
      </c>
      <c r="W38" s="1">
        <v>73</v>
      </c>
      <c r="X38" s="1">
        <v>76</v>
      </c>
      <c r="Y38" s="1">
        <v>25</v>
      </c>
      <c r="Z38" s="1">
        <v>47</v>
      </c>
      <c r="AA38" s="1">
        <v>142</v>
      </c>
      <c r="AB38" s="1">
        <v>65</v>
      </c>
      <c r="AC38" s="1">
        <v>107</v>
      </c>
      <c r="AD38" s="1">
        <v>106</v>
      </c>
      <c r="AE38" s="1">
        <v>46</v>
      </c>
      <c r="AF38" s="18">
        <f t="shared" si="0"/>
        <v>64.833333333333329</v>
      </c>
    </row>
    <row r="39" spans="1:32" x14ac:dyDescent="0.35">
      <c r="A39" s="1" t="s">
        <v>24</v>
      </c>
      <c r="B39" s="1">
        <v>16</v>
      </c>
      <c r="C39" s="1">
        <v>85</v>
      </c>
      <c r="D39" s="1">
        <v>104</v>
      </c>
      <c r="E39" s="1">
        <v>22</v>
      </c>
      <c r="F39" s="1">
        <v>45</v>
      </c>
      <c r="G39" s="1">
        <v>25</v>
      </c>
      <c r="H39" s="1">
        <v>18</v>
      </c>
      <c r="I39" s="1">
        <v>45</v>
      </c>
      <c r="J39" s="1">
        <v>63</v>
      </c>
      <c r="K39" s="1">
        <v>15</v>
      </c>
      <c r="L39" s="1">
        <v>23</v>
      </c>
      <c r="M39" s="1">
        <v>35</v>
      </c>
      <c r="N39" s="1">
        <v>59</v>
      </c>
      <c r="O39" s="1">
        <v>40</v>
      </c>
      <c r="P39" s="1">
        <v>164</v>
      </c>
      <c r="Q39" s="1">
        <v>62</v>
      </c>
      <c r="R39" s="1">
        <v>95</v>
      </c>
      <c r="S39" s="1">
        <v>39</v>
      </c>
      <c r="T39" s="1">
        <v>29</v>
      </c>
      <c r="U39" s="1">
        <v>13</v>
      </c>
      <c r="V39" s="1">
        <v>37</v>
      </c>
      <c r="W39" s="1">
        <v>33</v>
      </c>
      <c r="X39" s="1">
        <v>129</v>
      </c>
      <c r="Y39" s="1">
        <v>53</v>
      </c>
      <c r="Z39" s="1">
        <v>34</v>
      </c>
      <c r="AA39" s="1">
        <v>27</v>
      </c>
      <c r="AB39" s="1">
        <v>20</v>
      </c>
      <c r="AC39" s="1">
        <v>13</v>
      </c>
      <c r="AD39" s="1">
        <v>18</v>
      </c>
      <c r="AE39" s="1">
        <v>22</v>
      </c>
      <c r="AF39" s="18">
        <f t="shared" si="0"/>
        <v>46.1</v>
      </c>
    </row>
    <row r="40" spans="1:32" x14ac:dyDescent="0.35">
      <c r="A40" s="1" t="s">
        <v>25</v>
      </c>
      <c r="B40" s="1">
        <v>79</v>
      </c>
      <c r="C40" s="1">
        <v>14</v>
      </c>
      <c r="D40" s="1">
        <v>73</v>
      </c>
      <c r="E40" s="1">
        <v>58</v>
      </c>
      <c r="F40" s="1">
        <v>50</v>
      </c>
      <c r="G40" s="1">
        <v>216</v>
      </c>
      <c r="H40" s="1">
        <v>37</v>
      </c>
      <c r="I40" s="1">
        <v>80</v>
      </c>
      <c r="J40" s="1">
        <v>34</v>
      </c>
      <c r="K40" s="1">
        <v>86</v>
      </c>
      <c r="L40" s="1">
        <v>85</v>
      </c>
      <c r="M40" s="1">
        <v>79</v>
      </c>
      <c r="N40" s="1">
        <v>58</v>
      </c>
      <c r="O40" s="1">
        <v>21</v>
      </c>
      <c r="P40" s="1">
        <v>58</v>
      </c>
      <c r="Q40" s="1">
        <v>59</v>
      </c>
      <c r="R40" s="1">
        <v>34</v>
      </c>
      <c r="S40" s="1">
        <v>29</v>
      </c>
      <c r="T40" s="1">
        <v>18</v>
      </c>
      <c r="U40" s="1">
        <v>15</v>
      </c>
      <c r="V40" s="1">
        <v>250</v>
      </c>
      <c r="W40" s="1">
        <v>24</v>
      </c>
      <c r="X40" s="1">
        <v>70</v>
      </c>
      <c r="Y40" s="1">
        <v>21</v>
      </c>
      <c r="Z40" s="1">
        <v>24</v>
      </c>
      <c r="AA40" s="1">
        <v>82</v>
      </c>
      <c r="AB40" s="1">
        <v>75</v>
      </c>
      <c r="AC40" s="1">
        <v>18</v>
      </c>
      <c r="AD40" s="1">
        <v>52</v>
      </c>
      <c r="AE40" s="1">
        <v>22</v>
      </c>
      <c r="AF40" s="18">
        <f t="shared" si="0"/>
        <v>60.7</v>
      </c>
    </row>
    <row r="41" spans="1:32" x14ac:dyDescent="0.35">
      <c r="A41" s="1" t="s">
        <v>26</v>
      </c>
      <c r="B41" s="1">
        <v>40</v>
      </c>
      <c r="C41" s="1">
        <v>12</v>
      </c>
      <c r="D41" s="1">
        <v>55</v>
      </c>
      <c r="E41" s="1">
        <v>93</v>
      </c>
      <c r="F41" s="1">
        <v>177</v>
      </c>
      <c r="G41" s="1">
        <v>47</v>
      </c>
      <c r="H41" s="1">
        <v>61</v>
      </c>
      <c r="I41" s="1">
        <v>84</v>
      </c>
      <c r="J41" s="1">
        <v>90</v>
      </c>
      <c r="K41" s="1">
        <v>288</v>
      </c>
      <c r="L41" s="1">
        <v>282</v>
      </c>
      <c r="M41" s="1">
        <v>51</v>
      </c>
      <c r="N41" s="1">
        <v>57</v>
      </c>
      <c r="O41" s="1">
        <v>52</v>
      </c>
      <c r="P41" s="1">
        <v>76</v>
      </c>
      <c r="Q41" s="1">
        <v>35</v>
      </c>
      <c r="R41" s="1">
        <v>77</v>
      </c>
      <c r="S41" s="1">
        <v>38</v>
      </c>
      <c r="T41" s="1">
        <v>75</v>
      </c>
      <c r="U41" s="1">
        <v>13</v>
      </c>
      <c r="V41" s="1">
        <v>12</v>
      </c>
      <c r="W41" s="1">
        <v>119</v>
      </c>
      <c r="X41" s="1">
        <v>42</v>
      </c>
      <c r="Y41" s="1">
        <v>52</v>
      </c>
      <c r="Z41" s="1">
        <v>114</v>
      </c>
      <c r="AA41" s="1">
        <v>69</v>
      </c>
      <c r="AB41" s="1">
        <v>153</v>
      </c>
      <c r="AC41" s="1">
        <v>100</v>
      </c>
      <c r="AD41" s="1">
        <v>73</v>
      </c>
      <c r="AE41" s="1">
        <v>31</v>
      </c>
      <c r="AF41" s="18">
        <f t="shared" si="0"/>
        <v>82.266666666666666</v>
      </c>
    </row>
    <row r="42" spans="1:32" x14ac:dyDescent="0.35">
      <c r="A42" s="1" t="s">
        <v>27</v>
      </c>
      <c r="B42" s="1">
        <v>91</v>
      </c>
      <c r="C42" s="1">
        <v>59</v>
      </c>
      <c r="D42" s="1">
        <v>32</v>
      </c>
      <c r="E42" s="1">
        <v>76</v>
      </c>
      <c r="F42" s="1">
        <v>22</v>
      </c>
      <c r="G42" s="1">
        <v>13</v>
      </c>
      <c r="H42" s="1">
        <v>73</v>
      </c>
      <c r="I42" s="1">
        <v>61</v>
      </c>
      <c r="J42" s="1">
        <v>183</v>
      </c>
      <c r="K42" s="1">
        <v>12</v>
      </c>
      <c r="L42" s="1">
        <v>39</v>
      </c>
      <c r="M42" s="1">
        <v>31</v>
      </c>
      <c r="N42" s="1">
        <v>34</v>
      </c>
      <c r="O42" s="1">
        <v>30</v>
      </c>
      <c r="P42" s="1">
        <v>53</v>
      </c>
      <c r="Q42" s="1">
        <v>24</v>
      </c>
      <c r="R42" s="1">
        <v>88</v>
      </c>
      <c r="S42" s="1">
        <v>51</v>
      </c>
      <c r="T42" s="1">
        <v>19</v>
      </c>
      <c r="U42" s="1">
        <v>20</v>
      </c>
      <c r="V42" s="1">
        <v>22</v>
      </c>
      <c r="W42" s="1">
        <v>119</v>
      </c>
      <c r="X42" s="1">
        <v>101</v>
      </c>
      <c r="Y42" s="1">
        <v>42</v>
      </c>
      <c r="Z42" s="1">
        <v>102</v>
      </c>
      <c r="AA42" s="1">
        <v>17</v>
      </c>
      <c r="AB42" s="1">
        <v>54</v>
      </c>
      <c r="AC42" s="1">
        <v>18</v>
      </c>
      <c r="AD42" s="1">
        <v>62</v>
      </c>
      <c r="AE42" s="1">
        <v>25</v>
      </c>
      <c r="AF42" s="18">
        <f t="shared" si="0"/>
        <v>52.43333333333333</v>
      </c>
    </row>
    <row r="43" spans="1:32" x14ac:dyDescent="0.35">
      <c r="A43" s="1" t="s">
        <v>164</v>
      </c>
      <c r="B43" s="1">
        <v>36</v>
      </c>
      <c r="C43" s="1">
        <v>67</v>
      </c>
      <c r="D43" s="1">
        <v>55</v>
      </c>
      <c r="E43" s="1">
        <v>99</v>
      </c>
      <c r="F43" s="1">
        <v>87</v>
      </c>
      <c r="G43" s="1">
        <v>46</v>
      </c>
      <c r="H43" s="1">
        <v>47</v>
      </c>
      <c r="I43" s="1">
        <v>17</v>
      </c>
      <c r="J43" s="1">
        <v>34</v>
      </c>
      <c r="K43" s="1">
        <v>22</v>
      </c>
      <c r="L43" s="1">
        <v>264</v>
      </c>
      <c r="M43" s="1">
        <v>342</v>
      </c>
      <c r="N43" s="1">
        <v>44</v>
      </c>
      <c r="O43" s="1">
        <v>86</v>
      </c>
      <c r="P43" s="1">
        <v>79</v>
      </c>
      <c r="Q43" s="1">
        <v>79</v>
      </c>
      <c r="R43" s="1">
        <v>16</v>
      </c>
      <c r="S43" s="1">
        <v>97</v>
      </c>
      <c r="T43" s="1">
        <v>104</v>
      </c>
      <c r="U43" s="1">
        <v>23</v>
      </c>
      <c r="V43" s="1">
        <v>44</v>
      </c>
      <c r="W43" s="1">
        <v>20</v>
      </c>
      <c r="X43" s="1">
        <v>153</v>
      </c>
      <c r="Y43" s="1">
        <v>39</v>
      </c>
      <c r="Z43" s="1">
        <v>94</v>
      </c>
      <c r="AA43" s="1">
        <v>28</v>
      </c>
      <c r="AB43" s="1">
        <v>79</v>
      </c>
      <c r="AC43" s="1">
        <v>26</v>
      </c>
      <c r="AD43" s="1">
        <v>28</v>
      </c>
      <c r="AE43" s="1">
        <v>35</v>
      </c>
      <c r="AF43" s="18">
        <f t="shared" si="0"/>
        <v>73</v>
      </c>
    </row>
    <row r="44" spans="1:32" x14ac:dyDescent="0.35">
      <c r="A44" s="1" t="s">
        <v>28</v>
      </c>
      <c r="B44" s="1">
        <v>103</v>
      </c>
      <c r="C44" s="1">
        <v>57</v>
      </c>
      <c r="D44" s="1">
        <v>111</v>
      </c>
      <c r="E44" s="1">
        <v>97</v>
      </c>
      <c r="F44" s="1">
        <v>50</v>
      </c>
      <c r="G44" s="1">
        <v>67</v>
      </c>
      <c r="H44" s="1">
        <v>39</v>
      </c>
      <c r="I44" s="1">
        <v>22</v>
      </c>
      <c r="J44" s="1">
        <v>18</v>
      </c>
      <c r="K44" s="1">
        <v>23</v>
      </c>
      <c r="L44" s="1">
        <v>44</v>
      </c>
      <c r="M44" s="1">
        <v>26</v>
      </c>
      <c r="N44" s="1">
        <v>47</v>
      </c>
      <c r="O44" s="1">
        <v>117</v>
      </c>
      <c r="P44" s="1">
        <v>60</v>
      </c>
      <c r="Q44" s="1">
        <v>113</v>
      </c>
      <c r="R44" s="1">
        <v>17</v>
      </c>
      <c r="S44" s="1">
        <v>22</v>
      </c>
      <c r="T44" s="1">
        <v>147</v>
      </c>
      <c r="U44" s="1">
        <v>12</v>
      </c>
      <c r="V44" s="1">
        <v>122</v>
      </c>
      <c r="W44" s="1">
        <v>97</v>
      </c>
      <c r="X44" s="1">
        <v>16</v>
      </c>
      <c r="Y44" s="1">
        <v>90</v>
      </c>
      <c r="Z44" s="1">
        <v>39</v>
      </c>
      <c r="AA44" s="1">
        <v>31</v>
      </c>
      <c r="AB44" s="1">
        <v>47</v>
      </c>
      <c r="AC44" s="1">
        <v>49</v>
      </c>
      <c r="AD44" s="1">
        <v>100</v>
      </c>
      <c r="AE44" s="1">
        <v>59</v>
      </c>
      <c r="AF44" s="18">
        <f t="shared" si="0"/>
        <v>61.4</v>
      </c>
    </row>
    <row r="45" spans="1:32" x14ac:dyDescent="0.35">
      <c r="A45" s="1" t="s">
        <v>29</v>
      </c>
      <c r="B45" s="1">
        <v>37</v>
      </c>
      <c r="C45" s="1">
        <v>57</v>
      </c>
      <c r="D45" s="1">
        <v>51</v>
      </c>
      <c r="E45" s="1">
        <v>29</v>
      </c>
      <c r="F45" s="1">
        <v>107</v>
      </c>
      <c r="G45" s="1">
        <v>61</v>
      </c>
      <c r="H45" s="1">
        <v>69</v>
      </c>
      <c r="I45" s="1">
        <v>197</v>
      </c>
      <c r="J45" s="1">
        <v>80</v>
      </c>
      <c r="K45" s="1">
        <v>20</v>
      </c>
      <c r="L45" s="1">
        <v>194</v>
      </c>
      <c r="M45" s="1">
        <v>101</v>
      </c>
      <c r="N45" s="1">
        <v>76</v>
      </c>
      <c r="O45" s="1">
        <v>25</v>
      </c>
      <c r="P45" s="1">
        <v>111</v>
      </c>
      <c r="Q45" s="1">
        <v>74</v>
      </c>
      <c r="R45" s="1">
        <v>27</v>
      </c>
      <c r="S45" s="1">
        <v>59</v>
      </c>
      <c r="T45" s="1">
        <v>17</v>
      </c>
      <c r="U45" s="1">
        <v>30</v>
      </c>
      <c r="V45" s="1">
        <v>23</v>
      </c>
      <c r="W45" s="1">
        <v>53</v>
      </c>
      <c r="X45" s="1">
        <v>86</v>
      </c>
      <c r="Y45" s="1">
        <v>19</v>
      </c>
      <c r="Z45" s="1">
        <v>18</v>
      </c>
      <c r="AA45" s="1">
        <v>30</v>
      </c>
      <c r="AB45" s="1">
        <v>74</v>
      </c>
      <c r="AC45" s="1">
        <v>191</v>
      </c>
      <c r="AD45" s="1">
        <v>34</v>
      </c>
      <c r="AE45" s="1">
        <v>47</v>
      </c>
      <c r="AF45" s="18">
        <f t="shared" si="0"/>
        <v>66.566666666666663</v>
      </c>
    </row>
    <row r="46" spans="1:32" x14ac:dyDescent="0.35">
      <c r="A46" s="1" t="s">
        <v>30</v>
      </c>
      <c r="B46" s="1">
        <v>76</v>
      </c>
      <c r="C46" s="1">
        <v>17</v>
      </c>
      <c r="D46" s="1">
        <v>292</v>
      </c>
      <c r="E46" s="1">
        <v>111</v>
      </c>
      <c r="F46" s="1">
        <v>82</v>
      </c>
      <c r="G46" s="1">
        <v>166</v>
      </c>
      <c r="H46" s="1">
        <v>39</v>
      </c>
      <c r="I46" s="1">
        <v>20</v>
      </c>
      <c r="J46" s="1">
        <v>32</v>
      </c>
      <c r="K46" s="1">
        <v>56</v>
      </c>
      <c r="L46" s="1">
        <v>50</v>
      </c>
      <c r="M46" s="1">
        <v>13</v>
      </c>
      <c r="N46" s="1">
        <v>75</v>
      </c>
      <c r="O46" s="1">
        <v>43</v>
      </c>
      <c r="P46" s="1">
        <v>36</v>
      </c>
      <c r="Q46" s="1">
        <v>65</v>
      </c>
      <c r="R46" s="1">
        <v>23</v>
      </c>
      <c r="S46" s="1">
        <v>63</v>
      </c>
      <c r="T46" s="1">
        <v>53</v>
      </c>
      <c r="U46" s="1">
        <v>26</v>
      </c>
      <c r="V46" s="1">
        <v>99</v>
      </c>
      <c r="W46" s="1">
        <v>79</v>
      </c>
      <c r="X46" s="1">
        <v>28</v>
      </c>
      <c r="Y46" s="1">
        <v>64</v>
      </c>
      <c r="Z46" s="1">
        <v>130</v>
      </c>
      <c r="AA46" s="1">
        <v>78</v>
      </c>
      <c r="AB46" s="1">
        <v>18</v>
      </c>
      <c r="AC46" s="1">
        <v>75</v>
      </c>
      <c r="AD46" s="1">
        <v>26</v>
      </c>
      <c r="AE46" s="1">
        <v>22</v>
      </c>
      <c r="AF46" s="18">
        <f t="shared" si="0"/>
        <v>65.233333333333334</v>
      </c>
    </row>
    <row r="47" spans="1:32" x14ac:dyDescent="0.35">
      <c r="A47" s="1" t="s">
        <v>175</v>
      </c>
      <c r="B47" s="1">
        <v>136</v>
      </c>
      <c r="C47" s="1">
        <v>48</v>
      </c>
      <c r="D47" s="1">
        <v>55</v>
      </c>
      <c r="E47" s="1">
        <v>40</v>
      </c>
      <c r="F47" s="1">
        <v>72</v>
      </c>
      <c r="G47" s="1">
        <v>90</v>
      </c>
      <c r="H47" s="1">
        <v>44</v>
      </c>
      <c r="I47" s="1">
        <v>45</v>
      </c>
      <c r="J47" s="1">
        <v>221</v>
      </c>
      <c r="K47" s="1">
        <v>38</v>
      </c>
      <c r="L47" s="1">
        <v>131</v>
      </c>
      <c r="M47" s="1">
        <v>205</v>
      </c>
      <c r="N47" s="1">
        <v>52</v>
      </c>
      <c r="O47" s="1">
        <v>54</v>
      </c>
      <c r="P47" s="1">
        <v>128</v>
      </c>
      <c r="Q47" s="1">
        <v>21</v>
      </c>
      <c r="R47" s="1">
        <v>28</v>
      </c>
      <c r="S47" s="1">
        <v>30</v>
      </c>
      <c r="T47" s="1">
        <v>81</v>
      </c>
      <c r="U47" s="1">
        <v>68</v>
      </c>
      <c r="V47" s="1">
        <v>33</v>
      </c>
      <c r="W47" s="1">
        <v>33</v>
      </c>
      <c r="X47" s="1">
        <v>45</v>
      </c>
      <c r="Y47" s="1">
        <v>66</v>
      </c>
      <c r="Z47" s="1">
        <v>13</v>
      </c>
      <c r="AA47" s="1">
        <v>75</v>
      </c>
      <c r="AB47" s="1">
        <v>54</v>
      </c>
      <c r="AC47" s="1">
        <v>105</v>
      </c>
      <c r="AD47" s="1">
        <v>64</v>
      </c>
      <c r="AE47" s="1">
        <v>95</v>
      </c>
      <c r="AF47" s="18">
        <f t="shared" si="0"/>
        <v>72.333333333333329</v>
      </c>
    </row>
    <row r="48" spans="1:32" x14ac:dyDescent="0.35">
      <c r="A48" s="1" t="s">
        <v>31</v>
      </c>
      <c r="B48" s="1">
        <v>20</v>
      </c>
      <c r="C48" s="1">
        <v>50</v>
      </c>
      <c r="D48" s="1">
        <v>33</v>
      </c>
      <c r="E48" s="1">
        <v>12</v>
      </c>
      <c r="F48" s="1">
        <v>31</v>
      </c>
      <c r="G48" s="1">
        <v>38</v>
      </c>
      <c r="H48" s="1">
        <v>17</v>
      </c>
      <c r="I48" s="1">
        <v>18</v>
      </c>
      <c r="J48" s="1">
        <v>179</v>
      </c>
      <c r="K48" s="1">
        <v>49</v>
      </c>
      <c r="L48" s="1">
        <v>68</v>
      </c>
      <c r="M48" s="1">
        <v>14</v>
      </c>
      <c r="N48" s="1">
        <v>92</v>
      </c>
      <c r="O48" s="1">
        <v>36</v>
      </c>
      <c r="P48" s="1">
        <v>30</v>
      </c>
      <c r="Q48" s="1">
        <v>60</v>
      </c>
      <c r="R48" s="1">
        <v>73</v>
      </c>
      <c r="S48" s="1">
        <v>52</v>
      </c>
      <c r="T48" s="1">
        <v>40</v>
      </c>
      <c r="U48" s="1">
        <v>59</v>
      </c>
      <c r="V48" s="1">
        <v>99</v>
      </c>
      <c r="W48" s="1">
        <v>89</v>
      </c>
      <c r="X48" s="1">
        <v>145</v>
      </c>
      <c r="Y48" s="1">
        <v>316</v>
      </c>
      <c r="Z48" s="1">
        <v>75</v>
      </c>
      <c r="AA48" s="1">
        <v>57</v>
      </c>
      <c r="AB48" s="1">
        <v>26</v>
      </c>
      <c r="AC48" s="1">
        <v>143</v>
      </c>
      <c r="AD48" s="1">
        <v>56</v>
      </c>
      <c r="AE48" s="1">
        <v>22</v>
      </c>
      <c r="AF48" s="18">
        <f t="shared" si="0"/>
        <v>66.63333333333334</v>
      </c>
    </row>
    <row r="49" spans="1:32" x14ac:dyDescent="0.35">
      <c r="A49" s="1" t="s">
        <v>32</v>
      </c>
      <c r="B49" s="1">
        <v>12</v>
      </c>
      <c r="C49" s="1">
        <v>55</v>
      </c>
      <c r="D49" s="1">
        <v>19</v>
      </c>
      <c r="E49" s="1">
        <v>34</v>
      </c>
      <c r="F49" s="1">
        <v>33</v>
      </c>
      <c r="G49" s="1">
        <v>80</v>
      </c>
      <c r="H49" s="1">
        <v>70</v>
      </c>
      <c r="I49" s="1">
        <v>115</v>
      </c>
      <c r="J49" s="1">
        <v>15</v>
      </c>
      <c r="K49" s="1">
        <v>25</v>
      </c>
      <c r="L49" s="1">
        <v>33</v>
      </c>
      <c r="M49" s="1">
        <v>25</v>
      </c>
      <c r="N49" s="1">
        <v>55</v>
      </c>
      <c r="O49" s="1">
        <v>16</v>
      </c>
      <c r="P49" s="1">
        <v>15</v>
      </c>
      <c r="Q49" s="1">
        <v>45</v>
      </c>
      <c r="R49" s="1">
        <v>63</v>
      </c>
      <c r="S49" s="1">
        <v>46</v>
      </c>
      <c r="T49" s="1">
        <v>58</v>
      </c>
      <c r="U49" s="1">
        <v>22</v>
      </c>
      <c r="V49" s="1">
        <v>65</v>
      </c>
      <c r="W49" s="1">
        <v>51</v>
      </c>
      <c r="X49" s="1">
        <v>88</v>
      </c>
      <c r="Y49" s="1">
        <v>72</v>
      </c>
      <c r="Z49" s="1">
        <v>105</v>
      </c>
      <c r="AA49" s="1">
        <v>79</v>
      </c>
      <c r="AB49" s="1">
        <v>132</v>
      </c>
      <c r="AC49" s="1">
        <v>15</v>
      </c>
      <c r="AD49" s="1">
        <v>82</v>
      </c>
      <c r="AE49" s="1">
        <v>17</v>
      </c>
      <c r="AF49" s="18">
        <f t="shared" si="0"/>
        <v>51.4</v>
      </c>
    </row>
    <row r="50" spans="1:32" x14ac:dyDescent="0.35">
      <c r="A50" s="1" t="s">
        <v>33</v>
      </c>
      <c r="B50" s="1">
        <v>131</v>
      </c>
      <c r="C50" s="1">
        <v>182</v>
      </c>
      <c r="D50" s="1">
        <v>28</v>
      </c>
      <c r="E50" s="1">
        <v>124</v>
      </c>
      <c r="F50" s="1">
        <v>14</v>
      </c>
      <c r="G50" s="1">
        <v>41</v>
      </c>
      <c r="H50" s="1">
        <v>46</v>
      </c>
      <c r="I50" s="1">
        <v>32</v>
      </c>
      <c r="J50" s="1">
        <v>86</v>
      </c>
      <c r="K50" s="1">
        <v>18</v>
      </c>
      <c r="L50" s="1">
        <v>78</v>
      </c>
      <c r="M50" s="1">
        <v>14</v>
      </c>
      <c r="N50" s="1">
        <v>68</v>
      </c>
      <c r="O50" s="1">
        <v>45</v>
      </c>
      <c r="P50" s="1">
        <v>28</v>
      </c>
      <c r="Q50" s="1">
        <v>26</v>
      </c>
      <c r="R50" s="1">
        <v>40</v>
      </c>
      <c r="S50" s="1">
        <v>68</v>
      </c>
      <c r="T50" s="1">
        <v>24</v>
      </c>
      <c r="U50" s="1">
        <v>15</v>
      </c>
      <c r="V50" s="1">
        <v>75</v>
      </c>
      <c r="W50" s="1">
        <v>19</v>
      </c>
      <c r="X50" s="1">
        <v>174</v>
      </c>
      <c r="Y50" s="1">
        <v>12</v>
      </c>
      <c r="Z50" s="1">
        <v>60</v>
      </c>
      <c r="AA50" s="1">
        <v>54</v>
      </c>
      <c r="AB50" s="1">
        <v>183</v>
      </c>
      <c r="AC50" s="1">
        <v>176</v>
      </c>
      <c r="AD50" s="1">
        <v>69</v>
      </c>
      <c r="AE50" s="1">
        <v>49</v>
      </c>
      <c r="AF50" s="18">
        <f t="shared" si="0"/>
        <v>65.966666666666669</v>
      </c>
    </row>
    <row r="51" spans="1:32" x14ac:dyDescent="0.35">
      <c r="A51" s="1" t="s">
        <v>34</v>
      </c>
      <c r="B51" s="1">
        <v>75</v>
      </c>
      <c r="C51" s="1">
        <v>110</v>
      </c>
      <c r="D51" s="1">
        <v>25</v>
      </c>
      <c r="E51" s="1">
        <v>115</v>
      </c>
      <c r="F51" s="1">
        <v>65</v>
      </c>
      <c r="G51" s="1">
        <v>75</v>
      </c>
      <c r="H51" s="1">
        <v>58</v>
      </c>
      <c r="I51" s="1">
        <v>16</v>
      </c>
      <c r="J51" s="1">
        <v>178</v>
      </c>
      <c r="K51" s="1">
        <v>52</v>
      </c>
      <c r="L51" s="1">
        <v>115</v>
      </c>
      <c r="M51" s="1">
        <v>29</v>
      </c>
      <c r="N51" s="1">
        <v>18</v>
      </c>
      <c r="O51" s="1">
        <v>18</v>
      </c>
      <c r="P51" s="1">
        <v>20</v>
      </c>
      <c r="Q51" s="1">
        <v>33</v>
      </c>
      <c r="R51" s="1">
        <v>86</v>
      </c>
      <c r="S51" s="1">
        <v>33</v>
      </c>
      <c r="T51" s="1">
        <v>139</v>
      </c>
      <c r="U51" s="1">
        <v>158</v>
      </c>
      <c r="V51" s="1">
        <v>33</v>
      </c>
      <c r="W51" s="1">
        <v>45</v>
      </c>
      <c r="X51" s="1">
        <v>108</v>
      </c>
      <c r="Y51" s="1">
        <v>52</v>
      </c>
      <c r="Z51" s="1">
        <v>41</v>
      </c>
      <c r="AA51" s="1">
        <v>124</v>
      </c>
      <c r="AB51" s="1">
        <v>13</v>
      </c>
      <c r="AC51" s="1">
        <v>15</v>
      </c>
      <c r="AD51" s="1">
        <v>28</v>
      </c>
      <c r="AE51" s="1">
        <v>82</v>
      </c>
      <c r="AF51" s="18">
        <f t="shared" si="0"/>
        <v>65.3</v>
      </c>
    </row>
    <row r="52" spans="1:32" x14ac:dyDescent="0.35">
      <c r="A52" s="1" t="s">
        <v>35</v>
      </c>
      <c r="B52" s="1">
        <v>42</v>
      </c>
      <c r="C52" s="1">
        <v>15</v>
      </c>
      <c r="D52" s="1">
        <v>66</v>
      </c>
      <c r="E52" s="1">
        <v>25</v>
      </c>
      <c r="F52" s="1">
        <v>24</v>
      </c>
      <c r="G52" s="1">
        <v>31</v>
      </c>
      <c r="H52" s="1">
        <v>17</v>
      </c>
      <c r="I52" s="1">
        <v>14</v>
      </c>
      <c r="J52" s="1">
        <v>68</v>
      </c>
      <c r="K52" s="1">
        <v>74</v>
      </c>
      <c r="L52" s="1">
        <v>29</v>
      </c>
      <c r="M52" s="1">
        <v>29</v>
      </c>
      <c r="N52" s="1">
        <v>60</v>
      </c>
      <c r="O52" s="1">
        <v>28</v>
      </c>
      <c r="P52" s="1">
        <v>21</v>
      </c>
      <c r="Q52" s="1">
        <v>20</v>
      </c>
      <c r="R52" s="1">
        <v>47</v>
      </c>
      <c r="S52" s="1">
        <v>45</v>
      </c>
      <c r="T52" s="1">
        <v>17</v>
      </c>
      <c r="U52" s="1">
        <v>50</v>
      </c>
      <c r="V52" s="1">
        <v>14</v>
      </c>
      <c r="W52" s="1">
        <v>73</v>
      </c>
      <c r="X52" s="1">
        <v>94</v>
      </c>
      <c r="Y52" s="1">
        <v>51</v>
      </c>
      <c r="Z52" s="1">
        <v>40</v>
      </c>
      <c r="AA52" s="1">
        <v>15</v>
      </c>
      <c r="AB52" s="1">
        <v>48</v>
      </c>
      <c r="AC52" s="1">
        <v>46</v>
      </c>
      <c r="AD52" s="1">
        <v>15</v>
      </c>
      <c r="AE52" s="1">
        <v>37</v>
      </c>
      <c r="AF52" s="18">
        <f t="shared" si="0"/>
        <v>38.5</v>
      </c>
    </row>
    <row r="53" spans="1:32" x14ac:dyDescent="0.35">
      <c r="A53" s="1" t="s">
        <v>36</v>
      </c>
      <c r="B53" s="1">
        <v>14</v>
      </c>
      <c r="C53" s="1">
        <v>32</v>
      </c>
      <c r="D53" s="1">
        <v>45</v>
      </c>
      <c r="E53" s="1">
        <v>29</v>
      </c>
      <c r="F53" s="1">
        <v>26</v>
      </c>
      <c r="G53" s="1">
        <v>99</v>
      </c>
      <c r="H53" s="1">
        <v>23</v>
      </c>
      <c r="I53" s="1">
        <v>74</v>
      </c>
      <c r="J53" s="1">
        <v>37</v>
      </c>
      <c r="K53" s="1">
        <v>19</v>
      </c>
      <c r="L53" s="1">
        <v>19</v>
      </c>
      <c r="M53" s="1">
        <v>17</v>
      </c>
      <c r="N53" s="1">
        <v>39</v>
      </c>
      <c r="O53" s="1">
        <v>54</v>
      </c>
      <c r="P53" s="1">
        <v>66</v>
      </c>
      <c r="Q53" s="1">
        <v>31</v>
      </c>
      <c r="R53" s="1">
        <v>33</v>
      </c>
      <c r="S53" s="1">
        <v>20</v>
      </c>
      <c r="T53" s="1">
        <v>43</v>
      </c>
      <c r="U53" s="1">
        <v>128</v>
      </c>
      <c r="V53" s="1">
        <v>14</v>
      </c>
      <c r="W53" s="1">
        <v>17</v>
      </c>
      <c r="X53" s="1">
        <v>14</v>
      </c>
      <c r="Y53" s="1">
        <v>21</v>
      </c>
      <c r="Z53" s="1">
        <v>105</v>
      </c>
      <c r="AA53" s="1">
        <v>30</v>
      </c>
      <c r="AB53" s="1">
        <v>66</v>
      </c>
      <c r="AC53" s="1">
        <v>135</v>
      </c>
      <c r="AD53" s="1">
        <v>32</v>
      </c>
      <c r="AE53" s="1">
        <v>51</v>
      </c>
      <c r="AF53" s="18">
        <f t="shared" si="0"/>
        <v>44.43333333333333</v>
      </c>
    </row>
    <row r="54" spans="1:32" x14ac:dyDescent="0.35">
      <c r="A54" s="1" t="s">
        <v>37</v>
      </c>
      <c r="B54" s="1">
        <v>36</v>
      </c>
      <c r="C54" s="1">
        <v>20</v>
      </c>
      <c r="D54" s="1">
        <v>31</v>
      </c>
      <c r="E54" s="1">
        <v>78</v>
      </c>
      <c r="F54" s="1">
        <v>38</v>
      </c>
      <c r="G54" s="1">
        <v>61</v>
      </c>
      <c r="H54" s="1">
        <v>19</v>
      </c>
      <c r="I54" s="1">
        <v>72</v>
      </c>
      <c r="J54" s="1">
        <v>61</v>
      </c>
      <c r="K54" s="1">
        <v>70</v>
      </c>
      <c r="L54" s="1">
        <v>12</v>
      </c>
      <c r="M54" s="1">
        <v>29</v>
      </c>
      <c r="N54" s="1">
        <v>15</v>
      </c>
      <c r="O54" s="1">
        <v>52</v>
      </c>
      <c r="P54" s="1">
        <v>64</v>
      </c>
      <c r="Q54" s="1">
        <v>22</v>
      </c>
      <c r="R54" s="1">
        <v>89</v>
      </c>
      <c r="S54" s="1">
        <v>21</v>
      </c>
      <c r="T54" s="1">
        <v>21</v>
      </c>
      <c r="U54" s="1">
        <v>61</v>
      </c>
      <c r="V54" s="1">
        <v>25</v>
      </c>
      <c r="W54" s="1">
        <v>37</v>
      </c>
      <c r="X54" s="1">
        <v>39</v>
      </c>
      <c r="Y54" s="1">
        <v>29</v>
      </c>
      <c r="Z54" s="1">
        <v>75</v>
      </c>
      <c r="AA54" s="1">
        <v>116</v>
      </c>
      <c r="AB54" s="1">
        <v>34</v>
      </c>
      <c r="AC54" s="1">
        <v>105</v>
      </c>
      <c r="AD54" s="1">
        <v>19</v>
      </c>
      <c r="AE54" s="1">
        <v>33</v>
      </c>
      <c r="AF54" s="18">
        <f t="shared" si="0"/>
        <v>46.133333333333333</v>
      </c>
    </row>
    <row r="55" spans="1:32" x14ac:dyDescent="0.35">
      <c r="A55" s="1" t="s">
        <v>38</v>
      </c>
      <c r="B55" s="1">
        <v>75</v>
      </c>
      <c r="C55" s="1">
        <v>39</v>
      </c>
      <c r="D55" s="1">
        <v>113</v>
      </c>
      <c r="E55" s="1">
        <v>67</v>
      </c>
      <c r="F55" s="1">
        <v>19</v>
      </c>
      <c r="G55" s="1">
        <v>31</v>
      </c>
      <c r="H55" s="1">
        <v>16</v>
      </c>
      <c r="I55" s="1">
        <v>22</v>
      </c>
      <c r="J55" s="1">
        <v>42</v>
      </c>
      <c r="K55" s="1">
        <v>13</v>
      </c>
      <c r="L55" s="1">
        <v>292</v>
      </c>
      <c r="M55" s="1">
        <v>39</v>
      </c>
      <c r="N55" s="1">
        <v>271</v>
      </c>
      <c r="O55" s="1">
        <v>151</v>
      </c>
      <c r="P55" s="1">
        <v>45</v>
      </c>
      <c r="Q55" s="1">
        <v>210</v>
      </c>
      <c r="R55" s="1">
        <v>57</v>
      </c>
      <c r="S55" s="1">
        <v>33</v>
      </c>
      <c r="T55" s="1">
        <v>156</v>
      </c>
      <c r="U55" s="1">
        <v>132</v>
      </c>
      <c r="V55" s="1">
        <v>80</v>
      </c>
      <c r="W55" s="1">
        <v>230</v>
      </c>
      <c r="X55" s="1">
        <v>59</v>
      </c>
      <c r="Y55" s="1">
        <v>136</v>
      </c>
      <c r="Z55" s="1">
        <v>72</v>
      </c>
      <c r="AA55" s="1">
        <v>46</v>
      </c>
      <c r="AB55" s="1">
        <v>24</v>
      </c>
      <c r="AC55" s="1">
        <v>48</v>
      </c>
      <c r="AD55" s="1">
        <v>17</v>
      </c>
      <c r="AE55" s="1">
        <v>177</v>
      </c>
      <c r="AF55" s="18">
        <f t="shared" si="0"/>
        <v>90.4</v>
      </c>
    </row>
    <row r="56" spans="1:32" x14ac:dyDescent="0.35">
      <c r="A56" s="1" t="s">
        <v>39</v>
      </c>
      <c r="B56" s="1">
        <v>37</v>
      </c>
      <c r="C56" s="1">
        <v>13</v>
      </c>
      <c r="D56" s="1">
        <v>14</v>
      </c>
      <c r="E56" s="1">
        <v>62</v>
      </c>
      <c r="F56" s="1">
        <v>57</v>
      </c>
      <c r="G56" s="1">
        <v>29</v>
      </c>
      <c r="H56" s="1">
        <v>33</v>
      </c>
      <c r="I56" s="1">
        <v>12</v>
      </c>
      <c r="J56" s="1">
        <v>19</v>
      </c>
      <c r="K56" s="1">
        <v>18</v>
      </c>
      <c r="L56" s="1">
        <v>13</v>
      </c>
      <c r="M56" s="1">
        <v>13</v>
      </c>
      <c r="N56" s="1">
        <v>62</v>
      </c>
      <c r="O56" s="1">
        <v>40</v>
      </c>
      <c r="P56" s="1">
        <v>63</v>
      </c>
      <c r="Q56" s="1">
        <v>14</v>
      </c>
      <c r="R56" s="1">
        <v>127</v>
      </c>
      <c r="S56" s="1">
        <v>70</v>
      </c>
      <c r="T56" s="1">
        <v>23</v>
      </c>
      <c r="U56" s="1">
        <v>37</v>
      </c>
      <c r="V56" s="1">
        <v>202</v>
      </c>
      <c r="W56" s="1">
        <v>14</v>
      </c>
      <c r="X56" s="1">
        <v>90</v>
      </c>
      <c r="Y56" s="1">
        <v>16</v>
      </c>
      <c r="Z56" s="1">
        <v>38</v>
      </c>
      <c r="AA56" s="1">
        <v>17</v>
      </c>
      <c r="AB56" s="1">
        <v>36</v>
      </c>
      <c r="AC56" s="1">
        <v>110</v>
      </c>
      <c r="AD56" s="1">
        <v>21</v>
      </c>
      <c r="AE56" s="1">
        <v>42</v>
      </c>
      <c r="AF56" s="18">
        <f t="shared" si="0"/>
        <v>44.733333333333334</v>
      </c>
    </row>
    <row r="57" spans="1:32" x14ac:dyDescent="0.35">
      <c r="A57" s="1" t="s">
        <v>176</v>
      </c>
      <c r="B57" s="1">
        <v>31</v>
      </c>
      <c r="C57" s="1">
        <v>41</v>
      </c>
      <c r="D57" s="1">
        <v>18</v>
      </c>
      <c r="E57" s="1">
        <v>16</v>
      </c>
      <c r="F57" s="1">
        <v>32</v>
      </c>
      <c r="G57" s="1">
        <v>34</v>
      </c>
      <c r="H57" s="1">
        <v>19</v>
      </c>
      <c r="I57" s="1">
        <v>44</v>
      </c>
      <c r="J57" s="1">
        <v>15</v>
      </c>
      <c r="K57" s="1">
        <v>19</v>
      </c>
      <c r="L57" s="1">
        <v>43</v>
      </c>
      <c r="M57" s="1">
        <v>20</v>
      </c>
      <c r="N57" s="1">
        <v>15</v>
      </c>
      <c r="O57" s="1">
        <v>76</v>
      </c>
      <c r="P57" s="1">
        <v>12</v>
      </c>
      <c r="Q57" s="1">
        <v>68</v>
      </c>
      <c r="R57" s="1">
        <v>118</v>
      </c>
      <c r="S57" s="1">
        <v>33</v>
      </c>
      <c r="T57" s="1">
        <v>16</v>
      </c>
      <c r="U57" s="1">
        <v>121</v>
      </c>
      <c r="V57" s="1">
        <v>62</v>
      </c>
      <c r="W57" s="1">
        <v>58</v>
      </c>
      <c r="X57" s="1">
        <v>68</v>
      </c>
      <c r="Y57" s="1">
        <v>33</v>
      </c>
      <c r="Z57" s="1">
        <v>57</v>
      </c>
      <c r="AA57" s="1">
        <v>148</v>
      </c>
      <c r="AB57" s="1">
        <v>12</v>
      </c>
      <c r="AC57" s="1">
        <v>51</v>
      </c>
      <c r="AD57" s="1">
        <v>41</v>
      </c>
      <c r="AE57" s="1">
        <v>19</v>
      </c>
      <c r="AF57" s="18">
        <f t="shared" si="0"/>
        <v>44.666666666666664</v>
      </c>
    </row>
    <row r="58" spans="1:32" x14ac:dyDescent="0.35">
      <c r="A58" s="1" t="s">
        <v>40</v>
      </c>
      <c r="B58" s="1">
        <v>14</v>
      </c>
      <c r="C58" s="1">
        <v>53</v>
      </c>
      <c r="D58" s="1">
        <v>14</v>
      </c>
      <c r="E58" s="1">
        <v>22</v>
      </c>
      <c r="F58" s="1">
        <v>53</v>
      </c>
      <c r="G58" s="1">
        <v>135</v>
      </c>
      <c r="H58" s="1">
        <v>35</v>
      </c>
      <c r="I58" s="1">
        <v>12</v>
      </c>
      <c r="J58" s="1">
        <v>83</v>
      </c>
      <c r="K58" s="1">
        <v>12</v>
      </c>
      <c r="L58" s="1">
        <v>19</v>
      </c>
      <c r="M58" s="1">
        <v>13</v>
      </c>
      <c r="N58" s="1">
        <v>70</v>
      </c>
      <c r="O58" s="1">
        <v>18</v>
      </c>
      <c r="P58" s="1">
        <v>57</v>
      </c>
      <c r="Q58" s="1">
        <v>87</v>
      </c>
      <c r="R58" s="1">
        <v>48</v>
      </c>
      <c r="S58" s="1">
        <v>203</v>
      </c>
      <c r="T58" s="1">
        <v>36</v>
      </c>
      <c r="U58" s="1">
        <v>40</v>
      </c>
      <c r="V58" s="1">
        <v>20</v>
      </c>
      <c r="W58" s="1">
        <v>48</v>
      </c>
      <c r="X58" s="1">
        <v>24</v>
      </c>
      <c r="Y58" s="1">
        <v>75</v>
      </c>
      <c r="Z58" s="1">
        <v>12</v>
      </c>
      <c r="AA58" s="1">
        <v>15</v>
      </c>
      <c r="AB58" s="1">
        <v>18</v>
      </c>
      <c r="AC58" s="1">
        <v>54</v>
      </c>
      <c r="AD58" s="1">
        <v>72</v>
      </c>
      <c r="AE58" s="1">
        <v>12</v>
      </c>
      <c r="AF58" s="18">
        <f t="shared" si="0"/>
        <v>45.8</v>
      </c>
    </row>
    <row r="59" spans="1:32" x14ac:dyDescent="0.35">
      <c r="A59" s="1" t="s">
        <v>41</v>
      </c>
      <c r="B59" s="1">
        <v>39</v>
      </c>
      <c r="C59" s="1">
        <v>19</v>
      </c>
      <c r="D59" s="1">
        <v>20</v>
      </c>
      <c r="E59" s="1">
        <v>35</v>
      </c>
      <c r="F59" s="1">
        <v>46</v>
      </c>
      <c r="G59" s="1">
        <v>31</v>
      </c>
      <c r="H59" s="1">
        <v>89</v>
      </c>
      <c r="I59" s="1">
        <v>112</v>
      </c>
      <c r="J59" s="1">
        <v>56</v>
      </c>
      <c r="K59" s="1">
        <v>13</v>
      </c>
      <c r="L59" s="1">
        <v>20</v>
      </c>
      <c r="M59" s="1">
        <v>12</v>
      </c>
      <c r="N59" s="1">
        <v>31</v>
      </c>
      <c r="O59" s="1">
        <v>75</v>
      </c>
      <c r="P59" s="1">
        <v>19</v>
      </c>
      <c r="Q59" s="1">
        <v>37</v>
      </c>
      <c r="R59" s="1">
        <v>99</v>
      </c>
      <c r="S59" s="1">
        <v>59</v>
      </c>
      <c r="T59" s="1">
        <v>18</v>
      </c>
      <c r="U59" s="1">
        <v>35</v>
      </c>
      <c r="V59" s="1">
        <v>50</v>
      </c>
      <c r="W59" s="1">
        <v>40</v>
      </c>
      <c r="X59" s="1">
        <v>112</v>
      </c>
      <c r="Y59" s="1">
        <v>92</v>
      </c>
      <c r="Z59" s="1">
        <v>17</v>
      </c>
      <c r="AA59" s="1">
        <v>19</v>
      </c>
      <c r="AB59" s="1">
        <v>18</v>
      </c>
      <c r="AC59" s="1">
        <v>15</v>
      </c>
      <c r="AD59" s="1">
        <v>109</v>
      </c>
      <c r="AE59" s="1">
        <v>15</v>
      </c>
      <c r="AF59" s="18">
        <f t="shared" si="0"/>
        <v>45.06666666666667</v>
      </c>
    </row>
    <row r="60" spans="1:32" x14ac:dyDescent="0.35">
      <c r="A60" s="1" t="s">
        <v>42</v>
      </c>
      <c r="B60" s="1">
        <v>163</v>
      </c>
      <c r="C60" s="1">
        <v>56</v>
      </c>
      <c r="D60" s="1">
        <v>37</v>
      </c>
      <c r="E60" s="1">
        <v>90</v>
      </c>
      <c r="F60" s="1">
        <v>95</v>
      </c>
      <c r="G60" s="1">
        <v>96</v>
      </c>
      <c r="H60" s="1">
        <v>89</v>
      </c>
      <c r="I60" s="1">
        <v>71</v>
      </c>
      <c r="J60" s="1">
        <v>180</v>
      </c>
      <c r="K60" s="1">
        <v>30</v>
      </c>
      <c r="L60" s="1">
        <v>34</v>
      </c>
      <c r="M60" s="1">
        <v>162</v>
      </c>
      <c r="N60" s="1">
        <v>71</v>
      </c>
      <c r="O60" s="1">
        <v>38</v>
      </c>
      <c r="P60" s="1">
        <v>260</v>
      </c>
      <c r="Q60" s="1">
        <v>29</v>
      </c>
      <c r="R60" s="1">
        <v>34</v>
      </c>
      <c r="S60" s="1">
        <v>74</v>
      </c>
      <c r="T60" s="1">
        <v>202</v>
      </c>
      <c r="U60" s="1">
        <v>34</v>
      </c>
      <c r="V60" s="1">
        <v>18</v>
      </c>
      <c r="W60" s="1">
        <v>116</v>
      </c>
      <c r="X60" s="1">
        <v>48</v>
      </c>
      <c r="Y60" s="1">
        <v>15</v>
      </c>
      <c r="Z60" s="1">
        <v>71</v>
      </c>
      <c r="AA60" s="1">
        <v>384</v>
      </c>
      <c r="AB60" s="1">
        <v>74</v>
      </c>
      <c r="AC60" s="1">
        <v>143</v>
      </c>
      <c r="AD60" s="1">
        <v>40</v>
      </c>
      <c r="AE60" s="1">
        <v>28</v>
      </c>
      <c r="AF60" s="18">
        <f t="shared" si="0"/>
        <v>92.733333333333334</v>
      </c>
    </row>
    <row r="61" spans="1:32" x14ac:dyDescent="0.35">
      <c r="A61" s="1" t="s">
        <v>43</v>
      </c>
      <c r="B61" s="1">
        <v>44</v>
      </c>
      <c r="C61" s="1">
        <v>120</v>
      </c>
      <c r="D61" s="1">
        <v>91</v>
      </c>
      <c r="E61" s="1">
        <v>53</v>
      </c>
      <c r="F61" s="1">
        <v>153</v>
      </c>
      <c r="G61" s="1">
        <v>34</v>
      </c>
      <c r="H61" s="1">
        <v>124</v>
      </c>
      <c r="I61" s="1">
        <v>16</v>
      </c>
      <c r="J61" s="1">
        <v>76</v>
      </c>
      <c r="K61" s="1">
        <v>93</v>
      </c>
      <c r="L61" s="1">
        <v>74</v>
      </c>
      <c r="M61" s="1">
        <v>96</v>
      </c>
      <c r="N61" s="1">
        <v>211</v>
      </c>
      <c r="O61" s="1">
        <v>27</v>
      </c>
      <c r="P61" s="1">
        <v>41</v>
      </c>
      <c r="Q61" s="1">
        <v>129</v>
      </c>
      <c r="R61" s="1">
        <v>29</v>
      </c>
      <c r="S61" s="1">
        <v>142</v>
      </c>
      <c r="T61" s="1">
        <v>56</v>
      </c>
      <c r="U61" s="1">
        <v>58</v>
      </c>
      <c r="V61" s="1">
        <v>16</v>
      </c>
      <c r="W61" s="1">
        <v>12</v>
      </c>
      <c r="X61" s="1">
        <v>191</v>
      </c>
      <c r="Y61" s="1">
        <v>49</v>
      </c>
      <c r="Z61" s="1">
        <v>72</v>
      </c>
      <c r="AA61" s="1">
        <v>67</v>
      </c>
      <c r="AB61" s="1">
        <v>54</v>
      </c>
      <c r="AC61" s="1">
        <v>18</v>
      </c>
      <c r="AD61" s="1">
        <v>23</v>
      </c>
      <c r="AE61" s="1">
        <v>13</v>
      </c>
      <c r="AF61" s="18">
        <f t="shared" si="0"/>
        <v>72.733333333333334</v>
      </c>
    </row>
    <row r="62" spans="1:32" x14ac:dyDescent="0.35">
      <c r="A62" s="1" t="s">
        <v>44</v>
      </c>
      <c r="B62" s="1">
        <v>20</v>
      </c>
      <c r="C62" s="1">
        <v>121</v>
      </c>
      <c r="D62" s="1">
        <v>94</v>
      </c>
      <c r="E62" s="1">
        <v>84</v>
      </c>
      <c r="F62" s="1">
        <v>65</v>
      </c>
      <c r="G62" s="1">
        <v>61</v>
      </c>
      <c r="H62" s="1">
        <v>34</v>
      </c>
      <c r="I62" s="1">
        <v>45</v>
      </c>
      <c r="J62" s="1">
        <v>30</v>
      </c>
      <c r="K62" s="1">
        <v>19</v>
      </c>
      <c r="L62" s="1">
        <v>21</v>
      </c>
      <c r="M62" s="1">
        <v>23</v>
      </c>
      <c r="N62" s="1">
        <v>99</v>
      </c>
      <c r="O62" s="1">
        <v>18</v>
      </c>
      <c r="P62" s="1">
        <v>36</v>
      </c>
      <c r="Q62" s="1">
        <v>29</v>
      </c>
      <c r="R62" s="1">
        <v>77</v>
      </c>
      <c r="S62" s="1">
        <v>21</v>
      </c>
      <c r="T62" s="1">
        <v>98</v>
      </c>
      <c r="U62" s="1">
        <v>24</v>
      </c>
      <c r="V62" s="1">
        <v>164</v>
      </c>
      <c r="W62" s="1">
        <v>57</v>
      </c>
      <c r="X62" s="1">
        <v>20</v>
      </c>
      <c r="Y62" s="1">
        <v>20</v>
      </c>
      <c r="Z62" s="1">
        <v>20</v>
      </c>
      <c r="AA62" s="1">
        <v>16</v>
      </c>
      <c r="AB62" s="1">
        <v>49</v>
      </c>
      <c r="AC62" s="1">
        <v>38</v>
      </c>
      <c r="AD62" s="1">
        <v>122</v>
      </c>
      <c r="AE62" s="1">
        <v>62</v>
      </c>
      <c r="AF62" s="18">
        <f t="shared" si="0"/>
        <v>52.9</v>
      </c>
    </row>
    <row r="63" spans="1:32" x14ac:dyDescent="0.35">
      <c r="A63" s="1" t="s">
        <v>177</v>
      </c>
      <c r="B63" s="1">
        <v>18</v>
      </c>
      <c r="C63" s="1">
        <v>24</v>
      </c>
      <c r="D63" s="1">
        <v>99</v>
      </c>
      <c r="E63" s="1">
        <v>20</v>
      </c>
      <c r="F63" s="1">
        <v>23</v>
      </c>
      <c r="G63" s="1">
        <v>12</v>
      </c>
      <c r="H63" s="1">
        <v>92</v>
      </c>
      <c r="I63" s="1">
        <v>24</v>
      </c>
      <c r="J63" s="1">
        <v>148</v>
      </c>
      <c r="K63" s="1">
        <v>96</v>
      </c>
      <c r="L63" s="1">
        <v>115</v>
      </c>
      <c r="M63" s="1">
        <v>34</v>
      </c>
      <c r="N63" s="1">
        <v>84</v>
      </c>
      <c r="O63" s="1">
        <v>48</v>
      </c>
      <c r="P63" s="1">
        <v>29</v>
      </c>
      <c r="Q63" s="1">
        <v>63</v>
      </c>
      <c r="R63" s="1">
        <v>44</v>
      </c>
      <c r="S63" s="1">
        <v>76</v>
      </c>
      <c r="T63" s="1">
        <v>97</v>
      </c>
      <c r="U63" s="1">
        <v>115</v>
      </c>
      <c r="V63" s="1">
        <v>16</v>
      </c>
      <c r="W63" s="1">
        <v>113</v>
      </c>
      <c r="X63" s="1">
        <v>51</v>
      </c>
      <c r="Y63" s="1">
        <v>38</v>
      </c>
      <c r="Z63" s="1">
        <v>39</v>
      </c>
      <c r="AA63" s="1">
        <v>50</v>
      </c>
      <c r="AB63" s="1">
        <v>138</v>
      </c>
      <c r="AC63" s="1">
        <v>121</v>
      </c>
      <c r="AD63" s="1">
        <v>21</v>
      </c>
      <c r="AE63" s="1">
        <v>130</v>
      </c>
      <c r="AF63" s="18">
        <f t="shared" si="0"/>
        <v>65.933333333333337</v>
      </c>
    </row>
    <row r="64" spans="1:32" x14ac:dyDescent="0.35">
      <c r="A64" s="1" t="s">
        <v>178</v>
      </c>
      <c r="B64" s="1">
        <v>47</v>
      </c>
      <c r="C64" s="1">
        <v>39</v>
      </c>
      <c r="D64" s="1">
        <v>17</v>
      </c>
      <c r="E64" s="1">
        <v>19</v>
      </c>
      <c r="F64" s="1">
        <v>15</v>
      </c>
      <c r="G64" s="1">
        <v>29</v>
      </c>
      <c r="H64" s="1">
        <v>42</v>
      </c>
      <c r="I64" s="1">
        <v>90</v>
      </c>
      <c r="J64" s="1">
        <v>45</v>
      </c>
      <c r="K64" s="1">
        <v>38</v>
      </c>
      <c r="L64" s="1">
        <v>75</v>
      </c>
      <c r="M64" s="1">
        <v>101</v>
      </c>
      <c r="N64" s="1">
        <v>77</v>
      </c>
      <c r="O64" s="1">
        <v>26</v>
      </c>
      <c r="P64" s="1">
        <v>28</v>
      </c>
      <c r="Q64" s="1">
        <v>51</v>
      </c>
      <c r="R64" s="1">
        <v>51</v>
      </c>
      <c r="S64" s="1">
        <v>30</v>
      </c>
      <c r="T64" s="1">
        <v>62</v>
      </c>
      <c r="U64" s="1">
        <v>16</v>
      </c>
      <c r="V64" s="1">
        <v>75</v>
      </c>
      <c r="W64" s="1">
        <v>56</v>
      </c>
      <c r="X64" s="1">
        <v>109</v>
      </c>
      <c r="Y64" s="1">
        <v>16</v>
      </c>
      <c r="Z64" s="1">
        <v>53</v>
      </c>
      <c r="AA64" s="1">
        <v>21</v>
      </c>
      <c r="AB64" s="1">
        <v>104</v>
      </c>
      <c r="AC64" s="1">
        <v>16</v>
      </c>
      <c r="AD64" s="1">
        <v>15</v>
      </c>
      <c r="AE64" s="1">
        <v>71</v>
      </c>
      <c r="AF64" s="18">
        <f t="shared" si="0"/>
        <v>47.8</v>
      </c>
    </row>
    <row r="65" spans="1:32" x14ac:dyDescent="0.35">
      <c r="A65" s="1" t="s">
        <v>45</v>
      </c>
      <c r="B65" s="1">
        <v>89</v>
      </c>
      <c r="C65" s="1">
        <v>188</v>
      </c>
      <c r="D65" s="1">
        <v>134</v>
      </c>
      <c r="E65" s="1">
        <v>31</v>
      </c>
      <c r="F65" s="1">
        <v>45</v>
      </c>
      <c r="G65" s="1">
        <v>23</v>
      </c>
      <c r="H65" s="1">
        <v>19</v>
      </c>
      <c r="I65" s="1">
        <v>51</v>
      </c>
      <c r="J65" s="1">
        <v>14</v>
      </c>
      <c r="K65" s="1">
        <v>98</v>
      </c>
      <c r="L65" s="1">
        <v>130</v>
      </c>
      <c r="M65" s="1">
        <v>46</v>
      </c>
      <c r="N65" s="1">
        <v>25</v>
      </c>
      <c r="O65" s="1">
        <v>112</v>
      </c>
      <c r="P65" s="1">
        <v>27</v>
      </c>
      <c r="Q65" s="1">
        <v>42</v>
      </c>
      <c r="R65" s="1">
        <v>63</v>
      </c>
      <c r="S65" s="1">
        <v>122</v>
      </c>
      <c r="T65" s="1">
        <v>68</v>
      </c>
      <c r="U65" s="1">
        <v>87</v>
      </c>
      <c r="V65" s="1">
        <v>20</v>
      </c>
      <c r="W65" s="1">
        <v>30</v>
      </c>
      <c r="X65" s="1">
        <v>88</v>
      </c>
      <c r="Y65" s="1">
        <v>137</v>
      </c>
      <c r="Z65" s="1">
        <v>18</v>
      </c>
      <c r="AA65" s="1">
        <v>27</v>
      </c>
      <c r="AB65" s="1">
        <v>14</v>
      </c>
      <c r="AC65" s="1">
        <v>13</v>
      </c>
      <c r="AD65" s="1">
        <v>88</v>
      </c>
      <c r="AE65" s="1">
        <v>58</v>
      </c>
      <c r="AF65" s="18">
        <f t="shared" si="0"/>
        <v>63.56666666666667</v>
      </c>
    </row>
    <row r="66" spans="1:32" x14ac:dyDescent="0.35">
      <c r="A66" s="1" t="s">
        <v>46</v>
      </c>
      <c r="B66" s="1">
        <v>185</v>
      </c>
      <c r="C66" s="1">
        <v>49</v>
      </c>
      <c r="D66" s="1">
        <v>19</v>
      </c>
      <c r="E66" s="1">
        <v>34</v>
      </c>
      <c r="F66" s="1">
        <v>30</v>
      </c>
      <c r="G66" s="1">
        <v>14</v>
      </c>
      <c r="H66" s="1">
        <v>17</v>
      </c>
      <c r="I66" s="1">
        <v>15</v>
      </c>
      <c r="J66" s="1">
        <v>55</v>
      </c>
      <c r="K66" s="1">
        <v>25</v>
      </c>
      <c r="L66" s="1">
        <v>20</v>
      </c>
      <c r="M66" s="1">
        <v>59</v>
      </c>
      <c r="N66" s="1">
        <v>26</v>
      </c>
      <c r="O66" s="1">
        <v>85</v>
      </c>
      <c r="P66" s="1">
        <v>63</v>
      </c>
      <c r="Q66" s="1">
        <v>20</v>
      </c>
      <c r="R66" s="1">
        <v>130</v>
      </c>
      <c r="S66" s="1">
        <v>120</v>
      </c>
      <c r="T66" s="1">
        <v>53</v>
      </c>
      <c r="U66" s="1">
        <v>99</v>
      </c>
      <c r="V66" s="1">
        <v>56</v>
      </c>
      <c r="W66" s="1">
        <v>54</v>
      </c>
      <c r="X66" s="1">
        <v>32</v>
      </c>
      <c r="Y66" s="1">
        <v>127</v>
      </c>
      <c r="Z66" s="1">
        <v>32</v>
      </c>
      <c r="AA66" s="1">
        <v>64</v>
      </c>
      <c r="AB66" s="1">
        <v>20</v>
      </c>
      <c r="AC66" s="1">
        <v>61</v>
      </c>
      <c r="AD66" s="1">
        <v>26</v>
      </c>
      <c r="AE66" s="1">
        <v>18</v>
      </c>
      <c r="AF66" s="18">
        <f t="shared" si="0"/>
        <v>53.6</v>
      </c>
    </row>
    <row r="67" spans="1:32" x14ac:dyDescent="0.35">
      <c r="A67" s="1" t="s">
        <v>47</v>
      </c>
      <c r="B67" s="1">
        <v>50</v>
      </c>
      <c r="C67" s="1">
        <v>18</v>
      </c>
      <c r="D67" s="1">
        <v>19</v>
      </c>
      <c r="E67" s="1">
        <v>42</v>
      </c>
      <c r="F67" s="1">
        <v>112</v>
      </c>
      <c r="G67" s="1">
        <v>34</v>
      </c>
      <c r="H67" s="1">
        <v>65</v>
      </c>
      <c r="I67" s="1">
        <v>50</v>
      </c>
      <c r="J67" s="1">
        <v>14</v>
      </c>
      <c r="K67" s="1">
        <v>45</v>
      </c>
      <c r="L67" s="1">
        <v>14</v>
      </c>
      <c r="M67" s="1">
        <v>63</v>
      </c>
      <c r="N67" s="1">
        <v>23</v>
      </c>
      <c r="O67" s="1">
        <v>81</v>
      </c>
      <c r="P67" s="1">
        <v>36</v>
      </c>
      <c r="Q67" s="1">
        <v>17</v>
      </c>
      <c r="R67" s="1">
        <v>42</v>
      </c>
      <c r="S67" s="1">
        <v>19</v>
      </c>
      <c r="T67" s="1">
        <v>33</v>
      </c>
      <c r="U67" s="1">
        <v>14</v>
      </c>
      <c r="V67" s="1">
        <v>39</v>
      </c>
      <c r="W67" s="1">
        <v>36</v>
      </c>
      <c r="X67" s="1">
        <v>30</v>
      </c>
      <c r="Y67" s="1">
        <v>45</v>
      </c>
      <c r="Z67" s="1">
        <v>174</v>
      </c>
      <c r="AA67" s="1">
        <v>27</v>
      </c>
      <c r="AB67" s="1">
        <v>154</v>
      </c>
      <c r="AC67" s="1">
        <v>74</v>
      </c>
      <c r="AD67" s="1">
        <v>23</v>
      </c>
      <c r="AE67" s="1">
        <v>19</v>
      </c>
      <c r="AF67" s="18">
        <f t="shared" si="0"/>
        <v>47.06666666666667</v>
      </c>
    </row>
    <row r="68" spans="1:32" x14ac:dyDescent="0.35">
      <c r="A68" s="1" t="s">
        <v>48</v>
      </c>
      <c r="B68" s="1">
        <v>22</v>
      </c>
      <c r="C68" s="1">
        <v>47</v>
      </c>
      <c r="D68" s="1">
        <v>24</v>
      </c>
      <c r="E68" s="1">
        <v>12</v>
      </c>
      <c r="F68" s="1">
        <v>46</v>
      </c>
      <c r="G68" s="1">
        <v>413</v>
      </c>
      <c r="H68" s="1">
        <v>147</v>
      </c>
      <c r="I68" s="1">
        <v>62</v>
      </c>
      <c r="J68" s="1">
        <v>27</v>
      </c>
      <c r="K68" s="1">
        <v>35</v>
      </c>
      <c r="L68" s="1">
        <v>94</v>
      </c>
      <c r="M68" s="1">
        <v>35</v>
      </c>
      <c r="N68" s="1">
        <v>32</v>
      </c>
      <c r="O68" s="1">
        <v>113</v>
      </c>
      <c r="P68" s="1">
        <v>108</v>
      </c>
      <c r="Q68" s="1">
        <v>241</v>
      </c>
      <c r="R68" s="1">
        <v>17</v>
      </c>
      <c r="S68" s="1">
        <v>33</v>
      </c>
      <c r="T68" s="1">
        <v>80</v>
      </c>
      <c r="U68" s="1">
        <v>49</v>
      </c>
      <c r="V68" s="1">
        <v>18</v>
      </c>
      <c r="W68" s="1">
        <v>86</v>
      </c>
      <c r="X68" s="1">
        <v>19</v>
      </c>
      <c r="Y68" s="1">
        <v>16</v>
      </c>
      <c r="Z68" s="1">
        <v>20</v>
      </c>
      <c r="AA68" s="1">
        <v>89</v>
      </c>
      <c r="AB68" s="1">
        <v>56</v>
      </c>
      <c r="AC68" s="1">
        <v>131</v>
      </c>
      <c r="AD68" s="1">
        <v>126</v>
      </c>
      <c r="AE68" s="1">
        <v>14</v>
      </c>
      <c r="AF68" s="18">
        <f t="shared" ref="AF68:AF131" si="1">AVERAGE(B68:AE68)</f>
        <v>73.733333333333334</v>
      </c>
    </row>
    <row r="69" spans="1:32" x14ac:dyDescent="0.35">
      <c r="A69" s="1" t="s">
        <v>179</v>
      </c>
      <c r="B69" s="1">
        <v>69</v>
      </c>
      <c r="C69" s="1">
        <v>27</v>
      </c>
      <c r="D69" s="1">
        <v>34</v>
      </c>
      <c r="E69" s="1">
        <v>82</v>
      </c>
      <c r="F69" s="1">
        <v>57</v>
      </c>
      <c r="G69" s="1">
        <v>37</v>
      </c>
      <c r="H69" s="1">
        <v>83</v>
      </c>
      <c r="I69" s="1">
        <v>22</v>
      </c>
      <c r="J69" s="1">
        <v>71</v>
      </c>
      <c r="K69" s="1">
        <v>65</v>
      </c>
      <c r="L69" s="1">
        <v>50</v>
      </c>
      <c r="M69" s="1">
        <v>30</v>
      </c>
      <c r="N69" s="1">
        <v>53</v>
      </c>
      <c r="O69" s="1">
        <v>33</v>
      </c>
      <c r="P69" s="1">
        <v>99</v>
      </c>
      <c r="Q69" s="1">
        <v>15</v>
      </c>
      <c r="R69" s="1">
        <v>48</v>
      </c>
      <c r="S69" s="1">
        <v>34</v>
      </c>
      <c r="T69" s="1">
        <v>172</v>
      </c>
      <c r="U69" s="1">
        <v>24</v>
      </c>
      <c r="V69" s="1">
        <v>20</v>
      </c>
      <c r="W69" s="1">
        <v>23</v>
      </c>
      <c r="X69" s="1">
        <v>55</v>
      </c>
      <c r="Y69" s="1">
        <v>132</v>
      </c>
      <c r="Z69" s="1">
        <v>15</v>
      </c>
      <c r="AA69" s="1">
        <v>14</v>
      </c>
      <c r="AB69" s="1">
        <v>124</v>
      </c>
      <c r="AC69" s="1">
        <v>23</v>
      </c>
      <c r="AD69" s="1">
        <v>105</v>
      </c>
      <c r="AE69" s="1">
        <v>66</v>
      </c>
      <c r="AF69" s="18">
        <f t="shared" si="1"/>
        <v>56.06666666666667</v>
      </c>
    </row>
    <row r="70" spans="1:32" x14ac:dyDescent="0.35">
      <c r="A70" s="1" t="s">
        <v>49</v>
      </c>
      <c r="B70" s="1">
        <v>177</v>
      </c>
      <c r="C70" s="1">
        <v>35</v>
      </c>
      <c r="D70" s="1">
        <v>37</v>
      </c>
      <c r="E70" s="1">
        <v>49</v>
      </c>
      <c r="F70" s="1">
        <v>129</v>
      </c>
      <c r="G70" s="1">
        <v>15</v>
      </c>
      <c r="H70" s="1">
        <v>23</v>
      </c>
      <c r="I70" s="1">
        <v>90</v>
      </c>
      <c r="J70" s="1">
        <v>31</v>
      </c>
      <c r="K70" s="1">
        <v>48</v>
      </c>
      <c r="L70" s="1">
        <v>38</v>
      </c>
      <c r="M70" s="1">
        <v>86</v>
      </c>
      <c r="N70" s="1">
        <v>34</v>
      </c>
      <c r="O70" s="1">
        <v>25</v>
      </c>
      <c r="P70" s="1">
        <v>58</v>
      </c>
      <c r="Q70" s="1">
        <v>35</v>
      </c>
      <c r="R70" s="1">
        <v>20</v>
      </c>
      <c r="S70" s="1">
        <v>18</v>
      </c>
      <c r="T70" s="1">
        <v>91</v>
      </c>
      <c r="U70" s="1">
        <v>124</v>
      </c>
      <c r="V70" s="1">
        <v>37</v>
      </c>
      <c r="W70" s="1">
        <v>34</v>
      </c>
      <c r="X70" s="1">
        <v>231</v>
      </c>
      <c r="Y70" s="1">
        <v>36</v>
      </c>
      <c r="Z70" s="1">
        <v>87</v>
      </c>
      <c r="AA70" s="1">
        <v>32</v>
      </c>
      <c r="AB70" s="1">
        <v>151</v>
      </c>
      <c r="AC70" s="1">
        <v>28</v>
      </c>
      <c r="AD70" s="1">
        <v>50</v>
      </c>
      <c r="AE70" s="1">
        <v>45</v>
      </c>
      <c r="AF70" s="18">
        <f t="shared" si="1"/>
        <v>63.133333333333333</v>
      </c>
    </row>
    <row r="71" spans="1:32" x14ac:dyDescent="0.35">
      <c r="A71" s="1" t="s">
        <v>50</v>
      </c>
      <c r="B71" s="1">
        <v>16</v>
      </c>
      <c r="C71" s="1">
        <v>102</v>
      </c>
      <c r="D71" s="1">
        <v>70</v>
      </c>
      <c r="E71" s="1">
        <v>32</v>
      </c>
      <c r="F71" s="1">
        <v>38</v>
      </c>
      <c r="G71" s="1">
        <v>149</v>
      </c>
      <c r="H71" s="1">
        <v>93</v>
      </c>
      <c r="I71" s="1">
        <v>55</v>
      </c>
      <c r="J71" s="1">
        <v>32</v>
      </c>
      <c r="K71" s="1">
        <v>162</v>
      </c>
      <c r="L71" s="1">
        <v>39</v>
      </c>
      <c r="M71" s="1">
        <v>212</v>
      </c>
      <c r="N71" s="1">
        <v>99</v>
      </c>
      <c r="O71" s="1">
        <v>73</v>
      </c>
      <c r="P71" s="1">
        <v>21</v>
      </c>
      <c r="Q71" s="1">
        <v>59</v>
      </c>
      <c r="R71" s="1">
        <v>28</v>
      </c>
      <c r="S71" s="1">
        <v>68</v>
      </c>
      <c r="T71" s="1">
        <v>49</v>
      </c>
      <c r="U71" s="1">
        <v>71</v>
      </c>
      <c r="V71" s="1">
        <v>31</v>
      </c>
      <c r="W71" s="1">
        <v>81</v>
      </c>
      <c r="X71" s="1">
        <v>18</v>
      </c>
      <c r="Y71" s="1">
        <v>34</v>
      </c>
      <c r="Z71" s="1">
        <v>113</v>
      </c>
      <c r="AA71" s="1">
        <v>122</v>
      </c>
      <c r="AB71" s="1">
        <v>51</v>
      </c>
      <c r="AC71" s="1">
        <v>133</v>
      </c>
      <c r="AD71" s="1">
        <v>18</v>
      </c>
      <c r="AE71" s="1">
        <v>46</v>
      </c>
      <c r="AF71" s="18">
        <f t="shared" si="1"/>
        <v>70.5</v>
      </c>
    </row>
    <row r="72" spans="1:32" x14ac:dyDescent="0.35">
      <c r="A72" s="1" t="s">
        <v>51</v>
      </c>
      <c r="B72" s="1">
        <v>41</v>
      </c>
      <c r="C72" s="1">
        <v>12</v>
      </c>
      <c r="D72" s="1">
        <v>37</v>
      </c>
      <c r="E72" s="1">
        <v>27</v>
      </c>
      <c r="F72" s="1">
        <v>18</v>
      </c>
      <c r="G72" s="1">
        <v>73</v>
      </c>
      <c r="H72" s="1">
        <v>111</v>
      </c>
      <c r="I72" s="1">
        <v>161</v>
      </c>
      <c r="J72" s="1">
        <v>16</v>
      </c>
      <c r="K72" s="1">
        <v>52</v>
      </c>
      <c r="L72" s="1">
        <v>43</v>
      </c>
      <c r="M72" s="1">
        <v>116</v>
      </c>
      <c r="N72" s="1">
        <v>27</v>
      </c>
      <c r="O72" s="1">
        <v>15</v>
      </c>
      <c r="P72" s="1">
        <v>75</v>
      </c>
      <c r="Q72" s="1">
        <v>23</v>
      </c>
      <c r="R72" s="1">
        <v>65</v>
      </c>
      <c r="S72" s="1">
        <v>13</v>
      </c>
      <c r="T72" s="1">
        <v>49</v>
      </c>
      <c r="U72" s="1">
        <v>22</v>
      </c>
      <c r="V72" s="1">
        <v>31</v>
      </c>
      <c r="W72" s="1">
        <v>14</v>
      </c>
      <c r="X72" s="1">
        <v>40</v>
      </c>
      <c r="Y72" s="1">
        <v>15</v>
      </c>
      <c r="Z72" s="1">
        <v>24</v>
      </c>
      <c r="AA72" s="1">
        <v>63</v>
      </c>
      <c r="AB72" s="1">
        <v>77</v>
      </c>
      <c r="AC72" s="1">
        <v>22</v>
      </c>
      <c r="AD72" s="1">
        <v>160</v>
      </c>
      <c r="AE72" s="1">
        <v>26</v>
      </c>
      <c r="AF72" s="18">
        <f t="shared" si="1"/>
        <v>48.93333333333333</v>
      </c>
    </row>
    <row r="73" spans="1:32" x14ac:dyDescent="0.35">
      <c r="A73" s="1" t="s">
        <v>52</v>
      </c>
      <c r="B73" s="1">
        <v>42</v>
      </c>
      <c r="C73" s="1">
        <v>30</v>
      </c>
      <c r="D73" s="1">
        <v>164</v>
      </c>
      <c r="E73" s="1">
        <v>39</v>
      </c>
      <c r="F73" s="1">
        <v>70</v>
      </c>
      <c r="G73" s="1">
        <v>25</v>
      </c>
      <c r="H73" s="1">
        <v>89</v>
      </c>
      <c r="I73" s="1">
        <v>35</v>
      </c>
      <c r="J73" s="1">
        <v>28</v>
      </c>
      <c r="K73" s="1">
        <v>77</v>
      </c>
      <c r="L73" s="1">
        <v>86</v>
      </c>
      <c r="M73" s="1">
        <v>58</v>
      </c>
      <c r="N73" s="1">
        <v>18</v>
      </c>
      <c r="O73" s="1">
        <v>53</v>
      </c>
      <c r="P73" s="1">
        <v>17</v>
      </c>
      <c r="Q73" s="1">
        <v>18</v>
      </c>
      <c r="R73" s="1">
        <v>35</v>
      </c>
      <c r="S73" s="1">
        <v>52</v>
      </c>
      <c r="T73" s="1">
        <v>111</v>
      </c>
      <c r="U73" s="1">
        <v>38</v>
      </c>
      <c r="V73" s="1">
        <v>21</v>
      </c>
      <c r="W73" s="1">
        <v>18</v>
      </c>
      <c r="X73" s="1">
        <v>72</v>
      </c>
      <c r="Y73" s="1">
        <v>17</v>
      </c>
      <c r="Z73" s="1">
        <v>49</v>
      </c>
      <c r="AA73" s="1">
        <v>70</v>
      </c>
      <c r="AB73" s="1">
        <v>59</v>
      </c>
      <c r="AC73" s="1">
        <v>77</v>
      </c>
      <c r="AD73" s="1">
        <v>12</v>
      </c>
      <c r="AE73" s="1">
        <v>21</v>
      </c>
      <c r="AF73" s="18">
        <f t="shared" si="1"/>
        <v>50.033333333333331</v>
      </c>
    </row>
    <row r="74" spans="1:32" x14ac:dyDescent="0.35">
      <c r="A74" s="1" t="s">
        <v>53</v>
      </c>
      <c r="B74" s="1">
        <v>38</v>
      </c>
      <c r="C74" s="1">
        <v>112</v>
      </c>
      <c r="D74" s="1">
        <v>63</v>
      </c>
      <c r="E74" s="1">
        <v>45</v>
      </c>
      <c r="F74" s="1">
        <v>31</v>
      </c>
      <c r="G74" s="1">
        <v>30</v>
      </c>
      <c r="H74" s="1">
        <v>50</v>
      </c>
      <c r="I74" s="1">
        <v>13</v>
      </c>
      <c r="J74" s="1">
        <v>184</v>
      </c>
      <c r="K74" s="1">
        <v>41</v>
      </c>
      <c r="L74" s="1">
        <v>151</v>
      </c>
      <c r="M74" s="1">
        <v>33</v>
      </c>
      <c r="N74" s="1">
        <v>20</v>
      </c>
      <c r="O74" s="1">
        <v>35</v>
      </c>
      <c r="P74" s="1">
        <v>147</v>
      </c>
      <c r="Q74" s="1">
        <v>18</v>
      </c>
      <c r="R74" s="1">
        <v>34</v>
      </c>
      <c r="S74" s="1">
        <v>82</v>
      </c>
      <c r="T74" s="1">
        <v>31</v>
      </c>
      <c r="U74" s="1">
        <v>23</v>
      </c>
      <c r="V74" s="1">
        <v>202</v>
      </c>
      <c r="W74" s="1">
        <v>14</v>
      </c>
      <c r="X74" s="1">
        <v>86</v>
      </c>
      <c r="Y74" s="1">
        <v>36</v>
      </c>
      <c r="Z74" s="1">
        <v>136</v>
      </c>
      <c r="AA74" s="1">
        <v>30</v>
      </c>
      <c r="AB74" s="1">
        <v>19</v>
      </c>
      <c r="AC74" s="1">
        <v>29</v>
      </c>
      <c r="AD74" s="1">
        <v>77</v>
      </c>
      <c r="AE74" s="1">
        <v>117</v>
      </c>
      <c r="AF74" s="18">
        <f t="shared" si="1"/>
        <v>64.233333333333334</v>
      </c>
    </row>
    <row r="75" spans="1:32" x14ac:dyDescent="0.35">
      <c r="A75" s="1" t="s">
        <v>54</v>
      </c>
      <c r="B75" s="1">
        <v>54</v>
      </c>
      <c r="C75" s="1">
        <v>154</v>
      </c>
      <c r="D75" s="1">
        <v>68</v>
      </c>
      <c r="E75" s="1">
        <v>96</v>
      </c>
      <c r="F75" s="1">
        <v>83</v>
      </c>
      <c r="G75" s="1">
        <v>12</v>
      </c>
      <c r="H75" s="1">
        <v>43</v>
      </c>
      <c r="I75" s="1">
        <v>55</v>
      </c>
      <c r="J75" s="1">
        <v>68</v>
      </c>
      <c r="K75" s="1">
        <v>54</v>
      </c>
      <c r="L75" s="1">
        <v>44</v>
      </c>
      <c r="M75" s="1">
        <v>62</v>
      </c>
      <c r="N75" s="1">
        <v>51</v>
      </c>
      <c r="O75" s="1">
        <v>36</v>
      </c>
      <c r="P75" s="1">
        <v>53</v>
      </c>
      <c r="Q75" s="1">
        <v>14</v>
      </c>
      <c r="R75" s="1">
        <v>86</v>
      </c>
      <c r="S75" s="1">
        <v>109</v>
      </c>
      <c r="T75" s="1">
        <v>68</v>
      </c>
      <c r="U75" s="1">
        <v>79</v>
      </c>
      <c r="V75" s="1">
        <v>63</v>
      </c>
      <c r="W75" s="1">
        <v>53</v>
      </c>
      <c r="X75" s="1">
        <v>91</v>
      </c>
      <c r="Y75" s="1">
        <v>24</v>
      </c>
      <c r="Z75" s="1">
        <v>66</v>
      </c>
      <c r="AA75" s="1">
        <v>19</v>
      </c>
      <c r="AB75" s="1">
        <v>100</v>
      </c>
      <c r="AC75" s="1">
        <v>19</v>
      </c>
      <c r="AD75" s="1">
        <v>29</v>
      </c>
      <c r="AE75" s="1">
        <v>42</v>
      </c>
      <c r="AF75" s="18">
        <f t="shared" si="1"/>
        <v>59.833333333333336</v>
      </c>
    </row>
    <row r="76" spans="1:32" x14ac:dyDescent="0.35">
      <c r="A76" s="1" t="s">
        <v>180</v>
      </c>
      <c r="B76" s="1">
        <v>37</v>
      </c>
      <c r="C76" s="1">
        <v>64</v>
      </c>
      <c r="D76" s="1">
        <v>51</v>
      </c>
      <c r="E76" s="1">
        <v>30</v>
      </c>
      <c r="F76" s="1">
        <v>67</v>
      </c>
      <c r="G76" s="1">
        <v>71</v>
      </c>
      <c r="H76" s="1">
        <v>19</v>
      </c>
      <c r="I76" s="1">
        <v>13</v>
      </c>
      <c r="J76" s="1">
        <v>75</v>
      </c>
      <c r="K76" s="1">
        <v>42</v>
      </c>
      <c r="L76" s="1">
        <v>48</v>
      </c>
      <c r="M76" s="1">
        <v>28</v>
      </c>
      <c r="N76" s="1">
        <v>41</v>
      </c>
      <c r="O76" s="1">
        <v>25</v>
      </c>
      <c r="P76" s="1">
        <v>44</v>
      </c>
      <c r="Q76" s="1">
        <v>32</v>
      </c>
      <c r="R76" s="1">
        <v>25</v>
      </c>
      <c r="S76" s="1">
        <v>29</v>
      </c>
      <c r="T76" s="1">
        <v>53</v>
      </c>
      <c r="U76" s="1">
        <v>21</v>
      </c>
      <c r="V76" s="1">
        <v>53</v>
      </c>
      <c r="W76" s="1">
        <v>13</v>
      </c>
      <c r="X76" s="1">
        <v>14</v>
      </c>
      <c r="Y76" s="1">
        <v>45</v>
      </c>
      <c r="Z76" s="1">
        <v>73</v>
      </c>
      <c r="AA76" s="1">
        <v>70</v>
      </c>
      <c r="AB76" s="1">
        <v>30</v>
      </c>
      <c r="AC76" s="1">
        <v>59</v>
      </c>
      <c r="AD76" s="1">
        <v>28</v>
      </c>
      <c r="AE76" s="1">
        <v>110</v>
      </c>
      <c r="AF76" s="18">
        <f t="shared" si="1"/>
        <v>43.666666666666664</v>
      </c>
    </row>
    <row r="77" spans="1:32" x14ac:dyDescent="0.35">
      <c r="A77" s="1" t="s">
        <v>55</v>
      </c>
      <c r="B77" s="1">
        <v>19</v>
      </c>
      <c r="C77" s="1">
        <v>46</v>
      </c>
      <c r="D77" s="1">
        <v>41</v>
      </c>
      <c r="E77" s="1">
        <v>46</v>
      </c>
      <c r="F77" s="1">
        <v>117</v>
      </c>
      <c r="G77" s="1">
        <v>14</v>
      </c>
      <c r="H77" s="1">
        <v>67</v>
      </c>
      <c r="I77" s="1">
        <v>29</v>
      </c>
      <c r="J77" s="1">
        <v>12</v>
      </c>
      <c r="K77" s="1">
        <v>12</v>
      </c>
      <c r="L77" s="1">
        <v>32</v>
      </c>
      <c r="M77" s="1">
        <v>61</v>
      </c>
      <c r="N77" s="1">
        <v>17</v>
      </c>
      <c r="O77" s="1">
        <v>30</v>
      </c>
      <c r="P77" s="1">
        <v>22</v>
      </c>
      <c r="Q77" s="1">
        <v>36</v>
      </c>
      <c r="R77" s="1">
        <v>14</v>
      </c>
      <c r="S77" s="1">
        <v>41</v>
      </c>
      <c r="T77" s="1">
        <v>18</v>
      </c>
      <c r="U77" s="1">
        <v>41</v>
      </c>
      <c r="V77" s="1">
        <v>16</v>
      </c>
      <c r="W77" s="1">
        <v>22</v>
      </c>
      <c r="X77" s="1">
        <v>20</v>
      </c>
      <c r="Y77" s="1">
        <v>67</v>
      </c>
      <c r="Z77" s="1">
        <v>18</v>
      </c>
      <c r="AA77" s="1">
        <v>27</v>
      </c>
      <c r="AB77" s="1">
        <v>28</v>
      </c>
      <c r="AC77" s="1">
        <v>14</v>
      </c>
      <c r="AD77" s="1">
        <v>118</v>
      </c>
      <c r="AE77" s="1">
        <v>33</v>
      </c>
      <c r="AF77" s="18">
        <f t="shared" si="1"/>
        <v>35.93333333333333</v>
      </c>
    </row>
    <row r="78" spans="1:32" x14ac:dyDescent="0.35">
      <c r="A78" s="1" t="s">
        <v>56</v>
      </c>
      <c r="B78" s="1">
        <v>361</v>
      </c>
      <c r="C78" s="1">
        <v>52</v>
      </c>
      <c r="D78" s="1">
        <v>67</v>
      </c>
      <c r="E78" s="1">
        <v>58</v>
      </c>
      <c r="F78" s="1">
        <v>32</v>
      </c>
      <c r="G78" s="1">
        <v>24</v>
      </c>
      <c r="H78" s="1">
        <v>16</v>
      </c>
      <c r="I78" s="1">
        <v>34</v>
      </c>
      <c r="J78" s="1">
        <v>123</v>
      </c>
      <c r="K78" s="1">
        <v>154</v>
      </c>
      <c r="L78" s="1">
        <v>55</v>
      </c>
      <c r="M78" s="1">
        <v>44</v>
      </c>
      <c r="N78" s="1">
        <v>20</v>
      </c>
      <c r="O78" s="1">
        <v>59</v>
      </c>
      <c r="P78" s="1">
        <v>103</v>
      </c>
      <c r="Q78" s="1">
        <v>20</v>
      </c>
      <c r="R78" s="1">
        <v>189</v>
      </c>
      <c r="S78" s="1">
        <v>99</v>
      </c>
      <c r="T78" s="1">
        <v>72</v>
      </c>
      <c r="U78" s="1">
        <v>23</v>
      </c>
      <c r="V78" s="1">
        <v>25</v>
      </c>
      <c r="W78" s="1">
        <v>44</v>
      </c>
      <c r="X78" s="1">
        <v>85</v>
      </c>
      <c r="Y78" s="1">
        <v>164</v>
      </c>
      <c r="Z78" s="1">
        <v>85</v>
      </c>
      <c r="AA78" s="1">
        <v>109</v>
      </c>
      <c r="AB78" s="1">
        <v>59</v>
      </c>
      <c r="AC78" s="1">
        <v>29</v>
      </c>
      <c r="AD78" s="1">
        <v>71</v>
      </c>
      <c r="AE78" s="1">
        <v>231</v>
      </c>
      <c r="AF78" s="18">
        <f t="shared" si="1"/>
        <v>83.566666666666663</v>
      </c>
    </row>
    <row r="79" spans="1:32" x14ac:dyDescent="0.35">
      <c r="A79" s="1" t="s">
        <v>57</v>
      </c>
      <c r="B79" s="1">
        <v>85</v>
      </c>
      <c r="C79" s="1">
        <v>28</v>
      </c>
      <c r="D79" s="1">
        <v>121</v>
      </c>
      <c r="E79" s="1">
        <v>105</v>
      </c>
      <c r="F79" s="1">
        <v>32</v>
      </c>
      <c r="G79" s="1">
        <v>52</v>
      </c>
      <c r="H79" s="1">
        <v>76</v>
      </c>
      <c r="I79" s="1">
        <v>27</v>
      </c>
      <c r="J79" s="1">
        <v>14</v>
      </c>
      <c r="K79" s="1">
        <v>12</v>
      </c>
      <c r="L79" s="1">
        <v>18</v>
      </c>
      <c r="M79" s="1">
        <v>42</v>
      </c>
      <c r="N79" s="1">
        <v>30</v>
      </c>
      <c r="O79" s="1">
        <v>38</v>
      </c>
      <c r="P79" s="1">
        <v>34</v>
      </c>
      <c r="Q79" s="1">
        <v>68</v>
      </c>
      <c r="R79" s="1">
        <v>14</v>
      </c>
      <c r="S79" s="1">
        <v>21</v>
      </c>
      <c r="T79" s="1">
        <v>38</v>
      </c>
      <c r="U79" s="1">
        <v>14</v>
      </c>
      <c r="V79" s="1">
        <v>38</v>
      </c>
      <c r="W79" s="1">
        <v>107</v>
      </c>
      <c r="X79" s="1">
        <v>56</v>
      </c>
      <c r="Y79" s="1">
        <v>58</v>
      </c>
      <c r="Z79" s="1">
        <v>40</v>
      </c>
      <c r="AA79" s="1">
        <v>18</v>
      </c>
      <c r="AB79" s="1">
        <v>27</v>
      </c>
      <c r="AC79" s="1">
        <v>12</v>
      </c>
      <c r="AD79" s="1">
        <v>29</v>
      </c>
      <c r="AE79" s="1">
        <v>17</v>
      </c>
      <c r="AF79" s="18">
        <f t="shared" si="1"/>
        <v>42.366666666666667</v>
      </c>
    </row>
    <row r="80" spans="1:32" x14ac:dyDescent="0.35">
      <c r="A80" s="1" t="s">
        <v>58</v>
      </c>
      <c r="B80" s="1">
        <v>117</v>
      </c>
      <c r="C80" s="1">
        <v>44</v>
      </c>
      <c r="D80" s="1">
        <v>25</v>
      </c>
      <c r="E80" s="1">
        <v>63</v>
      </c>
      <c r="F80" s="1">
        <v>65</v>
      </c>
      <c r="G80" s="1">
        <v>29</v>
      </c>
      <c r="H80" s="1">
        <v>33</v>
      </c>
      <c r="I80" s="1">
        <v>29</v>
      </c>
      <c r="J80" s="1">
        <v>18</v>
      </c>
      <c r="K80" s="1">
        <v>96</v>
      </c>
      <c r="L80" s="1">
        <v>58</v>
      </c>
      <c r="M80" s="1">
        <v>140</v>
      </c>
      <c r="N80" s="1">
        <v>161</v>
      </c>
      <c r="O80" s="1">
        <v>123</v>
      </c>
      <c r="P80" s="1">
        <v>31</v>
      </c>
      <c r="Q80" s="1">
        <v>43</v>
      </c>
      <c r="R80" s="1">
        <v>69</v>
      </c>
      <c r="S80" s="1">
        <v>69</v>
      </c>
      <c r="T80" s="1">
        <v>107</v>
      </c>
      <c r="U80" s="1">
        <v>54</v>
      </c>
      <c r="V80" s="1">
        <v>27</v>
      </c>
      <c r="W80" s="1">
        <v>40</v>
      </c>
      <c r="X80" s="1">
        <v>161</v>
      </c>
      <c r="Y80" s="1">
        <v>21</v>
      </c>
      <c r="Z80" s="1">
        <v>20</v>
      </c>
      <c r="AA80" s="1">
        <v>26</v>
      </c>
      <c r="AB80" s="1">
        <v>41</v>
      </c>
      <c r="AC80" s="1">
        <v>74</v>
      </c>
      <c r="AD80" s="1">
        <v>21</v>
      </c>
      <c r="AE80" s="1">
        <v>56</v>
      </c>
      <c r="AF80" s="18">
        <f t="shared" si="1"/>
        <v>62.033333333333331</v>
      </c>
    </row>
    <row r="81" spans="1:32" x14ac:dyDescent="0.35">
      <c r="A81" s="1" t="s">
        <v>59</v>
      </c>
      <c r="B81" s="1">
        <v>91</v>
      </c>
      <c r="C81" s="1">
        <v>37</v>
      </c>
      <c r="D81" s="1">
        <v>113</v>
      </c>
      <c r="E81" s="1">
        <v>35</v>
      </c>
      <c r="F81" s="1">
        <v>37</v>
      </c>
      <c r="G81" s="1">
        <v>16</v>
      </c>
      <c r="H81" s="1">
        <v>72</v>
      </c>
      <c r="I81" s="1">
        <v>29</v>
      </c>
      <c r="J81" s="1">
        <v>18</v>
      </c>
      <c r="K81" s="1">
        <v>43</v>
      </c>
      <c r="L81" s="1">
        <v>134</v>
      </c>
      <c r="M81" s="1">
        <v>15</v>
      </c>
      <c r="N81" s="1">
        <v>31</v>
      </c>
      <c r="O81" s="1">
        <v>66</v>
      </c>
      <c r="P81" s="1">
        <v>27</v>
      </c>
      <c r="Q81" s="1">
        <v>57</v>
      </c>
      <c r="R81" s="1">
        <v>23</v>
      </c>
      <c r="S81" s="1">
        <v>26</v>
      </c>
      <c r="T81" s="1">
        <v>32</v>
      </c>
      <c r="U81" s="1">
        <v>97</v>
      </c>
      <c r="V81" s="1">
        <v>48</v>
      </c>
      <c r="W81" s="1">
        <v>34</v>
      </c>
      <c r="X81" s="1">
        <v>107</v>
      </c>
      <c r="Y81" s="1">
        <v>15</v>
      </c>
      <c r="Z81" s="1">
        <v>119</v>
      </c>
      <c r="AA81" s="1">
        <v>198</v>
      </c>
      <c r="AB81" s="1">
        <v>27</v>
      </c>
      <c r="AC81" s="1">
        <v>55</v>
      </c>
      <c r="AD81" s="1">
        <v>16</v>
      </c>
      <c r="AE81" s="1">
        <v>16</v>
      </c>
      <c r="AF81" s="18">
        <f t="shared" si="1"/>
        <v>54.466666666666669</v>
      </c>
    </row>
    <row r="82" spans="1:32" x14ac:dyDescent="0.35">
      <c r="A82" s="1" t="s">
        <v>181</v>
      </c>
      <c r="B82" s="1">
        <v>22</v>
      </c>
      <c r="C82" s="1">
        <v>58</v>
      </c>
      <c r="D82" s="1">
        <v>16</v>
      </c>
      <c r="E82" s="1">
        <v>16</v>
      </c>
      <c r="F82" s="1">
        <v>53</v>
      </c>
      <c r="G82" s="1">
        <v>64</v>
      </c>
      <c r="H82" s="1">
        <v>22</v>
      </c>
      <c r="I82" s="1">
        <v>15</v>
      </c>
      <c r="J82" s="1">
        <v>32</v>
      </c>
      <c r="K82" s="1">
        <v>60</v>
      </c>
      <c r="L82" s="1">
        <v>35</v>
      </c>
      <c r="M82" s="1">
        <v>17</v>
      </c>
      <c r="N82" s="1">
        <v>38</v>
      </c>
      <c r="O82" s="1">
        <v>45</v>
      </c>
      <c r="P82" s="1">
        <v>158</v>
      </c>
      <c r="Q82" s="1">
        <v>17</v>
      </c>
      <c r="R82" s="1">
        <v>22</v>
      </c>
      <c r="S82" s="1">
        <v>22</v>
      </c>
      <c r="T82" s="1">
        <v>34</v>
      </c>
      <c r="U82" s="1">
        <v>145</v>
      </c>
      <c r="V82" s="1">
        <v>23</v>
      </c>
      <c r="W82" s="1">
        <v>15</v>
      </c>
      <c r="X82" s="1">
        <v>21</v>
      </c>
      <c r="Y82" s="1">
        <v>52</v>
      </c>
      <c r="Z82" s="1">
        <v>14</v>
      </c>
      <c r="AA82" s="1">
        <v>86</v>
      </c>
      <c r="AB82" s="1">
        <v>38</v>
      </c>
      <c r="AC82" s="1">
        <v>56</v>
      </c>
      <c r="AD82" s="1">
        <v>37</v>
      </c>
      <c r="AE82" s="1">
        <v>31</v>
      </c>
      <c r="AF82" s="18">
        <f t="shared" si="1"/>
        <v>42.133333333333333</v>
      </c>
    </row>
    <row r="83" spans="1:32" x14ac:dyDescent="0.35">
      <c r="A83" s="1" t="s">
        <v>60</v>
      </c>
      <c r="B83" s="1">
        <v>48</v>
      </c>
      <c r="C83" s="1">
        <v>57</v>
      </c>
      <c r="D83" s="1">
        <v>20</v>
      </c>
      <c r="E83" s="1">
        <v>45</v>
      </c>
      <c r="F83" s="1">
        <v>66</v>
      </c>
      <c r="G83" s="1">
        <v>69</v>
      </c>
      <c r="H83" s="1">
        <v>95</v>
      </c>
      <c r="I83" s="1">
        <v>34</v>
      </c>
      <c r="J83" s="1">
        <v>14</v>
      </c>
      <c r="K83" s="1">
        <v>152</v>
      </c>
      <c r="L83" s="1">
        <v>14</v>
      </c>
      <c r="M83" s="1">
        <v>35</v>
      </c>
      <c r="N83" s="1">
        <v>24</v>
      </c>
      <c r="O83" s="1">
        <v>41</v>
      </c>
      <c r="P83" s="1">
        <v>35</v>
      </c>
      <c r="Q83" s="1">
        <v>39</v>
      </c>
      <c r="R83" s="1">
        <v>110</v>
      </c>
      <c r="S83" s="1">
        <v>14</v>
      </c>
      <c r="T83" s="1">
        <v>12</v>
      </c>
      <c r="U83" s="1">
        <v>16</v>
      </c>
      <c r="V83" s="1">
        <v>62</v>
      </c>
      <c r="W83" s="1">
        <v>13</v>
      </c>
      <c r="X83" s="1">
        <v>34</v>
      </c>
      <c r="Y83" s="1">
        <v>20</v>
      </c>
      <c r="Z83" s="1">
        <v>28</v>
      </c>
      <c r="AA83" s="1">
        <v>67</v>
      </c>
      <c r="AB83" s="1">
        <v>35</v>
      </c>
      <c r="AC83" s="1">
        <v>28</v>
      </c>
      <c r="AD83" s="1">
        <v>40</v>
      </c>
      <c r="AE83" s="1">
        <v>59</v>
      </c>
      <c r="AF83" s="18">
        <f t="shared" si="1"/>
        <v>44.2</v>
      </c>
    </row>
    <row r="84" spans="1:32" x14ac:dyDescent="0.35">
      <c r="A84" s="1" t="s">
        <v>61</v>
      </c>
      <c r="B84" s="1">
        <v>43</v>
      </c>
      <c r="C84" s="1">
        <v>22</v>
      </c>
      <c r="D84" s="1">
        <v>80</v>
      </c>
      <c r="E84" s="1">
        <v>13</v>
      </c>
      <c r="F84" s="1">
        <v>69</v>
      </c>
      <c r="G84" s="1">
        <v>46</v>
      </c>
      <c r="H84" s="1">
        <v>14</v>
      </c>
      <c r="I84" s="1">
        <v>23</v>
      </c>
      <c r="J84" s="1">
        <v>20</v>
      </c>
      <c r="K84" s="1">
        <v>90</v>
      </c>
      <c r="L84" s="1">
        <v>15</v>
      </c>
      <c r="M84" s="1">
        <v>113</v>
      </c>
      <c r="N84" s="1">
        <v>53</v>
      </c>
      <c r="O84" s="1">
        <v>23</v>
      </c>
      <c r="P84" s="1">
        <v>93</v>
      </c>
      <c r="Q84" s="1">
        <v>23</v>
      </c>
      <c r="R84" s="1">
        <v>108</v>
      </c>
      <c r="S84" s="1">
        <v>15</v>
      </c>
      <c r="T84" s="1">
        <v>49</v>
      </c>
      <c r="U84" s="1">
        <v>53</v>
      </c>
      <c r="V84" s="1">
        <v>40</v>
      </c>
      <c r="W84" s="1">
        <v>17</v>
      </c>
      <c r="X84" s="1">
        <v>33</v>
      </c>
      <c r="Y84" s="1">
        <v>24</v>
      </c>
      <c r="Z84" s="1">
        <v>139</v>
      </c>
      <c r="AA84" s="1">
        <v>16</v>
      </c>
      <c r="AB84" s="1">
        <v>155</v>
      </c>
      <c r="AC84" s="1">
        <v>22</v>
      </c>
      <c r="AD84" s="1">
        <v>88</v>
      </c>
      <c r="AE84" s="1">
        <v>16</v>
      </c>
      <c r="AF84" s="18">
        <f t="shared" si="1"/>
        <v>50.5</v>
      </c>
    </row>
    <row r="85" spans="1:32" x14ac:dyDescent="0.35">
      <c r="A85" s="1" t="s">
        <v>62</v>
      </c>
      <c r="B85" s="1">
        <v>107</v>
      </c>
      <c r="C85" s="1">
        <v>69</v>
      </c>
      <c r="D85" s="1">
        <v>36</v>
      </c>
      <c r="E85" s="1">
        <v>50</v>
      </c>
      <c r="F85" s="1">
        <v>44</v>
      </c>
      <c r="G85" s="1">
        <v>66</v>
      </c>
      <c r="H85" s="1">
        <v>42</v>
      </c>
      <c r="I85" s="1">
        <v>20</v>
      </c>
      <c r="J85" s="1">
        <v>22</v>
      </c>
      <c r="K85" s="1">
        <v>49</v>
      </c>
      <c r="L85" s="1">
        <v>34</v>
      </c>
      <c r="M85" s="1">
        <v>14</v>
      </c>
      <c r="N85" s="1">
        <v>36</v>
      </c>
      <c r="O85" s="1">
        <v>38</v>
      </c>
      <c r="P85" s="1">
        <v>131</v>
      </c>
      <c r="Q85" s="1">
        <v>39</v>
      </c>
      <c r="R85" s="1">
        <v>27</v>
      </c>
      <c r="S85" s="1">
        <v>68</v>
      </c>
      <c r="T85" s="1">
        <v>111</v>
      </c>
      <c r="U85" s="1">
        <v>82</v>
      </c>
      <c r="V85" s="1">
        <v>24</v>
      </c>
      <c r="W85" s="1">
        <v>21</v>
      </c>
      <c r="X85" s="1">
        <v>83</v>
      </c>
      <c r="Y85" s="1">
        <v>49</v>
      </c>
      <c r="Z85" s="1">
        <v>45</v>
      </c>
      <c r="AA85" s="1">
        <v>66</v>
      </c>
      <c r="AB85" s="1">
        <v>66</v>
      </c>
      <c r="AC85" s="1">
        <v>17</v>
      </c>
      <c r="AD85" s="1">
        <v>38</v>
      </c>
      <c r="AE85" s="1">
        <v>16</v>
      </c>
      <c r="AF85" s="18">
        <f t="shared" si="1"/>
        <v>50.333333333333336</v>
      </c>
    </row>
    <row r="86" spans="1:32" x14ac:dyDescent="0.35">
      <c r="A86" s="1" t="s">
        <v>63</v>
      </c>
      <c r="B86" s="1">
        <v>43</v>
      </c>
      <c r="C86" s="1">
        <v>19</v>
      </c>
      <c r="D86" s="1">
        <v>100</v>
      </c>
      <c r="E86" s="1">
        <v>73</v>
      </c>
      <c r="F86" s="1">
        <v>18</v>
      </c>
      <c r="G86" s="1">
        <v>149</v>
      </c>
      <c r="H86" s="1">
        <v>46</v>
      </c>
      <c r="I86" s="1">
        <v>14</v>
      </c>
      <c r="J86" s="1">
        <v>108</v>
      </c>
      <c r="K86" s="1">
        <v>16</v>
      </c>
      <c r="L86" s="1">
        <v>198</v>
      </c>
      <c r="M86" s="1">
        <v>37</v>
      </c>
      <c r="N86" s="1">
        <v>12</v>
      </c>
      <c r="O86" s="1">
        <v>119</v>
      </c>
      <c r="P86" s="1">
        <v>22</v>
      </c>
      <c r="Q86" s="1">
        <v>43</v>
      </c>
      <c r="R86" s="1">
        <v>14</v>
      </c>
      <c r="S86" s="1">
        <v>246</v>
      </c>
      <c r="T86" s="1">
        <v>42</v>
      </c>
      <c r="U86" s="1">
        <v>43</v>
      </c>
      <c r="V86" s="1">
        <v>20</v>
      </c>
      <c r="W86" s="1">
        <v>20</v>
      </c>
      <c r="X86" s="1">
        <v>50</v>
      </c>
      <c r="Y86" s="1">
        <v>57</v>
      </c>
      <c r="Z86" s="1">
        <v>95</v>
      </c>
      <c r="AA86" s="1">
        <v>23</v>
      </c>
      <c r="AB86" s="1">
        <v>20</v>
      </c>
      <c r="AC86" s="1">
        <v>49</v>
      </c>
      <c r="AD86" s="1">
        <v>15</v>
      </c>
      <c r="AE86" s="1">
        <v>67</v>
      </c>
      <c r="AF86" s="18">
        <f t="shared" si="1"/>
        <v>59.266666666666666</v>
      </c>
    </row>
    <row r="87" spans="1:32" x14ac:dyDescent="0.35">
      <c r="A87" s="1" t="s">
        <v>64</v>
      </c>
      <c r="B87" s="1">
        <v>53</v>
      </c>
      <c r="C87" s="1">
        <v>70</v>
      </c>
      <c r="D87" s="1">
        <v>64</v>
      </c>
      <c r="E87" s="1">
        <v>131</v>
      </c>
      <c r="F87" s="1">
        <v>107</v>
      </c>
      <c r="G87" s="1">
        <v>101</v>
      </c>
      <c r="H87" s="1">
        <v>65</v>
      </c>
      <c r="I87" s="1">
        <v>108</v>
      </c>
      <c r="J87" s="1">
        <v>58</v>
      </c>
      <c r="K87" s="1">
        <v>101</v>
      </c>
      <c r="L87" s="1">
        <v>216</v>
      </c>
      <c r="M87" s="1">
        <v>68</v>
      </c>
      <c r="N87" s="1">
        <v>31</v>
      </c>
      <c r="O87" s="1">
        <v>30</v>
      </c>
      <c r="P87" s="1">
        <v>17</v>
      </c>
      <c r="Q87" s="1">
        <v>54</v>
      </c>
      <c r="R87" s="1">
        <v>31</v>
      </c>
      <c r="S87" s="1">
        <v>236</v>
      </c>
      <c r="T87" s="1">
        <v>26</v>
      </c>
      <c r="U87" s="1">
        <v>24</v>
      </c>
      <c r="V87" s="1">
        <v>16</v>
      </c>
      <c r="W87" s="1">
        <v>75</v>
      </c>
      <c r="X87" s="1">
        <v>283</v>
      </c>
      <c r="Y87" s="1">
        <v>14</v>
      </c>
      <c r="Z87" s="1">
        <v>22</v>
      </c>
      <c r="AA87" s="1">
        <v>46</v>
      </c>
      <c r="AB87" s="1">
        <v>30</v>
      </c>
      <c r="AC87" s="1">
        <v>32</v>
      </c>
      <c r="AD87" s="1">
        <v>25</v>
      </c>
      <c r="AE87" s="1">
        <v>27</v>
      </c>
      <c r="AF87" s="18">
        <f t="shared" si="1"/>
        <v>72.033333333333331</v>
      </c>
    </row>
    <row r="88" spans="1:32" x14ac:dyDescent="0.35">
      <c r="A88" s="1" t="s">
        <v>182</v>
      </c>
      <c r="B88" s="1">
        <v>85</v>
      </c>
      <c r="C88" s="1">
        <v>55</v>
      </c>
      <c r="D88" s="1">
        <v>18</v>
      </c>
      <c r="E88" s="1">
        <v>22</v>
      </c>
      <c r="F88" s="1">
        <v>40</v>
      </c>
      <c r="G88" s="1">
        <v>58</v>
      </c>
      <c r="H88" s="1">
        <v>25</v>
      </c>
      <c r="I88" s="1">
        <v>118</v>
      </c>
      <c r="J88" s="1">
        <v>42</v>
      </c>
      <c r="K88" s="1">
        <v>33</v>
      </c>
      <c r="L88" s="1">
        <v>22</v>
      </c>
      <c r="M88" s="1">
        <v>27</v>
      </c>
      <c r="N88" s="1">
        <v>44</v>
      </c>
      <c r="O88" s="1">
        <v>87</v>
      </c>
      <c r="P88" s="1">
        <v>41</v>
      </c>
      <c r="Q88" s="1">
        <v>44</v>
      </c>
      <c r="R88" s="1">
        <v>45</v>
      </c>
      <c r="S88" s="1">
        <v>16</v>
      </c>
      <c r="T88" s="1">
        <v>53</v>
      </c>
      <c r="U88" s="1">
        <v>58</v>
      </c>
      <c r="V88" s="1">
        <v>105</v>
      </c>
      <c r="W88" s="1">
        <v>73</v>
      </c>
      <c r="X88" s="1">
        <v>77</v>
      </c>
      <c r="Y88" s="1">
        <v>182</v>
      </c>
      <c r="Z88" s="1">
        <v>21</v>
      </c>
      <c r="AA88" s="1">
        <v>24</v>
      </c>
      <c r="AB88" s="1">
        <v>78</v>
      </c>
      <c r="AC88" s="1">
        <v>33</v>
      </c>
      <c r="AD88" s="1">
        <v>59</v>
      </c>
      <c r="AE88" s="1">
        <v>46</v>
      </c>
      <c r="AF88" s="18">
        <f t="shared" si="1"/>
        <v>54.366666666666667</v>
      </c>
    </row>
    <row r="89" spans="1:32" x14ac:dyDescent="0.35">
      <c r="A89" s="1" t="s">
        <v>65</v>
      </c>
      <c r="B89" s="1">
        <v>23</v>
      </c>
      <c r="C89" s="1">
        <v>69</v>
      </c>
      <c r="D89" s="1">
        <v>94</v>
      </c>
      <c r="E89" s="1">
        <v>45</v>
      </c>
      <c r="F89" s="1">
        <v>34</v>
      </c>
      <c r="G89" s="1">
        <v>45</v>
      </c>
      <c r="H89" s="1">
        <v>17</v>
      </c>
      <c r="I89" s="1">
        <v>102</v>
      </c>
      <c r="J89" s="1">
        <v>49</v>
      </c>
      <c r="K89" s="1">
        <v>82</v>
      </c>
      <c r="L89" s="1">
        <v>117</v>
      </c>
      <c r="M89" s="1">
        <v>192</v>
      </c>
      <c r="N89" s="1">
        <v>18</v>
      </c>
      <c r="O89" s="1">
        <v>91</v>
      </c>
      <c r="P89" s="1">
        <v>212</v>
      </c>
      <c r="Q89" s="1">
        <v>65</v>
      </c>
      <c r="R89" s="1">
        <v>93</v>
      </c>
      <c r="S89" s="1">
        <v>74</v>
      </c>
      <c r="T89" s="1">
        <v>32</v>
      </c>
      <c r="U89" s="1">
        <v>30</v>
      </c>
      <c r="V89" s="1">
        <v>85</v>
      </c>
      <c r="W89" s="1">
        <v>16</v>
      </c>
      <c r="X89" s="1">
        <v>95</v>
      </c>
      <c r="Y89" s="1">
        <v>44</v>
      </c>
      <c r="Z89" s="1">
        <v>108</v>
      </c>
      <c r="AA89" s="1">
        <v>113</v>
      </c>
      <c r="AB89" s="1">
        <v>51</v>
      </c>
      <c r="AC89" s="1">
        <v>106</v>
      </c>
      <c r="AD89" s="1">
        <v>28</v>
      </c>
      <c r="AE89" s="1">
        <v>29</v>
      </c>
      <c r="AF89" s="18">
        <f t="shared" si="1"/>
        <v>71.966666666666669</v>
      </c>
    </row>
    <row r="90" spans="1:32" x14ac:dyDescent="0.35">
      <c r="A90" s="1" t="s">
        <v>66</v>
      </c>
      <c r="B90" s="1">
        <v>25</v>
      </c>
      <c r="C90" s="1">
        <v>63</v>
      </c>
      <c r="D90" s="1">
        <v>17</v>
      </c>
      <c r="E90" s="1">
        <v>14</v>
      </c>
      <c r="F90" s="1">
        <v>45</v>
      </c>
      <c r="G90" s="1">
        <v>87</v>
      </c>
      <c r="H90" s="1">
        <v>23</v>
      </c>
      <c r="I90" s="1">
        <v>129</v>
      </c>
      <c r="J90" s="1">
        <v>95</v>
      </c>
      <c r="K90" s="1">
        <v>41</v>
      </c>
      <c r="L90" s="1">
        <v>41</v>
      </c>
      <c r="M90" s="1">
        <v>138</v>
      </c>
      <c r="N90" s="1">
        <v>79</v>
      </c>
      <c r="O90" s="1">
        <v>105</v>
      </c>
      <c r="P90" s="1">
        <v>64</v>
      </c>
      <c r="Q90" s="1">
        <v>251</v>
      </c>
      <c r="R90" s="1">
        <v>69</v>
      </c>
      <c r="S90" s="1">
        <v>37</v>
      </c>
      <c r="T90" s="1">
        <v>62</v>
      </c>
      <c r="U90" s="1">
        <v>18</v>
      </c>
      <c r="V90" s="1">
        <v>59</v>
      </c>
      <c r="W90" s="1">
        <v>64</v>
      </c>
      <c r="X90" s="1">
        <v>13</v>
      </c>
      <c r="Y90" s="1">
        <v>45</v>
      </c>
      <c r="Z90" s="1">
        <v>47</v>
      </c>
      <c r="AA90" s="1">
        <v>66</v>
      </c>
      <c r="AB90" s="1">
        <v>64</v>
      </c>
      <c r="AC90" s="1">
        <v>108</v>
      </c>
      <c r="AD90" s="1">
        <v>23</v>
      </c>
      <c r="AE90" s="1">
        <v>13</v>
      </c>
      <c r="AF90" s="18">
        <f t="shared" si="1"/>
        <v>63.5</v>
      </c>
    </row>
    <row r="91" spans="1:32" x14ac:dyDescent="0.35">
      <c r="A91" s="1" t="s">
        <v>67</v>
      </c>
      <c r="B91" s="1">
        <v>69</v>
      </c>
      <c r="C91" s="1">
        <v>118</v>
      </c>
      <c r="D91" s="1">
        <v>53</v>
      </c>
      <c r="E91" s="1">
        <v>15</v>
      </c>
      <c r="F91" s="1">
        <v>79</v>
      </c>
      <c r="G91" s="1">
        <v>120</v>
      </c>
      <c r="H91" s="1">
        <v>132</v>
      </c>
      <c r="I91" s="1">
        <v>128</v>
      </c>
      <c r="J91" s="1">
        <v>42</v>
      </c>
      <c r="K91" s="1">
        <v>27</v>
      </c>
      <c r="L91" s="1">
        <v>57</v>
      </c>
      <c r="M91" s="1">
        <v>149</v>
      </c>
      <c r="N91" s="1">
        <v>76</v>
      </c>
      <c r="O91" s="1">
        <v>60</v>
      </c>
      <c r="P91" s="1">
        <v>59</v>
      </c>
      <c r="Q91" s="1">
        <v>35</v>
      </c>
      <c r="R91" s="1">
        <v>133</v>
      </c>
      <c r="S91" s="1">
        <v>13</v>
      </c>
      <c r="T91" s="1">
        <v>22</v>
      </c>
      <c r="U91" s="1">
        <v>32</v>
      </c>
      <c r="V91" s="1">
        <v>77</v>
      </c>
      <c r="W91" s="1">
        <v>32</v>
      </c>
      <c r="X91" s="1">
        <v>121</v>
      </c>
      <c r="Y91" s="1">
        <v>55</v>
      </c>
      <c r="Z91" s="1">
        <v>104</v>
      </c>
      <c r="AA91" s="1">
        <v>37</v>
      </c>
      <c r="AB91" s="1">
        <v>39</v>
      </c>
      <c r="AC91" s="1">
        <v>110</v>
      </c>
      <c r="AD91" s="1">
        <v>159</v>
      </c>
      <c r="AE91" s="1">
        <v>48</v>
      </c>
      <c r="AF91" s="18">
        <f t="shared" si="1"/>
        <v>73.36666666666666</v>
      </c>
    </row>
    <row r="92" spans="1:32" x14ac:dyDescent="0.35">
      <c r="A92" s="1" t="s">
        <v>68</v>
      </c>
      <c r="B92" s="1">
        <v>19</v>
      </c>
      <c r="C92" s="1">
        <v>180</v>
      </c>
      <c r="D92" s="1">
        <v>62</v>
      </c>
      <c r="E92" s="1">
        <v>14</v>
      </c>
      <c r="F92" s="1">
        <v>56</v>
      </c>
      <c r="G92" s="1">
        <v>13</v>
      </c>
      <c r="H92" s="1">
        <v>46</v>
      </c>
      <c r="I92" s="1">
        <v>86</v>
      </c>
      <c r="J92" s="1">
        <v>63</v>
      </c>
      <c r="K92" s="1">
        <v>194</v>
      </c>
      <c r="L92" s="1">
        <v>56</v>
      </c>
      <c r="M92" s="1">
        <v>31</v>
      </c>
      <c r="N92" s="1">
        <v>55</v>
      </c>
      <c r="O92" s="1">
        <v>36</v>
      </c>
      <c r="P92" s="1">
        <v>12</v>
      </c>
      <c r="Q92" s="1">
        <v>54</v>
      </c>
      <c r="R92" s="1">
        <v>121</v>
      </c>
      <c r="S92" s="1">
        <v>157</v>
      </c>
      <c r="T92" s="1">
        <v>20</v>
      </c>
      <c r="U92" s="1">
        <v>19</v>
      </c>
      <c r="V92" s="1">
        <v>22</v>
      </c>
      <c r="W92" s="1">
        <v>120</v>
      </c>
      <c r="X92" s="1">
        <v>76</v>
      </c>
      <c r="Y92" s="1">
        <v>33</v>
      </c>
      <c r="Z92" s="1">
        <v>18</v>
      </c>
      <c r="AA92" s="1">
        <v>16</v>
      </c>
      <c r="AB92" s="1">
        <v>12</v>
      </c>
      <c r="AC92" s="1">
        <v>43</v>
      </c>
      <c r="AD92" s="1">
        <v>53</v>
      </c>
      <c r="AE92" s="1">
        <v>49</v>
      </c>
      <c r="AF92" s="18">
        <f t="shared" si="1"/>
        <v>57.866666666666667</v>
      </c>
    </row>
    <row r="93" spans="1:32" x14ac:dyDescent="0.35">
      <c r="A93" s="1" t="s">
        <v>69</v>
      </c>
      <c r="B93" s="1">
        <v>81</v>
      </c>
      <c r="C93" s="1">
        <v>47</v>
      </c>
      <c r="D93" s="1">
        <v>89</v>
      </c>
      <c r="E93" s="1">
        <v>67</v>
      </c>
      <c r="F93" s="1">
        <v>19</v>
      </c>
      <c r="G93" s="1">
        <v>24</v>
      </c>
      <c r="H93" s="1">
        <v>12</v>
      </c>
      <c r="I93" s="1">
        <v>13</v>
      </c>
      <c r="J93" s="1">
        <v>33</v>
      </c>
      <c r="K93" s="1">
        <v>21</v>
      </c>
      <c r="L93" s="1">
        <v>83</v>
      </c>
      <c r="M93" s="1">
        <v>23</v>
      </c>
      <c r="N93" s="1">
        <v>23</v>
      </c>
      <c r="O93" s="1">
        <v>12</v>
      </c>
      <c r="P93" s="1">
        <v>64</v>
      </c>
      <c r="Q93" s="1">
        <v>95</v>
      </c>
      <c r="R93" s="1">
        <v>34</v>
      </c>
      <c r="S93" s="1">
        <v>21</v>
      </c>
      <c r="T93" s="1">
        <v>13</v>
      </c>
      <c r="U93" s="1">
        <v>36</v>
      </c>
      <c r="V93" s="1">
        <v>51</v>
      </c>
      <c r="W93" s="1">
        <v>29</v>
      </c>
      <c r="X93" s="1">
        <v>94</v>
      </c>
      <c r="Y93" s="1">
        <v>15</v>
      </c>
      <c r="Z93" s="1">
        <v>38</v>
      </c>
      <c r="AA93" s="1">
        <v>18</v>
      </c>
      <c r="AB93" s="1">
        <v>25</v>
      </c>
      <c r="AC93" s="1">
        <v>29</v>
      </c>
      <c r="AD93" s="1">
        <v>21</v>
      </c>
      <c r="AE93" s="1">
        <v>123</v>
      </c>
      <c r="AF93" s="18">
        <f t="shared" si="1"/>
        <v>41.766666666666666</v>
      </c>
    </row>
    <row r="94" spans="1:32" x14ac:dyDescent="0.35">
      <c r="A94" s="1" t="s">
        <v>70</v>
      </c>
      <c r="B94" s="1">
        <v>15</v>
      </c>
      <c r="C94" s="1">
        <v>38</v>
      </c>
      <c r="D94" s="1">
        <v>64</v>
      </c>
      <c r="E94" s="1">
        <v>188</v>
      </c>
      <c r="F94" s="1">
        <v>49</v>
      </c>
      <c r="G94" s="1">
        <v>19</v>
      </c>
      <c r="H94" s="1">
        <v>37</v>
      </c>
      <c r="I94" s="1">
        <v>48</v>
      </c>
      <c r="J94" s="1">
        <v>34</v>
      </c>
      <c r="K94" s="1">
        <v>21</v>
      </c>
      <c r="L94" s="1">
        <v>12</v>
      </c>
      <c r="M94" s="1">
        <v>24</v>
      </c>
      <c r="N94" s="1">
        <v>27</v>
      </c>
      <c r="O94" s="1">
        <v>12</v>
      </c>
      <c r="P94" s="1">
        <v>47</v>
      </c>
      <c r="Q94" s="1">
        <v>21</v>
      </c>
      <c r="R94" s="1">
        <v>29</v>
      </c>
      <c r="S94" s="1">
        <v>23</v>
      </c>
      <c r="T94" s="1">
        <v>21</v>
      </c>
      <c r="U94" s="1">
        <v>21</v>
      </c>
      <c r="V94" s="1">
        <v>34</v>
      </c>
      <c r="W94" s="1">
        <v>24</v>
      </c>
      <c r="X94" s="1">
        <v>47</v>
      </c>
      <c r="Y94" s="1">
        <v>26</v>
      </c>
      <c r="Z94" s="1">
        <v>13</v>
      </c>
      <c r="AA94" s="1">
        <v>14</v>
      </c>
      <c r="AB94" s="1">
        <v>34</v>
      </c>
      <c r="AC94" s="1">
        <v>50</v>
      </c>
      <c r="AD94" s="1">
        <v>55</v>
      </c>
      <c r="AE94" s="1">
        <v>61</v>
      </c>
      <c r="AF94" s="18">
        <f t="shared" si="1"/>
        <v>36.93333333333333</v>
      </c>
    </row>
    <row r="95" spans="1:32" x14ac:dyDescent="0.35">
      <c r="A95" s="1" t="s">
        <v>71</v>
      </c>
      <c r="B95" s="1">
        <v>12</v>
      </c>
      <c r="C95" s="1">
        <v>15</v>
      </c>
      <c r="D95" s="1">
        <v>30</v>
      </c>
      <c r="E95" s="1">
        <v>43</v>
      </c>
      <c r="F95" s="1">
        <v>167</v>
      </c>
      <c r="G95" s="1">
        <v>98</v>
      </c>
      <c r="H95" s="1">
        <v>99</v>
      </c>
      <c r="I95" s="1">
        <v>67</v>
      </c>
      <c r="J95" s="1">
        <v>78</v>
      </c>
      <c r="K95" s="1">
        <v>65</v>
      </c>
      <c r="L95" s="1">
        <v>15</v>
      </c>
      <c r="M95" s="1">
        <v>171</v>
      </c>
      <c r="N95" s="1">
        <v>21</v>
      </c>
      <c r="O95" s="1">
        <v>39</v>
      </c>
      <c r="P95" s="1">
        <v>22</v>
      </c>
      <c r="Q95" s="1">
        <v>80</v>
      </c>
      <c r="R95" s="1">
        <v>105</v>
      </c>
      <c r="S95" s="1">
        <v>13</v>
      </c>
      <c r="T95" s="1">
        <v>12</v>
      </c>
      <c r="U95" s="1">
        <v>18</v>
      </c>
      <c r="V95" s="1">
        <v>195</v>
      </c>
      <c r="W95" s="1">
        <v>12</v>
      </c>
      <c r="X95" s="1">
        <v>60</v>
      </c>
      <c r="Y95" s="1">
        <v>32</v>
      </c>
      <c r="Z95" s="1">
        <v>12</v>
      </c>
      <c r="AA95" s="1">
        <v>12</v>
      </c>
      <c r="AB95" s="1">
        <v>12</v>
      </c>
      <c r="AC95" s="1">
        <v>19</v>
      </c>
      <c r="AD95" s="1">
        <v>139</v>
      </c>
      <c r="AE95" s="1">
        <v>63</v>
      </c>
      <c r="AF95" s="18">
        <f t="shared" si="1"/>
        <v>57.533333333333331</v>
      </c>
    </row>
    <row r="96" spans="1:32" x14ac:dyDescent="0.35">
      <c r="A96" s="1" t="s">
        <v>72</v>
      </c>
      <c r="B96" s="1">
        <v>13</v>
      </c>
      <c r="C96" s="1">
        <v>21</v>
      </c>
      <c r="D96" s="1">
        <v>46</v>
      </c>
      <c r="E96" s="1">
        <v>47</v>
      </c>
      <c r="F96" s="1">
        <v>24</v>
      </c>
      <c r="G96" s="1">
        <v>26</v>
      </c>
      <c r="H96" s="1">
        <v>66</v>
      </c>
      <c r="I96" s="1">
        <v>14</v>
      </c>
      <c r="J96" s="1">
        <v>50</v>
      </c>
      <c r="K96" s="1">
        <v>107</v>
      </c>
      <c r="L96" s="1">
        <v>19</v>
      </c>
      <c r="M96" s="1">
        <v>71</v>
      </c>
      <c r="N96" s="1">
        <v>70</v>
      </c>
      <c r="O96" s="1">
        <v>49</v>
      </c>
      <c r="P96" s="1">
        <v>37</v>
      </c>
      <c r="Q96" s="1">
        <v>13</v>
      </c>
      <c r="R96" s="1">
        <v>77</v>
      </c>
      <c r="S96" s="1">
        <v>21</v>
      </c>
      <c r="T96" s="1">
        <v>56</v>
      </c>
      <c r="U96" s="1">
        <v>14</v>
      </c>
      <c r="V96" s="1">
        <v>20</v>
      </c>
      <c r="W96" s="1">
        <v>43</v>
      </c>
      <c r="X96" s="1">
        <v>90</v>
      </c>
      <c r="Y96" s="1">
        <v>97</v>
      </c>
      <c r="Z96" s="1">
        <v>18</v>
      </c>
      <c r="AA96" s="1">
        <v>42</v>
      </c>
      <c r="AB96" s="1">
        <v>131</v>
      </c>
      <c r="AC96" s="1">
        <v>60</v>
      </c>
      <c r="AD96" s="1">
        <v>41</v>
      </c>
      <c r="AE96" s="1">
        <v>55</v>
      </c>
      <c r="AF96" s="18">
        <f t="shared" si="1"/>
        <v>47.93333333333333</v>
      </c>
    </row>
    <row r="97" spans="1:32" x14ac:dyDescent="0.35">
      <c r="A97" s="1" t="s">
        <v>73</v>
      </c>
      <c r="B97" s="1">
        <v>119</v>
      </c>
      <c r="C97" s="1">
        <v>17</v>
      </c>
      <c r="D97" s="1">
        <v>70</v>
      </c>
      <c r="E97" s="1">
        <v>56</v>
      </c>
      <c r="F97" s="1">
        <v>42</v>
      </c>
      <c r="G97" s="1">
        <v>35</v>
      </c>
      <c r="H97" s="1">
        <v>23</v>
      </c>
      <c r="I97" s="1">
        <v>23</v>
      </c>
      <c r="J97" s="1">
        <v>18</v>
      </c>
      <c r="K97" s="1">
        <v>36</v>
      </c>
      <c r="L97" s="1">
        <v>20</v>
      </c>
      <c r="M97" s="1">
        <v>37</v>
      </c>
      <c r="N97" s="1">
        <v>46</v>
      </c>
      <c r="O97" s="1">
        <v>47</v>
      </c>
      <c r="P97" s="1">
        <v>58</v>
      </c>
      <c r="Q97" s="1">
        <v>70</v>
      </c>
      <c r="R97" s="1">
        <v>75</v>
      </c>
      <c r="S97" s="1">
        <v>34</v>
      </c>
      <c r="T97" s="1">
        <v>87</v>
      </c>
      <c r="U97" s="1">
        <v>82</v>
      </c>
      <c r="V97" s="1">
        <v>25</v>
      </c>
      <c r="W97" s="1">
        <v>64</v>
      </c>
      <c r="X97" s="1">
        <v>88</v>
      </c>
      <c r="Y97" s="1">
        <v>65</v>
      </c>
      <c r="Z97" s="1">
        <v>27</v>
      </c>
      <c r="AA97" s="1">
        <v>89</v>
      </c>
      <c r="AB97" s="1">
        <v>70</v>
      </c>
      <c r="AC97" s="1">
        <v>57</v>
      </c>
      <c r="AD97" s="1">
        <v>48</v>
      </c>
      <c r="AE97" s="1">
        <v>21</v>
      </c>
      <c r="AF97" s="18">
        <f t="shared" si="1"/>
        <v>51.633333333333333</v>
      </c>
    </row>
    <row r="98" spans="1:32" x14ac:dyDescent="0.35">
      <c r="A98" s="1" t="s">
        <v>74</v>
      </c>
      <c r="B98" s="1">
        <v>42</v>
      </c>
      <c r="C98" s="1">
        <v>25</v>
      </c>
      <c r="D98" s="1">
        <v>15</v>
      </c>
      <c r="E98" s="1">
        <v>140</v>
      </c>
      <c r="F98" s="1">
        <v>105</v>
      </c>
      <c r="G98" s="1">
        <v>74</v>
      </c>
      <c r="H98" s="1">
        <v>77</v>
      </c>
      <c r="I98" s="1">
        <v>44</v>
      </c>
      <c r="J98" s="1">
        <v>18</v>
      </c>
      <c r="K98" s="1">
        <v>12</v>
      </c>
      <c r="L98" s="1">
        <v>18</v>
      </c>
      <c r="M98" s="1">
        <v>59</v>
      </c>
      <c r="N98" s="1">
        <v>59</v>
      </c>
      <c r="O98" s="1">
        <v>53</v>
      </c>
      <c r="P98" s="1">
        <v>62</v>
      </c>
      <c r="Q98" s="1">
        <v>13</v>
      </c>
      <c r="R98" s="1">
        <v>51</v>
      </c>
      <c r="S98" s="1">
        <v>89</v>
      </c>
      <c r="T98" s="1">
        <v>85</v>
      </c>
      <c r="U98" s="1">
        <v>19</v>
      </c>
      <c r="V98" s="1">
        <v>43</v>
      </c>
      <c r="W98" s="1">
        <v>329</v>
      </c>
      <c r="X98" s="1">
        <v>38</v>
      </c>
      <c r="Y98" s="1">
        <v>16</v>
      </c>
      <c r="Z98" s="1">
        <v>22</v>
      </c>
      <c r="AA98" s="1">
        <v>125</v>
      </c>
      <c r="AB98" s="1">
        <v>182</v>
      </c>
      <c r="AC98" s="1">
        <v>75</v>
      </c>
      <c r="AD98" s="1">
        <v>117</v>
      </c>
      <c r="AE98" s="1">
        <v>96</v>
      </c>
      <c r="AF98" s="18">
        <f t="shared" si="1"/>
        <v>70.099999999999994</v>
      </c>
    </row>
    <row r="99" spans="1:32" x14ac:dyDescent="0.35">
      <c r="A99" s="1" t="s">
        <v>75</v>
      </c>
      <c r="B99" s="1">
        <v>32</v>
      </c>
      <c r="C99" s="1">
        <v>21</v>
      </c>
      <c r="D99" s="1">
        <v>40</v>
      </c>
      <c r="E99" s="1">
        <v>28</v>
      </c>
      <c r="F99" s="1">
        <v>30</v>
      </c>
      <c r="G99" s="1">
        <v>29</v>
      </c>
      <c r="H99" s="1">
        <v>16</v>
      </c>
      <c r="I99" s="1">
        <v>16</v>
      </c>
      <c r="J99" s="1">
        <v>16</v>
      </c>
      <c r="K99" s="1">
        <v>53</v>
      </c>
      <c r="L99" s="1">
        <v>13</v>
      </c>
      <c r="M99" s="1">
        <v>39</v>
      </c>
      <c r="N99" s="1">
        <v>16</v>
      </c>
      <c r="O99" s="1">
        <v>141</v>
      </c>
      <c r="P99" s="1">
        <v>23</v>
      </c>
      <c r="Q99" s="1">
        <v>13</v>
      </c>
      <c r="R99" s="1">
        <v>15</v>
      </c>
      <c r="S99" s="1">
        <v>18</v>
      </c>
      <c r="T99" s="1">
        <v>27</v>
      </c>
      <c r="U99" s="1">
        <v>35</v>
      </c>
      <c r="V99" s="1">
        <v>17</v>
      </c>
      <c r="W99" s="1">
        <v>26</v>
      </c>
      <c r="X99" s="1">
        <v>76</v>
      </c>
      <c r="Y99" s="1">
        <v>74</v>
      </c>
      <c r="Z99" s="1">
        <v>14</v>
      </c>
      <c r="AA99" s="1">
        <v>97</v>
      </c>
      <c r="AB99" s="1">
        <v>220</v>
      </c>
      <c r="AC99" s="1">
        <v>24</v>
      </c>
      <c r="AD99" s="1">
        <v>15</v>
      </c>
      <c r="AE99" s="1">
        <v>13</v>
      </c>
      <c r="AF99" s="18">
        <f t="shared" si="1"/>
        <v>39.9</v>
      </c>
    </row>
    <row r="100" spans="1:32" x14ac:dyDescent="0.35">
      <c r="A100" s="1" t="s">
        <v>76</v>
      </c>
      <c r="B100" s="1">
        <v>53</v>
      </c>
      <c r="C100" s="1">
        <v>25</v>
      </c>
      <c r="D100" s="1">
        <v>62</v>
      </c>
      <c r="E100" s="1">
        <v>105</v>
      </c>
      <c r="F100" s="1">
        <v>51</v>
      </c>
      <c r="G100" s="1">
        <v>35</v>
      </c>
      <c r="H100" s="1">
        <v>46</v>
      </c>
      <c r="I100" s="1">
        <v>18</v>
      </c>
      <c r="J100" s="1">
        <v>24</v>
      </c>
      <c r="K100" s="1">
        <v>166</v>
      </c>
      <c r="L100" s="1">
        <v>23</v>
      </c>
      <c r="M100" s="1">
        <v>31</v>
      </c>
      <c r="N100" s="1">
        <v>15</v>
      </c>
      <c r="O100" s="1">
        <v>15</v>
      </c>
      <c r="P100" s="1">
        <v>30</v>
      </c>
      <c r="Q100" s="1">
        <v>29</v>
      </c>
      <c r="R100" s="1">
        <v>35</v>
      </c>
      <c r="S100" s="1">
        <v>70</v>
      </c>
      <c r="T100" s="1">
        <v>21</v>
      </c>
      <c r="U100" s="1">
        <v>51</v>
      </c>
      <c r="V100" s="1">
        <v>22</v>
      </c>
      <c r="W100" s="1">
        <v>45</v>
      </c>
      <c r="X100" s="1">
        <v>33</v>
      </c>
      <c r="Y100" s="1">
        <v>48</v>
      </c>
      <c r="Z100" s="1">
        <v>63</v>
      </c>
      <c r="AA100" s="1">
        <v>29</v>
      </c>
      <c r="AB100" s="1">
        <v>166</v>
      </c>
      <c r="AC100" s="1">
        <v>71</v>
      </c>
      <c r="AD100" s="1">
        <v>70</v>
      </c>
      <c r="AE100" s="1">
        <v>86</v>
      </c>
      <c r="AF100" s="18">
        <f t="shared" si="1"/>
        <v>51.266666666666666</v>
      </c>
    </row>
    <row r="101" spans="1:32" x14ac:dyDescent="0.35">
      <c r="A101" s="1" t="s">
        <v>77</v>
      </c>
      <c r="B101" s="1">
        <v>72</v>
      </c>
      <c r="C101" s="1">
        <v>87</v>
      </c>
      <c r="D101" s="1">
        <v>55</v>
      </c>
      <c r="E101" s="1">
        <v>169</v>
      </c>
      <c r="F101" s="1">
        <v>49</v>
      </c>
      <c r="G101" s="1">
        <v>59</v>
      </c>
      <c r="H101" s="1">
        <v>33</v>
      </c>
      <c r="I101" s="1">
        <v>64</v>
      </c>
      <c r="J101" s="1">
        <v>17</v>
      </c>
      <c r="K101" s="1">
        <v>55</v>
      </c>
      <c r="L101" s="1">
        <v>72</v>
      </c>
      <c r="M101" s="1">
        <v>51</v>
      </c>
      <c r="N101" s="1">
        <v>61</v>
      </c>
      <c r="O101" s="1">
        <v>22</v>
      </c>
      <c r="P101" s="1">
        <v>48</v>
      </c>
      <c r="Q101" s="1">
        <v>32</v>
      </c>
      <c r="R101" s="1">
        <v>42</v>
      </c>
      <c r="S101" s="1">
        <v>40</v>
      </c>
      <c r="T101" s="1">
        <v>38</v>
      </c>
      <c r="U101" s="1">
        <v>46</v>
      </c>
      <c r="V101" s="1">
        <v>25</v>
      </c>
      <c r="W101" s="1">
        <v>77</v>
      </c>
      <c r="X101" s="1">
        <v>62</v>
      </c>
      <c r="Y101" s="1">
        <v>28</v>
      </c>
      <c r="Z101" s="1">
        <v>57</v>
      </c>
      <c r="AA101" s="1">
        <v>43</v>
      </c>
      <c r="AB101" s="1">
        <v>19</v>
      </c>
      <c r="AC101" s="1">
        <v>25</v>
      </c>
      <c r="AD101" s="1">
        <v>12</v>
      </c>
      <c r="AE101" s="1">
        <v>28</v>
      </c>
      <c r="AF101" s="18">
        <f t="shared" si="1"/>
        <v>49.6</v>
      </c>
    </row>
    <row r="102" spans="1:32" x14ac:dyDescent="0.35">
      <c r="A102" s="1" t="s">
        <v>78</v>
      </c>
      <c r="B102" s="1">
        <v>22</v>
      </c>
      <c r="C102" s="1">
        <v>68</v>
      </c>
      <c r="D102" s="1">
        <v>106</v>
      </c>
      <c r="E102" s="1">
        <v>30</v>
      </c>
      <c r="F102" s="1">
        <v>70</v>
      </c>
      <c r="G102" s="1">
        <v>98</v>
      </c>
      <c r="H102" s="1">
        <v>49</v>
      </c>
      <c r="I102" s="1">
        <v>31</v>
      </c>
      <c r="J102" s="1">
        <v>31</v>
      </c>
      <c r="K102" s="1">
        <v>82</v>
      </c>
      <c r="L102" s="1">
        <v>22</v>
      </c>
      <c r="M102" s="1">
        <v>54</v>
      </c>
      <c r="N102" s="1">
        <v>55</v>
      </c>
      <c r="O102" s="1">
        <v>125</v>
      </c>
      <c r="P102" s="1">
        <v>40</v>
      </c>
      <c r="Q102" s="1">
        <v>55</v>
      </c>
      <c r="R102" s="1">
        <v>35</v>
      </c>
      <c r="S102" s="1">
        <v>71</v>
      </c>
      <c r="T102" s="1">
        <v>22</v>
      </c>
      <c r="U102" s="1">
        <v>25</v>
      </c>
      <c r="V102" s="1">
        <v>266</v>
      </c>
      <c r="W102" s="1">
        <v>135</v>
      </c>
      <c r="X102" s="1">
        <v>17</v>
      </c>
      <c r="Y102" s="1">
        <v>21</v>
      </c>
      <c r="Z102" s="1">
        <v>154</v>
      </c>
      <c r="AA102" s="1">
        <v>38</v>
      </c>
      <c r="AB102" s="1">
        <v>174</v>
      </c>
      <c r="AC102" s="1">
        <v>39</v>
      </c>
      <c r="AD102" s="1">
        <v>78</v>
      </c>
      <c r="AE102" s="1">
        <v>88</v>
      </c>
      <c r="AF102" s="18">
        <f t="shared" si="1"/>
        <v>70.033333333333331</v>
      </c>
    </row>
    <row r="103" spans="1:32" x14ac:dyDescent="0.35">
      <c r="A103" s="1" t="s">
        <v>79</v>
      </c>
      <c r="B103" s="1">
        <v>27</v>
      </c>
      <c r="C103" s="1">
        <v>20</v>
      </c>
      <c r="D103" s="1">
        <v>32</v>
      </c>
      <c r="E103" s="1">
        <v>14</v>
      </c>
      <c r="F103" s="1">
        <v>12</v>
      </c>
      <c r="G103" s="1">
        <v>60</v>
      </c>
      <c r="H103" s="1">
        <v>34</v>
      </c>
      <c r="I103" s="1">
        <v>138</v>
      </c>
      <c r="J103" s="1">
        <v>67</v>
      </c>
      <c r="K103" s="1">
        <v>30</v>
      </c>
      <c r="L103" s="1">
        <v>30</v>
      </c>
      <c r="M103" s="1">
        <v>22</v>
      </c>
      <c r="N103" s="1">
        <v>13</v>
      </c>
      <c r="O103" s="1">
        <v>17</v>
      </c>
      <c r="P103" s="1">
        <v>15</v>
      </c>
      <c r="Q103" s="1">
        <v>24</v>
      </c>
      <c r="R103" s="1">
        <v>66</v>
      </c>
      <c r="S103" s="1">
        <v>47</v>
      </c>
      <c r="T103" s="1">
        <v>17</v>
      </c>
      <c r="U103" s="1">
        <v>79</v>
      </c>
      <c r="V103" s="1">
        <v>139</v>
      </c>
      <c r="W103" s="1">
        <v>26</v>
      </c>
      <c r="X103" s="1">
        <v>57</v>
      </c>
      <c r="Y103" s="1">
        <v>18</v>
      </c>
      <c r="Z103" s="1">
        <v>40</v>
      </c>
      <c r="AA103" s="1">
        <v>75</v>
      </c>
      <c r="AB103" s="1">
        <v>34</v>
      </c>
      <c r="AC103" s="1">
        <v>26</v>
      </c>
      <c r="AD103" s="1">
        <v>40</v>
      </c>
      <c r="AE103" s="1">
        <v>26</v>
      </c>
      <c r="AF103" s="18">
        <f t="shared" si="1"/>
        <v>41.5</v>
      </c>
    </row>
    <row r="104" spans="1:32" x14ac:dyDescent="0.35">
      <c r="A104" s="1" t="s">
        <v>183</v>
      </c>
      <c r="B104" s="1">
        <v>12</v>
      </c>
      <c r="C104" s="1">
        <v>162</v>
      </c>
      <c r="D104" s="1">
        <v>39</v>
      </c>
      <c r="E104" s="1">
        <v>12</v>
      </c>
      <c r="F104" s="1">
        <v>78</v>
      </c>
      <c r="G104" s="1">
        <v>34</v>
      </c>
      <c r="H104" s="1">
        <v>42</v>
      </c>
      <c r="I104" s="1">
        <v>63</v>
      </c>
      <c r="J104" s="1">
        <v>27</v>
      </c>
      <c r="K104" s="1">
        <v>49</v>
      </c>
      <c r="L104" s="1">
        <v>13</v>
      </c>
      <c r="M104" s="1">
        <v>15</v>
      </c>
      <c r="N104" s="1">
        <v>83</v>
      </c>
      <c r="O104" s="1">
        <v>106</v>
      </c>
      <c r="P104" s="1">
        <v>28</v>
      </c>
      <c r="Q104" s="1">
        <v>18</v>
      </c>
      <c r="R104" s="1">
        <v>135</v>
      </c>
      <c r="S104" s="1">
        <v>35</v>
      </c>
      <c r="T104" s="1">
        <v>165</v>
      </c>
      <c r="U104" s="1">
        <v>17</v>
      </c>
      <c r="V104" s="1">
        <v>16</v>
      </c>
      <c r="W104" s="1">
        <v>52</v>
      </c>
      <c r="X104" s="1">
        <v>86</v>
      </c>
      <c r="Y104" s="1">
        <v>71</v>
      </c>
      <c r="Z104" s="1">
        <v>122</v>
      </c>
      <c r="AA104" s="1">
        <v>42</v>
      </c>
      <c r="AB104" s="1">
        <v>37</v>
      </c>
      <c r="AC104" s="1">
        <v>101</v>
      </c>
      <c r="AD104" s="1">
        <v>18</v>
      </c>
      <c r="AE104" s="1">
        <v>86</v>
      </c>
      <c r="AF104" s="18">
        <f t="shared" si="1"/>
        <v>58.8</v>
      </c>
    </row>
    <row r="105" spans="1:32" x14ac:dyDescent="0.35">
      <c r="A105" s="1" t="s">
        <v>80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8">
        <f t="shared" si="1"/>
        <v>0</v>
      </c>
    </row>
    <row r="106" spans="1:32" x14ac:dyDescent="0.35">
      <c r="A106" s="1" t="s">
        <v>81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8">
        <f t="shared" si="1"/>
        <v>0</v>
      </c>
    </row>
    <row r="107" spans="1:32" x14ac:dyDescent="0.35">
      <c r="A107" s="1" t="s">
        <v>82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8">
        <f t="shared" si="1"/>
        <v>0</v>
      </c>
    </row>
    <row r="108" spans="1:32" x14ac:dyDescent="0.35">
      <c r="A108" s="1" t="s">
        <v>83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8">
        <f t="shared" si="1"/>
        <v>0</v>
      </c>
    </row>
    <row r="109" spans="1:32" x14ac:dyDescent="0.35">
      <c r="A109" s="1" t="s">
        <v>84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8">
        <f t="shared" si="1"/>
        <v>0</v>
      </c>
    </row>
    <row r="110" spans="1:32" x14ac:dyDescent="0.35">
      <c r="A110" s="1" t="s">
        <v>85</v>
      </c>
      <c r="B110" s="1">
        <v>32</v>
      </c>
      <c r="C110" s="1">
        <v>151</v>
      </c>
      <c r="D110" s="1">
        <v>18</v>
      </c>
      <c r="E110" s="1">
        <v>100</v>
      </c>
      <c r="F110" s="1">
        <v>77</v>
      </c>
      <c r="G110" s="1">
        <v>60</v>
      </c>
      <c r="H110" s="1">
        <v>33</v>
      </c>
      <c r="I110" s="1">
        <v>30</v>
      </c>
      <c r="J110" s="1">
        <v>104</v>
      </c>
      <c r="K110" s="1">
        <v>40</v>
      </c>
      <c r="L110" s="1">
        <v>54</v>
      </c>
      <c r="M110" s="1">
        <v>30</v>
      </c>
      <c r="N110" s="1">
        <v>109</v>
      </c>
      <c r="O110" s="1">
        <v>16</v>
      </c>
      <c r="P110" s="1">
        <v>25</v>
      </c>
      <c r="Q110" s="1">
        <v>89</v>
      </c>
      <c r="R110" s="1">
        <v>73</v>
      </c>
      <c r="S110" s="1">
        <v>100</v>
      </c>
      <c r="T110" s="1">
        <v>32</v>
      </c>
      <c r="U110" s="1">
        <v>47</v>
      </c>
      <c r="V110" s="1">
        <v>126</v>
      </c>
      <c r="W110" s="1">
        <v>54</v>
      </c>
      <c r="X110" s="1">
        <v>26</v>
      </c>
      <c r="Y110" s="1">
        <v>66</v>
      </c>
      <c r="Z110" s="1">
        <v>28</v>
      </c>
      <c r="AA110" s="1">
        <v>26</v>
      </c>
      <c r="AB110" s="1">
        <v>16</v>
      </c>
      <c r="AC110" s="1">
        <v>15</v>
      </c>
      <c r="AD110" s="1">
        <v>56</v>
      </c>
      <c r="AE110" s="1">
        <v>63</v>
      </c>
      <c r="AF110" s="18">
        <f t="shared" si="1"/>
        <v>56.533333333333331</v>
      </c>
    </row>
    <row r="111" spans="1:32" x14ac:dyDescent="0.35">
      <c r="A111" s="1" t="s">
        <v>86</v>
      </c>
      <c r="B111" s="1">
        <v>61</v>
      </c>
      <c r="C111" s="1">
        <v>24</v>
      </c>
      <c r="D111" s="1">
        <v>19</v>
      </c>
      <c r="E111" s="1">
        <v>119</v>
      </c>
      <c r="F111" s="1">
        <v>15</v>
      </c>
      <c r="G111" s="1">
        <v>61</v>
      </c>
      <c r="H111" s="1">
        <v>52</v>
      </c>
      <c r="I111" s="1">
        <v>107</v>
      </c>
      <c r="J111" s="1">
        <v>50</v>
      </c>
      <c r="K111" s="1">
        <v>87</v>
      </c>
      <c r="L111" s="1">
        <v>41</v>
      </c>
      <c r="M111" s="1">
        <v>105</v>
      </c>
      <c r="N111" s="1">
        <v>53</v>
      </c>
      <c r="O111" s="1">
        <v>27</v>
      </c>
      <c r="P111" s="1">
        <v>52</v>
      </c>
      <c r="Q111" s="1">
        <v>81</v>
      </c>
      <c r="R111" s="1">
        <v>36</v>
      </c>
      <c r="S111" s="1">
        <v>25</v>
      </c>
      <c r="T111" s="1">
        <v>79</v>
      </c>
      <c r="U111" s="1">
        <v>76</v>
      </c>
      <c r="V111" s="1">
        <v>17</v>
      </c>
      <c r="W111" s="1">
        <v>32</v>
      </c>
      <c r="X111" s="1">
        <v>26</v>
      </c>
      <c r="Y111" s="1">
        <v>12</v>
      </c>
      <c r="Z111" s="1">
        <v>16</v>
      </c>
      <c r="AA111" s="1">
        <v>64</v>
      </c>
      <c r="AB111" s="1">
        <v>89</v>
      </c>
      <c r="AC111" s="1">
        <v>52</v>
      </c>
      <c r="AD111" s="1">
        <v>22</v>
      </c>
      <c r="AE111" s="1">
        <v>23</v>
      </c>
      <c r="AF111" s="18">
        <f t="shared" si="1"/>
        <v>50.766666666666666</v>
      </c>
    </row>
    <row r="112" spans="1:32" x14ac:dyDescent="0.35">
      <c r="A112" s="1" t="s">
        <v>87</v>
      </c>
      <c r="B112" s="1">
        <v>67</v>
      </c>
      <c r="C112" s="1">
        <v>72</v>
      </c>
      <c r="D112" s="1">
        <v>18</v>
      </c>
      <c r="E112" s="1">
        <v>19</v>
      </c>
      <c r="F112" s="1">
        <v>53</v>
      </c>
      <c r="G112" s="1">
        <v>32</v>
      </c>
      <c r="H112" s="1">
        <v>18</v>
      </c>
      <c r="I112" s="1">
        <v>40</v>
      </c>
      <c r="J112" s="1">
        <v>67</v>
      </c>
      <c r="K112" s="1">
        <v>32</v>
      </c>
      <c r="L112" s="1">
        <v>12</v>
      </c>
      <c r="M112" s="1">
        <v>14</v>
      </c>
      <c r="N112" s="1">
        <v>66</v>
      </c>
      <c r="O112" s="1">
        <v>96</v>
      </c>
      <c r="P112" s="1">
        <v>13</v>
      </c>
      <c r="Q112" s="1">
        <v>17</v>
      </c>
      <c r="R112" s="1">
        <v>100</v>
      </c>
      <c r="S112" s="1">
        <v>14</v>
      </c>
      <c r="T112" s="1">
        <v>33</v>
      </c>
      <c r="U112" s="1">
        <v>90</v>
      </c>
      <c r="V112" s="1">
        <v>111</v>
      </c>
      <c r="W112" s="1">
        <v>16</v>
      </c>
      <c r="X112" s="1">
        <v>45</v>
      </c>
      <c r="Y112" s="1">
        <v>106</v>
      </c>
      <c r="Z112" s="1">
        <v>35</v>
      </c>
      <c r="AA112" s="1">
        <v>24</v>
      </c>
      <c r="AB112" s="1">
        <v>26</v>
      </c>
      <c r="AC112" s="1">
        <v>19</v>
      </c>
      <c r="AD112" s="1">
        <v>14</v>
      </c>
      <c r="AE112" s="1">
        <v>18</v>
      </c>
      <c r="AF112" s="18">
        <f t="shared" si="1"/>
        <v>42.9</v>
      </c>
    </row>
    <row r="113" spans="1:32" x14ac:dyDescent="0.35">
      <c r="A113" s="1" t="s">
        <v>88</v>
      </c>
      <c r="B113" s="1">
        <v>82</v>
      </c>
      <c r="C113" s="1">
        <v>31</v>
      </c>
      <c r="D113" s="1">
        <v>61</v>
      </c>
      <c r="E113" s="1">
        <v>45</v>
      </c>
      <c r="F113" s="1">
        <v>35</v>
      </c>
      <c r="G113" s="1">
        <v>68</v>
      </c>
      <c r="H113" s="1">
        <v>40</v>
      </c>
      <c r="I113" s="1">
        <v>50</v>
      </c>
      <c r="J113" s="1">
        <v>58</v>
      </c>
      <c r="K113" s="1">
        <v>30</v>
      </c>
      <c r="L113" s="1">
        <v>22</v>
      </c>
      <c r="M113" s="1">
        <v>69</v>
      </c>
      <c r="N113" s="1">
        <v>25</v>
      </c>
      <c r="O113" s="1">
        <v>43</v>
      </c>
      <c r="P113" s="1">
        <v>76</v>
      </c>
      <c r="Q113" s="1">
        <v>21</v>
      </c>
      <c r="R113" s="1">
        <v>70</v>
      </c>
      <c r="S113" s="1">
        <v>38</v>
      </c>
      <c r="T113" s="1">
        <v>31</v>
      </c>
      <c r="U113" s="1">
        <v>16</v>
      </c>
      <c r="V113" s="1">
        <v>29</v>
      </c>
      <c r="W113" s="1">
        <v>40</v>
      </c>
      <c r="X113" s="1">
        <v>29</v>
      </c>
      <c r="Y113" s="1">
        <v>172</v>
      </c>
      <c r="Z113" s="1">
        <v>67</v>
      </c>
      <c r="AA113" s="1">
        <v>88</v>
      </c>
      <c r="AB113" s="1">
        <v>16</v>
      </c>
      <c r="AC113" s="1">
        <v>38</v>
      </c>
      <c r="AD113" s="1">
        <v>22</v>
      </c>
      <c r="AE113" s="1">
        <v>18</v>
      </c>
      <c r="AF113" s="18">
        <f t="shared" si="1"/>
        <v>47.666666666666664</v>
      </c>
    </row>
    <row r="114" spans="1:32" x14ac:dyDescent="0.35">
      <c r="A114" s="1" t="s">
        <v>89</v>
      </c>
      <c r="B114" s="1">
        <v>57</v>
      </c>
      <c r="C114" s="1">
        <v>16</v>
      </c>
      <c r="D114" s="1">
        <v>13</v>
      </c>
      <c r="E114" s="1">
        <v>20</v>
      </c>
      <c r="F114" s="1">
        <v>151</v>
      </c>
      <c r="G114" s="1">
        <v>51</v>
      </c>
      <c r="H114" s="1">
        <v>121</v>
      </c>
      <c r="I114" s="1">
        <v>148</v>
      </c>
      <c r="J114" s="1">
        <v>71</v>
      </c>
      <c r="K114" s="1">
        <v>187</v>
      </c>
      <c r="L114" s="1">
        <v>35</v>
      </c>
      <c r="M114" s="1">
        <v>28</v>
      </c>
      <c r="N114" s="1">
        <v>55</v>
      </c>
      <c r="O114" s="1">
        <v>13</v>
      </c>
      <c r="P114" s="1">
        <v>34</v>
      </c>
      <c r="Q114" s="1">
        <v>18</v>
      </c>
      <c r="R114" s="1">
        <v>192</v>
      </c>
      <c r="S114" s="1">
        <v>86</v>
      </c>
      <c r="T114" s="1">
        <v>57</v>
      </c>
      <c r="U114" s="1">
        <v>14</v>
      </c>
      <c r="V114" s="1">
        <v>47</v>
      </c>
      <c r="W114" s="1">
        <v>185</v>
      </c>
      <c r="X114" s="1">
        <v>31</v>
      </c>
      <c r="Y114" s="1">
        <v>54</v>
      </c>
      <c r="Z114" s="1">
        <v>34</v>
      </c>
      <c r="AA114" s="1">
        <v>21</v>
      </c>
      <c r="AB114" s="1">
        <v>25</v>
      </c>
      <c r="AC114" s="1">
        <v>21</v>
      </c>
      <c r="AD114" s="1">
        <v>15</v>
      </c>
      <c r="AE114" s="1">
        <v>75</v>
      </c>
      <c r="AF114" s="18">
        <f t="shared" si="1"/>
        <v>62.5</v>
      </c>
    </row>
    <row r="115" spans="1:32" x14ac:dyDescent="0.35">
      <c r="A115" s="1" t="s">
        <v>196</v>
      </c>
      <c r="B115" s="1">
        <v>78</v>
      </c>
      <c r="C115" s="1">
        <v>18</v>
      </c>
      <c r="D115" s="1">
        <v>70</v>
      </c>
      <c r="E115" s="1">
        <v>33</v>
      </c>
      <c r="F115" s="1">
        <v>33</v>
      </c>
      <c r="G115" s="1">
        <v>170</v>
      </c>
      <c r="H115" s="1">
        <v>12</v>
      </c>
      <c r="I115" s="1">
        <v>20</v>
      </c>
      <c r="J115" s="1">
        <v>30</v>
      </c>
      <c r="K115" s="1">
        <v>117</v>
      </c>
      <c r="L115" s="1">
        <v>18</v>
      </c>
      <c r="M115" s="1">
        <v>77</v>
      </c>
      <c r="N115" s="1">
        <v>15</v>
      </c>
      <c r="O115" s="1">
        <v>21</v>
      </c>
      <c r="P115" s="1">
        <v>40</v>
      </c>
      <c r="Q115" s="1">
        <v>47</v>
      </c>
      <c r="R115" s="1">
        <v>27</v>
      </c>
      <c r="S115" s="1">
        <v>43</v>
      </c>
      <c r="T115" s="1">
        <v>17</v>
      </c>
      <c r="U115" s="1">
        <v>14</v>
      </c>
      <c r="V115" s="1">
        <v>29</v>
      </c>
      <c r="W115" s="1">
        <v>27</v>
      </c>
      <c r="X115" s="1">
        <v>18</v>
      </c>
      <c r="Y115" s="1">
        <v>27</v>
      </c>
      <c r="Z115" s="1">
        <v>12</v>
      </c>
      <c r="AA115" s="1">
        <v>45</v>
      </c>
      <c r="AB115" s="1">
        <v>22</v>
      </c>
      <c r="AC115" s="1">
        <v>19</v>
      </c>
      <c r="AD115" s="1">
        <v>13</v>
      </c>
      <c r="AE115" s="1">
        <v>35</v>
      </c>
      <c r="AF115" s="18">
        <f t="shared" si="1"/>
        <v>38.233333333333334</v>
      </c>
    </row>
    <row r="116" spans="1:32" x14ac:dyDescent="0.35">
      <c r="A116" s="1" t="s">
        <v>90</v>
      </c>
      <c r="B116" s="1">
        <v>35</v>
      </c>
      <c r="C116" s="1">
        <v>60</v>
      </c>
      <c r="D116" s="1">
        <v>16</v>
      </c>
      <c r="E116" s="1">
        <v>58</v>
      </c>
      <c r="F116" s="1">
        <v>26</v>
      </c>
      <c r="G116" s="1">
        <v>36</v>
      </c>
      <c r="H116" s="1">
        <v>35</v>
      </c>
      <c r="I116" s="1">
        <v>14</v>
      </c>
      <c r="J116" s="1">
        <v>35</v>
      </c>
      <c r="K116" s="1">
        <v>17</v>
      </c>
      <c r="L116" s="1">
        <v>88</v>
      </c>
      <c r="M116" s="1">
        <v>52</v>
      </c>
      <c r="N116" s="1">
        <v>38</v>
      </c>
      <c r="O116" s="1">
        <v>13</v>
      </c>
      <c r="P116" s="1">
        <v>40</v>
      </c>
      <c r="Q116" s="1">
        <v>19</v>
      </c>
      <c r="R116" s="1">
        <v>13</v>
      </c>
      <c r="S116" s="1">
        <v>24</v>
      </c>
      <c r="T116" s="1">
        <v>82</v>
      </c>
      <c r="U116" s="1">
        <v>64</v>
      </c>
      <c r="V116" s="1">
        <v>45</v>
      </c>
      <c r="W116" s="1">
        <v>17</v>
      </c>
      <c r="X116" s="1">
        <v>38</v>
      </c>
      <c r="Y116" s="1">
        <v>56</v>
      </c>
      <c r="Z116" s="1">
        <v>20</v>
      </c>
      <c r="AA116" s="1">
        <v>54</v>
      </c>
      <c r="AB116" s="1">
        <v>135</v>
      </c>
      <c r="AC116" s="1">
        <v>58</v>
      </c>
      <c r="AD116" s="1">
        <v>21</v>
      </c>
      <c r="AE116" s="1">
        <v>14</v>
      </c>
      <c r="AF116" s="18">
        <f t="shared" si="1"/>
        <v>40.766666666666666</v>
      </c>
    </row>
    <row r="117" spans="1:32" x14ac:dyDescent="0.35">
      <c r="A117" s="1" t="s">
        <v>91</v>
      </c>
      <c r="B117" s="1">
        <v>20</v>
      </c>
      <c r="C117" s="1">
        <v>83</v>
      </c>
      <c r="D117" s="1">
        <v>12</v>
      </c>
      <c r="E117" s="1">
        <v>89</v>
      </c>
      <c r="F117" s="1">
        <v>65</v>
      </c>
      <c r="G117" s="1">
        <v>22</v>
      </c>
      <c r="H117" s="1">
        <v>105</v>
      </c>
      <c r="I117" s="1">
        <v>72</v>
      </c>
      <c r="J117" s="1">
        <v>29</v>
      </c>
      <c r="K117" s="1">
        <v>119</v>
      </c>
      <c r="L117" s="1">
        <v>64</v>
      </c>
      <c r="M117" s="1">
        <v>76</v>
      </c>
      <c r="N117" s="1">
        <v>48</v>
      </c>
      <c r="O117" s="1">
        <v>119</v>
      </c>
      <c r="P117" s="1">
        <v>42</v>
      </c>
      <c r="Q117" s="1">
        <v>62</v>
      </c>
      <c r="R117" s="1">
        <v>23</v>
      </c>
      <c r="S117" s="1">
        <v>80</v>
      </c>
      <c r="T117" s="1">
        <v>44</v>
      </c>
      <c r="U117" s="1">
        <v>24</v>
      </c>
      <c r="V117" s="1">
        <v>42</v>
      </c>
      <c r="W117" s="1">
        <v>22</v>
      </c>
      <c r="X117" s="1">
        <v>22</v>
      </c>
      <c r="Y117" s="1">
        <v>46</v>
      </c>
      <c r="Z117" s="1">
        <v>58</v>
      </c>
      <c r="AA117" s="1">
        <v>21</v>
      </c>
      <c r="AB117" s="1">
        <v>27</v>
      </c>
      <c r="AC117" s="1">
        <v>68</v>
      </c>
      <c r="AD117" s="1">
        <v>27</v>
      </c>
      <c r="AE117" s="1">
        <v>37</v>
      </c>
      <c r="AF117" s="18">
        <f t="shared" si="1"/>
        <v>52.266666666666666</v>
      </c>
    </row>
    <row r="118" spans="1:32" x14ac:dyDescent="0.35">
      <c r="A118" s="1" t="s">
        <v>92</v>
      </c>
      <c r="B118" s="1">
        <v>174</v>
      </c>
      <c r="C118" s="1">
        <v>19</v>
      </c>
      <c r="D118" s="1">
        <v>111</v>
      </c>
      <c r="E118" s="1">
        <v>93</v>
      </c>
      <c r="F118" s="1">
        <v>68</v>
      </c>
      <c r="G118" s="1">
        <v>35</v>
      </c>
      <c r="H118" s="1">
        <v>103</v>
      </c>
      <c r="I118" s="1">
        <v>130</v>
      </c>
      <c r="J118" s="1">
        <v>232</v>
      </c>
      <c r="K118" s="1">
        <v>39</v>
      </c>
      <c r="L118" s="1">
        <v>40</v>
      </c>
      <c r="M118" s="1">
        <v>25</v>
      </c>
      <c r="N118" s="1">
        <v>72</v>
      </c>
      <c r="O118" s="1">
        <v>112</v>
      </c>
      <c r="P118" s="1">
        <v>21</v>
      </c>
      <c r="Q118" s="1">
        <v>54</v>
      </c>
      <c r="R118" s="1">
        <v>59</v>
      </c>
      <c r="S118" s="1">
        <v>62</v>
      </c>
      <c r="T118" s="1">
        <v>170</v>
      </c>
      <c r="U118" s="1">
        <v>14</v>
      </c>
      <c r="V118" s="1">
        <v>39</v>
      </c>
      <c r="W118" s="1">
        <v>56</v>
      </c>
      <c r="X118" s="1">
        <v>146</v>
      </c>
      <c r="Y118" s="1">
        <v>13</v>
      </c>
      <c r="Z118" s="1">
        <v>27</v>
      </c>
      <c r="AA118" s="1">
        <v>33</v>
      </c>
      <c r="AB118" s="1">
        <v>37</v>
      </c>
      <c r="AC118" s="1">
        <v>30</v>
      </c>
      <c r="AD118" s="1">
        <v>150</v>
      </c>
      <c r="AE118" s="1">
        <v>27</v>
      </c>
      <c r="AF118" s="18">
        <f t="shared" si="1"/>
        <v>73.033333333333331</v>
      </c>
    </row>
    <row r="119" spans="1:32" x14ac:dyDescent="0.35">
      <c r="A119" s="1" t="s">
        <v>93</v>
      </c>
      <c r="B119" s="1">
        <v>15</v>
      </c>
      <c r="C119" s="1">
        <v>25</v>
      </c>
      <c r="D119" s="1">
        <v>32</v>
      </c>
      <c r="E119" s="1">
        <v>130</v>
      </c>
      <c r="F119" s="1">
        <v>37</v>
      </c>
      <c r="G119" s="1">
        <v>40</v>
      </c>
      <c r="H119" s="1">
        <v>14</v>
      </c>
      <c r="I119" s="1">
        <v>12</v>
      </c>
      <c r="J119" s="1">
        <v>19</v>
      </c>
      <c r="K119" s="1">
        <v>16</v>
      </c>
      <c r="L119" s="1">
        <v>30</v>
      </c>
      <c r="M119" s="1">
        <v>72</v>
      </c>
      <c r="N119" s="1">
        <v>28</v>
      </c>
      <c r="O119" s="1">
        <v>84</v>
      </c>
      <c r="P119" s="1">
        <v>82</v>
      </c>
      <c r="Q119" s="1">
        <v>13</v>
      </c>
      <c r="R119" s="1">
        <v>33</v>
      </c>
      <c r="S119" s="1">
        <v>75</v>
      </c>
      <c r="T119" s="1">
        <v>14</v>
      </c>
      <c r="U119" s="1">
        <v>13</v>
      </c>
      <c r="V119" s="1">
        <v>74</v>
      </c>
      <c r="W119" s="1">
        <v>15</v>
      </c>
      <c r="X119" s="1">
        <v>23</v>
      </c>
      <c r="Y119" s="1">
        <v>98</v>
      </c>
      <c r="Z119" s="1">
        <v>15</v>
      </c>
      <c r="AA119" s="1">
        <v>23</v>
      </c>
      <c r="AB119" s="1">
        <v>62</v>
      </c>
      <c r="AC119" s="1">
        <v>51</v>
      </c>
      <c r="AD119" s="1">
        <v>24</v>
      </c>
      <c r="AE119" s="1">
        <v>18</v>
      </c>
      <c r="AF119" s="18">
        <f t="shared" si="1"/>
        <v>39.56666666666667</v>
      </c>
    </row>
    <row r="120" spans="1:32" x14ac:dyDescent="0.35">
      <c r="A120" s="1" t="s">
        <v>94</v>
      </c>
      <c r="B120" s="1">
        <v>37</v>
      </c>
      <c r="C120" s="1">
        <v>63</v>
      </c>
      <c r="D120" s="1">
        <v>91</v>
      </c>
      <c r="E120" s="1">
        <v>67</v>
      </c>
      <c r="F120" s="1">
        <v>62</v>
      </c>
      <c r="G120" s="1">
        <v>27</v>
      </c>
      <c r="H120" s="1">
        <v>13</v>
      </c>
      <c r="I120" s="1">
        <v>12</v>
      </c>
      <c r="J120" s="1">
        <v>69</v>
      </c>
      <c r="K120" s="1">
        <v>31</v>
      </c>
      <c r="L120" s="1">
        <v>38</v>
      </c>
      <c r="M120" s="1">
        <v>71</v>
      </c>
      <c r="N120" s="1">
        <v>42</v>
      </c>
      <c r="O120" s="1">
        <v>30</v>
      </c>
      <c r="P120" s="1">
        <v>88</v>
      </c>
      <c r="Q120" s="1">
        <v>26</v>
      </c>
      <c r="R120" s="1">
        <v>32</v>
      </c>
      <c r="S120" s="1">
        <v>82</v>
      </c>
      <c r="T120" s="1">
        <v>12</v>
      </c>
      <c r="U120" s="1">
        <v>132</v>
      </c>
      <c r="V120" s="1">
        <v>23</v>
      </c>
      <c r="W120" s="1">
        <v>95</v>
      </c>
      <c r="X120" s="1">
        <v>40</v>
      </c>
      <c r="Y120" s="1">
        <v>37</v>
      </c>
      <c r="Z120" s="1">
        <v>118</v>
      </c>
      <c r="AA120" s="1">
        <v>25</v>
      </c>
      <c r="AB120" s="1">
        <v>228</v>
      </c>
      <c r="AC120" s="1">
        <v>68</v>
      </c>
      <c r="AD120" s="1">
        <v>19</v>
      </c>
      <c r="AE120" s="1">
        <v>112</v>
      </c>
      <c r="AF120" s="18">
        <f t="shared" si="1"/>
        <v>59.666666666666664</v>
      </c>
    </row>
    <row r="121" spans="1:32" x14ac:dyDescent="0.35">
      <c r="A121" s="1" t="s">
        <v>95</v>
      </c>
      <c r="B121" s="1">
        <v>13</v>
      </c>
      <c r="C121" s="1">
        <v>22</v>
      </c>
      <c r="D121" s="1">
        <v>15</v>
      </c>
      <c r="E121" s="1">
        <v>34</v>
      </c>
      <c r="F121" s="1">
        <v>73</v>
      </c>
      <c r="G121" s="1">
        <v>19</v>
      </c>
      <c r="H121" s="1">
        <v>74</v>
      </c>
      <c r="I121" s="1">
        <v>51</v>
      </c>
      <c r="J121" s="1">
        <v>70</v>
      </c>
      <c r="K121" s="1">
        <v>36</v>
      </c>
      <c r="L121" s="1">
        <v>102</v>
      </c>
      <c r="M121" s="1">
        <v>49</v>
      </c>
      <c r="N121" s="1">
        <v>58</v>
      </c>
      <c r="O121" s="1">
        <v>104</v>
      </c>
      <c r="P121" s="1">
        <v>17</v>
      </c>
      <c r="Q121" s="1">
        <v>82</v>
      </c>
      <c r="R121" s="1">
        <v>67</v>
      </c>
      <c r="S121" s="1">
        <v>13</v>
      </c>
      <c r="T121" s="1">
        <v>19</v>
      </c>
      <c r="U121" s="1">
        <v>78</v>
      </c>
      <c r="V121" s="1">
        <v>225</v>
      </c>
      <c r="W121" s="1">
        <v>40</v>
      </c>
      <c r="X121" s="1">
        <v>30</v>
      </c>
      <c r="Y121" s="1">
        <v>14</v>
      </c>
      <c r="Z121" s="1">
        <v>19</v>
      </c>
      <c r="AA121" s="1">
        <v>16</v>
      </c>
      <c r="AB121" s="1">
        <v>20</v>
      </c>
      <c r="AC121" s="1">
        <v>13</v>
      </c>
      <c r="AD121" s="1">
        <v>29</v>
      </c>
      <c r="AE121" s="1">
        <v>25</v>
      </c>
      <c r="AF121" s="18">
        <f t="shared" si="1"/>
        <v>47.56666666666667</v>
      </c>
    </row>
    <row r="122" spans="1:32" x14ac:dyDescent="0.35">
      <c r="A122" s="1" t="s">
        <v>96</v>
      </c>
      <c r="B122" s="1">
        <v>79</v>
      </c>
      <c r="C122" s="1">
        <v>57</v>
      </c>
      <c r="D122" s="1">
        <v>24</v>
      </c>
      <c r="E122" s="1">
        <v>20</v>
      </c>
      <c r="F122" s="1">
        <v>32</v>
      </c>
      <c r="G122" s="1">
        <v>50</v>
      </c>
      <c r="H122" s="1">
        <v>49</v>
      </c>
      <c r="I122" s="1">
        <v>32</v>
      </c>
      <c r="J122" s="1">
        <v>23</v>
      </c>
      <c r="K122" s="1">
        <v>58</v>
      </c>
      <c r="L122" s="1">
        <v>81</v>
      </c>
      <c r="M122" s="1">
        <v>117</v>
      </c>
      <c r="N122" s="1">
        <v>44</v>
      </c>
      <c r="O122" s="1">
        <v>44</v>
      </c>
      <c r="P122" s="1">
        <v>12</v>
      </c>
      <c r="Q122" s="1">
        <v>31</v>
      </c>
      <c r="R122" s="1">
        <v>39</v>
      </c>
      <c r="S122" s="1">
        <v>146</v>
      </c>
      <c r="T122" s="1">
        <v>46</v>
      </c>
      <c r="U122" s="1">
        <v>24</v>
      </c>
      <c r="V122" s="1">
        <v>52</v>
      </c>
      <c r="W122" s="1">
        <v>17</v>
      </c>
      <c r="X122" s="1">
        <v>25</v>
      </c>
      <c r="Y122" s="1">
        <v>59</v>
      </c>
      <c r="Z122" s="1">
        <v>68</v>
      </c>
      <c r="AA122" s="1">
        <v>130</v>
      </c>
      <c r="AB122" s="1">
        <v>132</v>
      </c>
      <c r="AC122" s="1">
        <v>21</v>
      </c>
      <c r="AD122" s="1">
        <v>21</v>
      </c>
      <c r="AE122" s="1">
        <v>19</v>
      </c>
      <c r="AF122" s="18">
        <f t="shared" si="1"/>
        <v>51.733333333333334</v>
      </c>
    </row>
    <row r="123" spans="1:32" x14ac:dyDescent="0.35">
      <c r="A123" s="1" t="s">
        <v>97</v>
      </c>
      <c r="B123" s="1">
        <v>113</v>
      </c>
      <c r="C123" s="1">
        <v>47</v>
      </c>
      <c r="D123" s="1">
        <v>76</v>
      </c>
      <c r="E123" s="1">
        <v>12</v>
      </c>
      <c r="F123" s="1">
        <v>71</v>
      </c>
      <c r="G123" s="1">
        <v>313</v>
      </c>
      <c r="H123" s="1">
        <v>111</v>
      </c>
      <c r="I123" s="1">
        <v>50</v>
      </c>
      <c r="J123" s="1">
        <v>68</v>
      </c>
      <c r="K123" s="1">
        <v>88</v>
      </c>
      <c r="L123" s="1">
        <v>66</v>
      </c>
      <c r="M123" s="1">
        <v>16</v>
      </c>
      <c r="N123" s="1">
        <v>110</v>
      </c>
      <c r="O123" s="1">
        <v>183</v>
      </c>
      <c r="P123" s="1">
        <v>41</v>
      </c>
      <c r="Q123" s="1">
        <v>62</v>
      </c>
      <c r="R123" s="1">
        <v>70</v>
      </c>
      <c r="S123" s="1">
        <v>15</v>
      </c>
      <c r="T123" s="1">
        <v>21</v>
      </c>
      <c r="U123" s="1">
        <v>89</v>
      </c>
      <c r="V123" s="1">
        <v>13</v>
      </c>
      <c r="W123" s="1">
        <v>61</v>
      </c>
      <c r="X123" s="1">
        <v>83</v>
      </c>
      <c r="Y123" s="1">
        <v>53</v>
      </c>
      <c r="Z123" s="1">
        <v>60</v>
      </c>
      <c r="AA123" s="1">
        <v>140</v>
      </c>
      <c r="AB123" s="1">
        <v>31</v>
      </c>
      <c r="AC123" s="1">
        <v>35</v>
      </c>
      <c r="AD123" s="1">
        <v>39</v>
      </c>
      <c r="AE123" s="1">
        <v>38</v>
      </c>
      <c r="AF123" s="18">
        <f t="shared" si="1"/>
        <v>72.5</v>
      </c>
    </row>
    <row r="124" spans="1:32" x14ac:dyDescent="0.35">
      <c r="A124" s="1" t="s">
        <v>98</v>
      </c>
      <c r="B124" s="1">
        <v>47</v>
      </c>
      <c r="C124" s="1">
        <v>50</v>
      </c>
      <c r="D124" s="1">
        <v>47</v>
      </c>
      <c r="E124" s="1">
        <v>25</v>
      </c>
      <c r="F124" s="1">
        <v>156</v>
      </c>
      <c r="G124" s="1">
        <v>13</v>
      </c>
      <c r="H124" s="1">
        <v>30</v>
      </c>
      <c r="I124" s="1">
        <v>22</v>
      </c>
      <c r="J124" s="1">
        <v>25</v>
      </c>
      <c r="K124" s="1">
        <v>130</v>
      </c>
      <c r="L124" s="1">
        <v>152</v>
      </c>
      <c r="M124" s="1">
        <v>17</v>
      </c>
      <c r="N124" s="1">
        <v>29</v>
      </c>
      <c r="O124" s="1">
        <v>45</v>
      </c>
      <c r="P124" s="1">
        <v>30</v>
      </c>
      <c r="Q124" s="1">
        <v>49</v>
      </c>
      <c r="R124" s="1">
        <v>40</v>
      </c>
      <c r="S124" s="1">
        <v>22</v>
      </c>
      <c r="T124" s="1">
        <v>43</v>
      </c>
      <c r="U124" s="1">
        <v>127</v>
      </c>
      <c r="V124" s="1">
        <v>28</v>
      </c>
      <c r="W124" s="1">
        <v>39</v>
      </c>
      <c r="X124" s="1">
        <v>55</v>
      </c>
      <c r="Y124" s="1">
        <v>48</v>
      </c>
      <c r="Z124" s="1">
        <v>44</v>
      </c>
      <c r="AA124" s="1">
        <v>41</v>
      </c>
      <c r="AB124" s="1">
        <v>21</v>
      </c>
      <c r="AC124" s="1">
        <v>17</v>
      </c>
      <c r="AD124" s="1">
        <v>28</v>
      </c>
      <c r="AE124" s="1">
        <v>40</v>
      </c>
      <c r="AF124" s="18">
        <f t="shared" si="1"/>
        <v>48.666666666666664</v>
      </c>
    </row>
    <row r="125" spans="1:32" x14ac:dyDescent="0.35">
      <c r="A125" s="1" t="s">
        <v>184</v>
      </c>
      <c r="B125" s="1">
        <v>19</v>
      </c>
      <c r="C125" s="1">
        <v>20</v>
      </c>
      <c r="D125" s="1">
        <v>29</v>
      </c>
      <c r="E125" s="1">
        <v>16</v>
      </c>
      <c r="F125" s="1">
        <v>145</v>
      </c>
      <c r="G125" s="1">
        <v>32</v>
      </c>
      <c r="H125" s="1">
        <v>34</v>
      </c>
      <c r="I125" s="1">
        <v>42</v>
      </c>
      <c r="J125" s="1">
        <v>37</v>
      </c>
      <c r="K125" s="1">
        <v>57</v>
      </c>
      <c r="L125" s="1">
        <v>94</v>
      </c>
      <c r="M125" s="1">
        <v>53</v>
      </c>
      <c r="N125" s="1">
        <v>76</v>
      </c>
      <c r="O125" s="1">
        <v>21</v>
      </c>
      <c r="P125" s="1">
        <v>52</v>
      </c>
      <c r="Q125" s="1">
        <v>46</v>
      </c>
      <c r="R125" s="1">
        <v>74</v>
      </c>
      <c r="S125" s="1">
        <v>84</v>
      </c>
      <c r="T125" s="1">
        <v>99</v>
      </c>
      <c r="U125" s="1">
        <v>16</v>
      </c>
      <c r="V125" s="1">
        <v>58</v>
      </c>
      <c r="W125" s="1">
        <v>13</v>
      </c>
      <c r="X125" s="1">
        <v>29</v>
      </c>
      <c r="Y125" s="1">
        <v>145</v>
      </c>
      <c r="Z125" s="1">
        <v>26</v>
      </c>
      <c r="AA125" s="1">
        <v>16</v>
      </c>
      <c r="AB125" s="1">
        <v>16</v>
      </c>
      <c r="AC125" s="1">
        <v>163</v>
      </c>
      <c r="AD125" s="1">
        <v>32</v>
      </c>
      <c r="AE125" s="1">
        <v>21</v>
      </c>
      <c r="AF125" s="18">
        <f t="shared" si="1"/>
        <v>52.166666666666664</v>
      </c>
    </row>
    <row r="126" spans="1:32" x14ac:dyDescent="0.35">
      <c r="A126" s="1" t="s">
        <v>99</v>
      </c>
      <c r="B126" s="1">
        <v>64</v>
      </c>
      <c r="C126" s="1">
        <v>112</v>
      </c>
      <c r="D126" s="1">
        <v>98</v>
      </c>
      <c r="E126" s="1">
        <v>17</v>
      </c>
      <c r="F126" s="1">
        <v>49</v>
      </c>
      <c r="G126" s="1">
        <v>12</v>
      </c>
      <c r="H126" s="1">
        <v>40</v>
      </c>
      <c r="I126" s="1">
        <v>20</v>
      </c>
      <c r="J126" s="1">
        <v>23</v>
      </c>
      <c r="K126" s="1">
        <v>31</v>
      </c>
      <c r="L126" s="1">
        <v>27</v>
      </c>
      <c r="M126" s="1">
        <v>18</v>
      </c>
      <c r="N126" s="1">
        <v>14</v>
      </c>
      <c r="O126" s="1">
        <v>34</v>
      </c>
      <c r="P126" s="1">
        <v>55</v>
      </c>
      <c r="Q126" s="1">
        <v>31</v>
      </c>
      <c r="R126" s="1">
        <v>27</v>
      </c>
      <c r="S126" s="1">
        <v>34</v>
      </c>
      <c r="T126" s="1">
        <v>43</v>
      </c>
      <c r="U126" s="1">
        <v>60</v>
      </c>
      <c r="V126" s="1">
        <v>46</v>
      </c>
      <c r="W126" s="1">
        <v>19</v>
      </c>
      <c r="X126" s="1">
        <v>49</v>
      </c>
      <c r="Y126" s="1">
        <v>18</v>
      </c>
      <c r="Z126" s="1">
        <v>39</v>
      </c>
      <c r="AA126" s="1">
        <v>30</v>
      </c>
      <c r="AB126" s="1">
        <v>23</v>
      </c>
      <c r="AC126" s="1">
        <v>56</v>
      </c>
      <c r="AD126" s="1">
        <v>29</v>
      </c>
      <c r="AE126" s="1">
        <v>25</v>
      </c>
      <c r="AF126" s="18">
        <f t="shared" si="1"/>
        <v>38.1</v>
      </c>
    </row>
    <row r="127" spans="1:32" x14ac:dyDescent="0.35">
      <c r="A127" s="1" t="s">
        <v>100</v>
      </c>
      <c r="B127" s="1">
        <v>107</v>
      </c>
      <c r="C127" s="1">
        <v>25</v>
      </c>
      <c r="D127" s="1">
        <v>65</v>
      </c>
      <c r="E127" s="1">
        <v>67</v>
      </c>
      <c r="F127" s="1">
        <v>14</v>
      </c>
      <c r="G127" s="1">
        <v>18</v>
      </c>
      <c r="H127" s="1">
        <v>17</v>
      </c>
      <c r="I127" s="1">
        <v>34</v>
      </c>
      <c r="J127" s="1">
        <v>24</v>
      </c>
      <c r="K127" s="1">
        <v>27</v>
      </c>
      <c r="L127" s="1">
        <v>20</v>
      </c>
      <c r="M127" s="1">
        <v>49</v>
      </c>
      <c r="N127" s="1">
        <v>40</v>
      </c>
      <c r="O127" s="1">
        <v>90</v>
      </c>
      <c r="P127" s="1">
        <v>72</v>
      </c>
      <c r="Q127" s="1">
        <v>23</v>
      </c>
      <c r="R127" s="1">
        <v>24</v>
      </c>
      <c r="S127" s="1">
        <v>37</v>
      </c>
      <c r="T127" s="1">
        <v>43</v>
      </c>
      <c r="U127" s="1">
        <v>28</v>
      </c>
      <c r="V127" s="1">
        <v>33</v>
      </c>
      <c r="W127" s="1">
        <v>21</v>
      </c>
      <c r="X127" s="1">
        <v>118</v>
      </c>
      <c r="Y127" s="1">
        <v>59</v>
      </c>
      <c r="Z127" s="1">
        <v>22</v>
      </c>
      <c r="AA127" s="1">
        <v>35</v>
      </c>
      <c r="AB127" s="1">
        <v>21</v>
      </c>
      <c r="AC127" s="1">
        <v>27</v>
      </c>
      <c r="AD127" s="1">
        <v>56</v>
      </c>
      <c r="AE127" s="1">
        <v>114</v>
      </c>
      <c r="AF127" s="18">
        <f t="shared" si="1"/>
        <v>44.333333333333336</v>
      </c>
    </row>
    <row r="128" spans="1:32" x14ac:dyDescent="0.35">
      <c r="A128" s="1" t="s">
        <v>101</v>
      </c>
      <c r="B128" s="1">
        <v>55</v>
      </c>
      <c r="C128" s="1">
        <v>47</v>
      </c>
      <c r="D128" s="1">
        <v>77</v>
      </c>
      <c r="E128" s="1">
        <v>63</v>
      </c>
      <c r="F128" s="1">
        <v>38</v>
      </c>
      <c r="G128" s="1">
        <v>70</v>
      </c>
      <c r="H128" s="1">
        <v>17</v>
      </c>
      <c r="I128" s="1">
        <v>26</v>
      </c>
      <c r="J128" s="1">
        <v>88</v>
      </c>
      <c r="K128" s="1">
        <v>20</v>
      </c>
      <c r="L128" s="1">
        <v>35</v>
      </c>
      <c r="M128" s="1">
        <v>19</v>
      </c>
      <c r="N128" s="1">
        <v>45</v>
      </c>
      <c r="O128" s="1">
        <v>17</v>
      </c>
      <c r="P128" s="1">
        <v>15</v>
      </c>
      <c r="Q128" s="1">
        <v>25</v>
      </c>
      <c r="R128" s="1">
        <v>50</v>
      </c>
      <c r="S128" s="1">
        <v>35</v>
      </c>
      <c r="T128" s="1">
        <v>21</v>
      </c>
      <c r="U128" s="1">
        <v>42</v>
      </c>
      <c r="V128" s="1">
        <v>40</v>
      </c>
      <c r="W128" s="1">
        <v>34</v>
      </c>
      <c r="X128" s="1">
        <v>35</v>
      </c>
      <c r="Y128" s="1">
        <v>18</v>
      </c>
      <c r="Z128" s="1">
        <v>54</v>
      </c>
      <c r="AA128" s="1">
        <v>84</v>
      </c>
      <c r="AB128" s="1">
        <v>64</v>
      </c>
      <c r="AC128" s="1">
        <v>40</v>
      </c>
      <c r="AD128" s="1">
        <v>32</v>
      </c>
      <c r="AE128" s="1">
        <v>24</v>
      </c>
      <c r="AF128" s="18">
        <f t="shared" si="1"/>
        <v>41</v>
      </c>
    </row>
    <row r="129" spans="1:32" x14ac:dyDescent="0.35">
      <c r="A129" s="1" t="s">
        <v>185</v>
      </c>
      <c r="B129" s="1">
        <v>28</v>
      </c>
      <c r="C129" s="1">
        <v>154</v>
      </c>
      <c r="D129" s="1">
        <v>45</v>
      </c>
      <c r="E129" s="1">
        <v>29</v>
      </c>
      <c r="F129" s="1">
        <v>12</v>
      </c>
      <c r="G129" s="1">
        <v>62</v>
      </c>
      <c r="H129" s="1">
        <v>146</v>
      </c>
      <c r="I129" s="1">
        <v>222</v>
      </c>
      <c r="J129" s="1">
        <v>26</v>
      </c>
      <c r="K129" s="1">
        <v>70</v>
      </c>
      <c r="L129" s="1">
        <v>251</v>
      </c>
      <c r="M129" s="1">
        <v>150</v>
      </c>
      <c r="N129" s="1">
        <v>19</v>
      </c>
      <c r="O129" s="1">
        <v>38</v>
      </c>
      <c r="P129" s="1">
        <v>25</v>
      </c>
      <c r="Q129" s="1">
        <v>59</v>
      </c>
      <c r="R129" s="1">
        <v>348</v>
      </c>
      <c r="S129" s="1">
        <v>40</v>
      </c>
      <c r="T129" s="1">
        <v>47</v>
      </c>
      <c r="U129" s="1">
        <v>54</v>
      </c>
      <c r="V129" s="1">
        <v>62</v>
      </c>
      <c r="W129" s="1">
        <v>29</v>
      </c>
      <c r="X129" s="1">
        <v>119</v>
      </c>
      <c r="Y129" s="1">
        <v>91</v>
      </c>
      <c r="Z129" s="1">
        <v>133</v>
      </c>
      <c r="AA129" s="1">
        <v>50</v>
      </c>
      <c r="AB129" s="1">
        <v>12</v>
      </c>
      <c r="AC129" s="1">
        <v>34</v>
      </c>
      <c r="AD129" s="1">
        <v>25</v>
      </c>
      <c r="AE129" s="1">
        <v>61</v>
      </c>
      <c r="AF129" s="18">
        <f t="shared" si="1"/>
        <v>81.36666666666666</v>
      </c>
    </row>
    <row r="130" spans="1:32" x14ac:dyDescent="0.35">
      <c r="A130" s="1" t="s">
        <v>102</v>
      </c>
      <c r="B130" s="1">
        <v>243</v>
      </c>
      <c r="C130" s="1">
        <v>196</v>
      </c>
      <c r="D130" s="1">
        <v>111</v>
      </c>
      <c r="E130" s="1">
        <v>48</v>
      </c>
      <c r="F130" s="1">
        <v>27</v>
      </c>
      <c r="G130" s="1">
        <v>31</v>
      </c>
      <c r="H130" s="1">
        <v>71</v>
      </c>
      <c r="I130" s="1">
        <v>38</v>
      </c>
      <c r="J130" s="1">
        <v>25</v>
      </c>
      <c r="K130" s="1">
        <v>12</v>
      </c>
      <c r="L130" s="1">
        <v>44</v>
      </c>
      <c r="M130" s="1">
        <v>24</v>
      </c>
      <c r="N130" s="1">
        <v>54</v>
      </c>
      <c r="O130" s="1">
        <v>321</v>
      </c>
      <c r="P130" s="1">
        <v>12</v>
      </c>
      <c r="Q130" s="1">
        <v>35</v>
      </c>
      <c r="R130" s="1">
        <v>96</v>
      </c>
      <c r="S130" s="1">
        <v>37</v>
      </c>
      <c r="T130" s="1">
        <v>71</v>
      </c>
      <c r="U130" s="1">
        <v>184</v>
      </c>
      <c r="V130" s="1">
        <v>41</v>
      </c>
      <c r="W130" s="1">
        <v>30</v>
      </c>
      <c r="X130" s="1">
        <v>21</v>
      </c>
      <c r="Y130" s="1">
        <v>184</v>
      </c>
      <c r="Z130" s="1">
        <v>27</v>
      </c>
      <c r="AA130" s="1">
        <v>49</v>
      </c>
      <c r="AB130" s="1">
        <v>39</v>
      </c>
      <c r="AC130" s="1">
        <v>15</v>
      </c>
      <c r="AD130" s="1">
        <v>59</v>
      </c>
      <c r="AE130" s="1">
        <v>37</v>
      </c>
      <c r="AF130" s="18">
        <f t="shared" si="1"/>
        <v>72.733333333333334</v>
      </c>
    </row>
    <row r="131" spans="1:32" x14ac:dyDescent="0.35">
      <c r="A131" s="1" t="s">
        <v>103</v>
      </c>
      <c r="B131" s="1">
        <v>37</v>
      </c>
      <c r="C131" s="1">
        <v>21</v>
      </c>
      <c r="D131" s="1">
        <v>25</v>
      </c>
      <c r="E131" s="1">
        <v>29</v>
      </c>
      <c r="F131" s="1">
        <v>17</v>
      </c>
      <c r="G131" s="1">
        <v>22</v>
      </c>
      <c r="H131" s="1">
        <v>13</v>
      </c>
      <c r="I131" s="1">
        <v>60</v>
      </c>
      <c r="J131" s="1">
        <v>15</v>
      </c>
      <c r="K131" s="1">
        <v>47</v>
      </c>
      <c r="L131" s="1">
        <v>57</v>
      </c>
      <c r="M131" s="1">
        <v>43</v>
      </c>
      <c r="N131" s="1">
        <v>15</v>
      </c>
      <c r="O131" s="1">
        <v>15</v>
      </c>
      <c r="P131" s="1">
        <v>14</v>
      </c>
      <c r="Q131" s="1">
        <v>20</v>
      </c>
      <c r="R131" s="1">
        <v>18</v>
      </c>
      <c r="S131" s="1">
        <v>17</v>
      </c>
      <c r="T131" s="1">
        <v>18</v>
      </c>
      <c r="U131" s="1">
        <v>30</v>
      </c>
      <c r="V131" s="1">
        <v>21</v>
      </c>
      <c r="W131" s="1">
        <v>45</v>
      </c>
      <c r="X131" s="1">
        <v>20</v>
      </c>
      <c r="Y131" s="1">
        <v>87</v>
      </c>
      <c r="Z131" s="1">
        <v>16</v>
      </c>
      <c r="AA131" s="1">
        <v>25</v>
      </c>
      <c r="AB131" s="1">
        <v>24</v>
      </c>
      <c r="AC131" s="1">
        <v>50</v>
      </c>
      <c r="AD131" s="1">
        <v>13</v>
      </c>
      <c r="AE131" s="1">
        <v>59</v>
      </c>
      <c r="AF131" s="18">
        <f t="shared" si="1"/>
        <v>29.766666666666666</v>
      </c>
    </row>
    <row r="132" spans="1:32" x14ac:dyDescent="0.35">
      <c r="A132" s="1" t="s">
        <v>186</v>
      </c>
      <c r="B132" s="1">
        <v>14</v>
      </c>
      <c r="C132" s="1">
        <v>38</v>
      </c>
      <c r="D132" s="1">
        <v>77</v>
      </c>
      <c r="E132" s="1">
        <v>101</v>
      </c>
      <c r="F132" s="1">
        <v>86</v>
      </c>
      <c r="G132" s="1">
        <v>94</v>
      </c>
      <c r="H132" s="1">
        <v>39</v>
      </c>
      <c r="I132" s="1">
        <v>67</v>
      </c>
      <c r="J132" s="1">
        <v>16</v>
      </c>
      <c r="K132" s="1">
        <v>20</v>
      </c>
      <c r="L132" s="1">
        <v>85</v>
      </c>
      <c r="M132" s="1">
        <v>24</v>
      </c>
      <c r="N132" s="1">
        <v>28</v>
      </c>
      <c r="O132" s="1">
        <v>77</v>
      </c>
      <c r="P132" s="1">
        <v>40</v>
      </c>
      <c r="Q132" s="1">
        <v>68</v>
      </c>
      <c r="R132" s="1">
        <v>63</v>
      </c>
      <c r="S132" s="1">
        <v>62</v>
      </c>
      <c r="T132" s="1">
        <v>13</v>
      </c>
      <c r="U132" s="1">
        <v>94</v>
      </c>
      <c r="V132" s="1">
        <v>33</v>
      </c>
      <c r="W132" s="1">
        <v>76</v>
      </c>
      <c r="X132" s="1">
        <v>57</v>
      </c>
      <c r="Y132" s="1">
        <v>26</v>
      </c>
      <c r="Z132" s="1">
        <v>53</v>
      </c>
      <c r="AA132" s="1">
        <v>195</v>
      </c>
      <c r="AB132" s="1">
        <v>122</v>
      </c>
      <c r="AC132" s="1">
        <v>75</v>
      </c>
      <c r="AD132" s="1">
        <v>71</v>
      </c>
      <c r="AE132" s="1">
        <v>16</v>
      </c>
      <c r="AF132" s="18">
        <f t="shared" ref="AF132:AF195" si="2">AVERAGE(B132:AE132)</f>
        <v>61</v>
      </c>
    </row>
    <row r="133" spans="1:32" x14ac:dyDescent="0.35">
      <c r="A133" s="1" t="s">
        <v>104</v>
      </c>
      <c r="B133" s="1">
        <v>70</v>
      </c>
      <c r="C133" s="1">
        <v>39</v>
      </c>
      <c r="D133" s="1">
        <v>44</v>
      </c>
      <c r="E133" s="1">
        <v>33</v>
      </c>
      <c r="F133" s="1">
        <v>15</v>
      </c>
      <c r="G133" s="1">
        <v>15</v>
      </c>
      <c r="H133" s="1">
        <v>22</v>
      </c>
      <c r="I133" s="1">
        <v>30</v>
      </c>
      <c r="J133" s="1">
        <v>37</v>
      </c>
      <c r="K133" s="1">
        <v>73</v>
      </c>
      <c r="L133" s="1">
        <v>19</v>
      </c>
      <c r="M133" s="1">
        <v>96</v>
      </c>
      <c r="N133" s="1">
        <v>114</v>
      </c>
      <c r="O133" s="1">
        <v>65</v>
      </c>
      <c r="P133" s="1">
        <v>23</v>
      </c>
      <c r="Q133" s="1">
        <v>17</v>
      </c>
      <c r="R133" s="1">
        <v>14</v>
      </c>
      <c r="S133" s="1">
        <v>75</v>
      </c>
      <c r="T133" s="1">
        <v>15</v>
      </c>
      <c r="U133" s="1">
        <v>73</v>
      </c>
      <c r="V133" s="1">
        <v>41</v>
      </c>
      <c r="W133" s="1">
        <v>59</v>
      </c>
      <c r="X133" s="1">
        <v>19</v>
      </c>
      <c r="Y133" s="1">
        <v>45</v>
      </c>
      <c r="Z133" s="1">
        <v>18</v>
      </c>
      <c r="AA133" s="1">
        <v>24</v>
      </c>
      <c r="AB133" s="1">
        <v>34</v>
      </c>
      <c r="AC133" s="1">
        <v>86</v>
      </c>
      <c r="AD133" s="1">
        <v>67</v>
      </c>
      <c r="AE133" s="1">
        <v>46</v>
      </c>
      <c r="AF133" s="18">
        <f t="shared" si="2"/>
        <v>44.266666666666666</v>
      </c>
    </row>
    <row r="134" spans="1:32" x14ac:dyDescent="0.35">
      <c r="A134" s="1" t="s">
        <v>187</v>
      </c>
      <c r="B134" s="1">
        <v>47</v>
      </c>
      <c r="C134" s="1">
        <v>15</v>
      </c>
      <c r="D134" s="1">
        <v>22</v>
      </c>
      <c r="E134" s="1">
        <v>14</v>
      </c>
      <c r="F134" s="1">
        <v>74</v>
      </c>
      <c r="G134" s="1">
        <v>65</v>
      </c>
      <c r="H134" s="1">
        <v>40</v>
      </c>
      <c r="I134" s="1">
        <v>56</v>
      </c>
      <c r="J134" s="1">
        <v>35</v>
      </c>
      <c r="K134" s="1">
        <v>12</v>
      </c>
      <c r="L134" s="1">
        <v>27</v>
      </c>
      <c r="M134" s="1">
        <v>22</v>
      </c>
      <c r="N134" s="1">
        <v>33</v>
      </c>
      <c r="O134" s="1">
        <v>12</v>
      </c>
      <c r="P134" s="1">
        <v>13</v>
      </c>
      <c r="Q134" s="1">
        <v>31</v>
      </c>
      <c r="R134" s="1">
        <v>21</v>
      </c>
      <c r="S134" s="1">
        <v>65</v>
      </c>
      <c r="T134" s="1">
        <v>21</v>
      </c>
      <c r="U134" s="1">
        <v>39</v>
      </c>
      <c r="V134" s="1">
        <v>16</v>
      </c>
      <c r="W134" s="1">
        <v>108</v>
      </c>
      <c r="X134" s="1">
        <v>110</v>
      </c>
      <c r="Y134" s="1">
        <v>50</v>
      </c>
      <c r="Z134" s="1">
        <v>23</v>
      </c>
      <c r="AA134" s="1">
        <v>24</v>
      </c>
      <c r="AB134" s="1">
        <v>61</v>
      </c>
      <c r="AC134" s="1">
        <v>25</v>
      </c>
      <c r="AD134" s="1">
        <v>60</v>
      </c>
      <c r="AE134" s="1">
        <v>18</v>
      </c>
      <c r="AF134" s="18">
        <f t="shared" si="2"/>
        <v>38.633333333333333</v>
      </c>
    </row>
    <row r="135" spans="1:32" x14ac:dyDescent="0.35">
      <c r="A135" s="1" t="s">
        <v>160</v>
      </c>
      <c r="B135" s="1">
        <v>25</v>
      </c>
      <c r="C135" s="1">
        <v>29</v>
      </c>
      <c r="D135" s="1">
        <v>43</v>
      </c>
      <c r="E135" s="1">
        <v>14</v>
      </c>
      <c r="F135" s="1">
        <v>76</v>
      </c>
      <c r="G135" s="1">
        <v>62</v>
      </c>
      <c r="H135" s="1">
        <v>16</v>
      </c>
      <c r="I135" s="1">
        <v>21</v>
      </c>
      <c r="J135" s="1">
        <v>47</v>
      </c>
      <c r="K135" s="1">
        <v>24</v>
      </c>
      <c r="L135" s="1">
        <v>75</v>
      </c>
      <c r="M135" s="1">
        <v>17</v>
      </c>
      <c r="N135" s="1">
        <v>69</v>
      </c>
      <c r="O135" s="1">
        <v>15</v>
      </c>
      <c r="P135" s="1">
        <v>18</v>
      </c>
      <c r="Q135" s="1">
        <v>29</v>
      </c>
      <c r="R135" s="1">
        <v>45</v>
      </c>
      <c r="S135" s="1">
        <v>98</v>
      </c>
      <c r="T135" s="1">
        <v>84</v>
      </c>
      <c r="U135" s="1">
        <v>18</v>
      </c>
      <c r="V135" s="1">
        <v>27</v>
      </c>
      <c r="W135" s="1">
        <v>32</v>
      </c>
      <c r="X135" s="1">
        <v>14</v>
      </c>
      <c r="Y135" s="1">
        <v>160</v>
      </c>
      <c r="Z135" s="1">
        <v>47</v>
      </c>
      <c r="AA135" s="1">
        <v>29</v>
      </c>
      <c r="AB135" s="1">
        <v>13</v>
      </c>
      <c r="AC135" s="1">
        <v>32</v>
      </c>
      <c r="AD135" s="1">
        <v>82</v>
      </c>
      <c r="AE135" s="1">
        <v>25</v>
      </c>
      <c r="AF135" s="18">
        <f t="shared" si="2"/>
        <v>42.866666666666667</v>
      </c>
    </row>
    <row r="136" spans="1:32" x14ac:dyDescent="0.35">
      <c r="A136" s="1" t="s">
        <v>105</v>
      </c>
      <c r="B136" s="1">
        <v>89</v>
      </c>
      <c r="C136" s="1">
        <v>17</v>
      </c>
      <c r="D136" s="1">
        <v>24</v>
      </c>
      <c r="E136" s="1">
        <v>90</v>
      </c>
      <c r="F136" s="1">
        <v>55</v>
      </c>
      <c r="G136" s="1">
        <v>21</v>
      </c>
      <c r="H136" s="1">
        <v>16</v>
      </c>
      <c r="I136" s="1">
        <v>23</v>
      </c>
      <c r="J136" s="1">
        <v>61</v>
      </c>
      <c r="K136" s="1">
        <v>33</v>
      </c>
      <c r="L136" s="1">
        <v>48</v>
      </c>
      <c r="M136" s="1">
        <v>37</v>
      </c>
      <c r="N136" s="1">
        <v>115</v>
      </c>
      <c r="O136" s="1">
        <v>22</v>
      </c>
      <c r="P136" s="1">
        <v>26</v>
      </c>
      <c r="Q136" s="1">
        <v>25</v>
      </c>
      <c r="R136" s="1">
        <v>84</v>
      </c>
      <c r="S136" s="1">
        <v>71</v>
      </c>
      <c r="T136" s="1">
        <v>28</v>
      </c>
      <c r="U136" s="1">
        <v>74</v>
      </c>
      <c r="V136" s="1">
        <v>17</v>
      </c>
      <c r="W136" s="1">
        <v>43</v>
      </c>
      <c r="X136" s="1">
        <v>37</v>
      </c>
      <c r="Y136" s="1">
        <v>63</v>
      </c>
      <c r="Z136" s="1">
        <v>48</v>
      </c>
      <c r="AA136" s="1">
        <v>35</v>
      </c>
      <c r="AB136" s="1">
        <v>61</v>
      </c>
      <c r="AC136" s="1">
        <v>41</v>
      </c>
      <c r="AD136" s="1">
        <v>27</v>
      </c>
      <c r="AE136" s="1">
        <v>23</v>
      </c>
      <c r="AF136" s="18">
        <f t="shared" si="2"/>
        <v>45.133333333333333</v>
      </c>
    </row>
    <row r="137" spans="1:32" x14ac:dyDescent="0.35">
      <c r="A137" s="1" t="s">
        <v>106</v>
      </c>
      <c r="B137" s="1">
        <v>33</v>
      </c>
      <c r="C137" s="1">
        <v>32</v>
      </c>
      <c r="D137" s="1">
        <v>61</v>
      </c>
      <c r="E137" s="1">
        <v>36</v>
      </c>
      <c r="F137" s="1">
        <v>48</v>
      </c>
      <c r="G137" s="1">
        <v>18</v>
      </c>
      <c r="H137" s="1">
        <v>15</v>
      </c>
      <c r="I137" s="1">
        <v>22</v>
      </c>
      <c r="J137" s="1">
        <v>15</v>
      </c>
      <c r="K137" s="1">
        <v>64</v>
      </c>
      <c r="L137" s="1">
        <v>15</v>
      </c>
      <c r="M137" s="1">
        <v>54</v>
      </c>
      <c r="N137" s="1">
        <v>15</v>
      </c>
      <c r="O137" s="1">
        <v>18</v>
      </c>
      <c r="P137" s="1">
        <v>56</v>
      </c>
      <c r="Q137" s="1">
        <v>15</v>
      </c>
      <c r="R137" s="1">
        <v>29</v>
      </c>
      <c r="S137" s="1">
        <v>90</v>
      </c>
      <c r="T137" s="1">
        <v>93</v>
      </c>
      <c r="U137" s="1">
        <v>59</v>
      </c>
      <c r="V137" s="1">
        <v>21</v>
      </c>
      <c r="W137" s="1">
        <v>25</v>
      </c>
      <c r="X137" s="1">
        <v>50</v>
      </c>
      <c r="Y137" s="1">
        <v>126</v>
      </c>
      <c r="Z137" s="1">
        <v>49</v>
      </c>
      <c r="AA137" s="1">
        <v>16</v>
      </c>
      <c r="AB137" s="1">
        <v>54</v>
      </c>
      <c r="AC137" s="1">
        <v>66</v>
      </c>
      <c r="AD137" s="1">
        <v>68</v>
      </c>
      <c r="AE137" s="1">
        <v>39</v>
      </c>
      <c r="AF137" s="18">
        <f t="shared" si="2"/>
        <v>43.4</v>
      </c>
    </row>
    <row r="138" spans="1:32" x14ac:dyDescent="0.35">
      <c r="A138" s="1" t="s">
        <v>188</v>
      </c>
      <c r="B138" s="1">
        <v>74</v>
      </c>
      <c r="C138" s="1">
        <v>83</v>
      </c>
      <c r="D138" s="1">
        <v>20</v>
      </c>
      <c r="E138" s="1">
        <v>21</v>
      </c>
      <c r="F138" s="1">
        <v>16</v>
      </c>
      <c r="G138" s="1">
        <v>39</v>
      </c>
      <c r="H138" s="1">
        <v>32</v>
      </c>
      <c r="I138" s="1">
        <v>30</v>
      </c>
      <c r="J138" s="1">
        <v>32</v>
      </c>
      <c r="K138" s="1">
        <v>15</v>
      </c>
      <c r="L138" s="1">
        <v>28</v>
      </c>
      <c r="M138" s="1">
        <v>49</v>
      </c>
      <c r="N138" s="1">
        <v>60</v>
      </c>
      <c r="O138" s="1">
        <v>13</v>
      </c>
      <c r="P138" s="1">
        <v>12</v>
      </c>
      <c r="Q138" s="1">
        <v>67</v>
      </c>
      <c r="R138" s="1">
        <v>35</v>
      </c>
      <c r="S138" s="1">
        <v>63</v>
      </c>
      <c r="T138" s="1">
        <v>81</v>
      </c>
      <c r="U138" s="1">
        <v>14</v>
      </c>
      <c r="V138" s="1">
        <v>40</v>
      </c>
      <c r="W138" s="1">
        <v>12</v>
      </c>
      <c r="X138" s="1">
        <v>108</v>
      </c>
      <c r="Y138" s="1">
        <v>13</v>
      </c>
      <c r="Z138" s="1">
        <v>40</v>
      </c>
      <c r="AA138" s="1">
        <v>73</v>
      </c>
      <c r="AB138" s="1">
        <v>37</v>
      </c>
      <c r="AC138" s="1">
        <v>71</v>
      </c>
      <c r="AD138" s="1">
        <v>75</v>
      </c>
      <c r="AE138" s="1">
        <v>66</v>
      </c>
      <c r="AF138" s="18">
        <f t="shared" si="2"/>
        <v>43.966666666666669</v>
      </c>
    </row>
    <row r="139" spans="1:32" x14ac:dyDescent="0.35">
      <c r="A139" s="1" t="s">
        <v>107</v>
      </c>
      <c r="B139" s="1">
        <v>102</v>
      </c>
      <c r="C139" s="1">
        <v>48</v>
      </c>
      <c r="D139" s="1">
        <v>30</v>
      </c>
      <c r="E139" s="1">
        <v>31</v>
      </c>
      <c r="F139" s="1">
        <v>21</v>
      </c>
      <c r="G139" s="1">
        <v>25</v>
      </c>
      <c r="H139" s="1">
        <v>21</v>
      </c>
      <c r="I139" s="1">
        <v>44</v>
      </c>
      <c r="J139" s="1">
        <v>163</v>
      </c>
      <c r="K139" s="1">
        <v>37</v>
      </c>
      <c r="L139" s="1">
        <v>22</v>
      </c>
      <c r="M139" s="1">
        <v>158</v>
      </c>
      <c r="N139" s="1">
        <v>26</v>
      </c>
      <c r="O139" s="1">
        <v>19</v>
      </c>
      <c r="P139" s="1">
        <v>19</v>
      </c>
      <c r="Q139" s="1">
        <v>47</v>
      </c>
      <c r="R139" s="1">
        <v>22</v>
      </c>
      <c r="S139" s="1">
        <v>15</v>
      </c>
      <c r="T139" s="1">
        <v>57</v>
      </c>
      <c r="U139" s="1">
        <v>24</v>
      </c>
      <c r="V139" s="1">
        <v>33</v>
      </c>
      <c r="W139" s="1">
        <v>17</v>
      </c>
      <c r="X139" s="1">
        <v>49</v>
      </c>
      <c r="Y139" s="1">
        <v>40</v>
      </c>
      <c r="Z139" s="1">
        <v>38</v>
      </c>
      <c r="AA139" s="1">
        <v>87</v>
      </c>
      <c r="AB139" s="1">
        <v>14</v>
      </c>
      <c r="AC139" s="1">
        <v>59</v>
      </c>
      <c r="AD139" s="1">
        <v>51</v>
      </c>
      <c r="AE139" s="1">
        <v>68</v>
      </c>
      <c r="AF139" s="18">
        <f t="shared" si="2"/>
        <v>46.233333333333334</v>
      </c>
    </row>
    <row r="140" spans="1:32" x14ac:dyDescent="0.35">
      <c r="A140" s="1" t="s">
        <v>108</v>
      </c>
      <c r="B140" s="1">
        <v>49</v>
      </c>
      <c r="C140" s="1">
        <v>46</v>
      </c>
      <c r="D140" s="1">
        <v>24</v>
      </c>
      <c r="E140" s="1">
        <v>54</v>
      </c>
      <c r="F140" s="1">
        <v>37</v>
      </c>
      <c r="G140" s="1">
        <v>55</v>
      </c>
      <c r="H140" s="1">
        <v>23</v>
      </c>
      <c r="I140" s="1">
        <v>12</v>
      </c>
      <c r="J140" s="1">
        <v>55</v>
      </c>
      <c r="K140" s="1">
        <v>13</v>
      </c>
      <c r="L140" s="1">
        <v>47</v>
      </c>
      <c r="M140" s="1">
        <v>26</v>
      </c>
      <c r="N140" s="1">
        <v>41</v>
      </c>
      <c r="O140" s="1">
        <v>38</v>
      </c>
      <c r="P140" s="1">
        <v>14</v>
      </c>
      <c r="Q140" s="1">
        <v>30</v>
      </c>
      <c r="R140" s="1">
        <v>18</v>
      </c>
      <c r="S140" s="1">
        <v>56</v>
      </c>
      <c r="T140" s="1">
        <v>20</v>
      </c>
      <c r="U140" s="1">
        <v>65</v>
      </c>
      <c r="V140" s="1">
        <v>24</v>
      </c>
      <c r="W140" s="1">
        <v>69</v>
      </c>
      <c r="X140" s="1">
        <v>28</v>
      </c>
      <c r="Y140" s="1">
        <v>75</v>
      </c>
      <c r="Z140" s="1">
        <v>28</v>
      </c>
      <c r="AA140" s="1">
        <v>23</v>
      </c>
      <c r="AB140" s="1">
        <v>87</v>
      </c>
      <c r="AC140" s="1">
        <v>70</v>
      </c>
      <c r="AD140" s="1">
        <v>13</v>
      </c>
      <c r="AE140" s="1">
        <v>13</v>
      </c>
      <c r="AF140" s="18">
        <f t="shared" si="2"/>
        <v>38.43333333333333</v>
      </c>
    </row>
    <row r="141" spans="1:32" x14ac:dyDescent="0.35">
      <c r="A141" s="1" t="s">
        <v>109</v>
      </c>
      <c r="B141" s="1">
        <v>35</v>
      </c>
      <c r="C141" s="1">
        <v>40</v>
      </c>
      <c r="D141" s="1">
        <v>147</v>
      </c>
      <c r="E141" s="1">
        <v>36</v>
      </c>
      <c r="F141" s="1">
        <v>15</v>
      </c>
      <c r="G141" s="1">
        <v>42</v>
      </c>
      <c r="H141" s="1">
        <v>17</v>
      </c>
      <c r="I141" s="1">
        <v>125</v>
      </c>
      <c r="J141" s="1">
        <v>159</v>
      </c>
      <c r="K141" s="1">
        <v>19</v>
      </c>
      <c r="L141" s="1">
        <v>36</v>
      </c>
      <c r="M141" s="1">
        <v>47</v>
      </c>
      <c r="N141" s="1">
        <v>23</v>
      </c>
      <c r="O141" s="1">
        <v>76</v>
      </c>
      <c r="P141" s="1">
        <v>187</v>
      </c>
      <c r="Q141" s="1">
        <v>33</v>
      </c>
      <c r="R141" s="1">
        <v>26</v>
      </c>
      <c r="S141" s="1">
        <v>99</v>
      </c>
      <c r="T141" s="1">
        <v>15</v>
      </c>
      <c r="U141" s="1">
        <v>41</v>
      </c>
      <c r="V141" s="1">
        <v>52</v>
      </c>
      <c r="W141" s="1">
        <v>29</v>
      </c>
      <c r="X141" s="1">
        <v>160</v>
      </c>
      <c r="Y141" s="1">
        <v>17</v>
      </c>
      <c r="Z141" s="1">
        <v>213</v>
      </c>
      <c r="AA141" s="1">
        <v>71</v>
      </c>
      <c r="AB141" s="1">
        <v>289</v>
      </c>
      <c r="AC141" s="1">
        <v>67</v>
      </c>
      <c r="AD141" s="1">
        <v>21</v>
      </c>
      <c r="AE141" s="1">
        <v>178</v>
      </c>
      <c r="AF141" s="18">
        <f t="shared" si="2"/>
        <v>77.166666666666671</v>
      </c>
    </row>
    <row r="142" spans="1:32" x14ac:dyDescent="0.35">
      <c r="A142" s="1" t="s">
        <v>189</v>
      </c>
      <c r="B142" s="1">
        <v>18</v>
      </c>
      <c r="C142" s="1">
        <v>105</v>
      </c>
      <c r="D142" s="1">
        <v>45</v>
      </c>
      <c r="E142" s="1">
        <v>135</v>
      </c>
      <c r="F142" s="1">
        <v>33</v>
      </c>
      <c r="G142" s="1">
        <v>118</v>
      </c>
      <c r="H142" s="1">
        <v>18</v>
      </c>
      <c r="I142" s="1">
        <v>18</v>
      </c>
      <c r="J142" s="1">
        <v>89</v>
      </c>
      <c r="K142" s="1">
        <v>27</v>
      </c>
      <c r="L142" s="1">
        <v>76</v>
      </c>
      <c r="M142" s="1">
        <v>15</v>
      </c>
      <c r="N142" s="1">
        <v>28</v>
      </c>
      <c r="O142" s="1">
        <v>34</v>
      </c>
      <c r="P142" s="1">
        <v>17</v>
      </c>
      <c r="Q142" s="1">
        <v>43</v>
      </c>
      <c r="R142" s="1">
        <v>77</v>
      </c>
      <c r="S142" s="1">
        <v>12</v>
      </c>
      <c r="T142" s="1">
        <v>166</v>
      </c>
      <c r="U142" s="1">
        <v>56</v>
      </c>
      <c r="V142" s="1">
        <v>91</v>
      </c>
      <c r="W142" s="1">
        <v>15</v>
      </c>
      <c r="X142" s="1">
        <v>19</v>
      </c>
      <c r="Y142" s="1">
        <v>15</v>
      </c>
      <c r="Z142" s="1">
        <v>40</v>
      </c>
      <c r="AA142" s="1">
        <v>62</v>
      </c>
      <c r="AB142" s="1">
        <v>18</v>
      </c>
      <c r="AC142" s="1">
        <v>155</v>
      </c>
      <c r="AD142" s="1">
        <v>107</v>
      </c>
      <c r="AE142" s="1">
        <v>69</v>
      </c>
      <c r="AF142" s="18">
        <f t="shared" si="2"/>
        <v>57.366666666666667</v>
      </c>
    </row>
    <row r="143" spans="1:32" x14ac:dyDescent="0.35">
      <c r="A143" s="1" t="s">
        <v>110</v>
      </c>
      <c r="B143" s="1">
        <v>43</v>
      </c>
      <c r="C143" s="1">
        <v>63</v>
      </c>
      <c r="D143" s="1">
        <v>84</v>
      </c>
      <c r="E143" s="1">
        <v>38</v>
      </c>
      <c r="F143" s="1">
        <v>24</v>
      </c>
      <c r="G143" s="1">
        <v>101</v>
      </c>
      <c r="H143" s="1">
        <v>21</v>
      </c>
      <c r="I143" s="1">
        <v>53</v>
      </c>
      <c r="J143" s="1">
        <v>43</v>
      </c>
      <c r="K143" s="1">
        <v>45</v>
      </c>
      <c r="L143" s="1">
        <v>76</v>
      </c>
      <c r="M143" s="1">
        <v>120</v>
      </c>
      <c r="N143" s="1">
        <v>25</v>
      </c>
      <c r="O143" s="1">
        <v>25</v>
      </c>
      <c r="P143" s="1">
        <v>60</v>
      </c>
      <c r="Q143" s="1">
        <v>64</v>
      </c>
      <c r="R143" s="1">
        <v>48</v>
      </c>
      <c r="S143" s="1">
        <v>66</v>
      </c>
      <c r="T143" s="1">
        <v>306</v>
      </c>
      <c r="U143" s="1">
        <v>22</v>
      </c>
      <c r="V143" s="1">
        <v>75</v>
      </c>
      <c r="W143" s="1">
        <v>95</v>
      </c>
      <c r="X143" s="1">
        <v>36</v>
      </c>
      <c r="Y143" s="1">
        <v>255</v>
      </c>
      <c r="Z143" s="1">
        <v>260</v>
      </c>
      <c r="AA143" s="1">
        <v>50</v>
      </c>
      <c r="AB143" s="1">
        <v>31</v>
      </c>
      <c r="AC143" s="1">
        <v>59</v>
      </c>
      <c r="AD143" s="1">
        <v>138</v>
      </c>
      <c r="AE143" s="1">
        <v>80</v>
      </c>
      <c r="AF143" s="18">
        <f t="shared" si="2"/>
        <v>80.2</v>
      </c>
    </row>
    <row r="144" spans="1:32" x14ac:dyDescent="0.35">
      <c r="A144" s="1" t="s">
        <v>111</v>
      </c>
      <c r="B144" s="1">
        <v>197</v>
      </c>
      <c r="C144" s="1">
        <v>58</v>
      </c>
      <c r="D144" s="1">
        <v>90</v>
      </c>
      <c r="E144" s="1">
        <v>26</v>
      </c>
      <c r="F144" s="1">
        <v>14</v>
      </c>
      <c r="G144" s="1">
        <v>22</v>
      </c>
      <c r="H144" s="1">
        <v>88</v>
      </c>
      <c r="I144" s="1">
        <v>42</v>
      </c>
      <c r="J144" s="1">
        <v>23</v>
      </c>
      <c r="K144" s="1">
        <v>184</v>
      </c>
      <c r="L144" s="1">
        <v>14</v>
      </c>
      <c r="M144" s="1">
        <v>21</v>
      </c>
      <c r="N144" s="1">
        <v>18</v>
      </c>
      <c r="O144" s="1">
        <v>35</v>
      </c>
      <c r="P144" s="1">
        <v>51</v>
      </c>
      <c r="Q144" s="1">
        <v>21</v>
      </c>
      <c r="R144" s="1">
        <v>21</v>
      </c>
      <c r="S144" s="1">
        <v>30</v>
      </c>
      <c r="T144" s="1">
        <v>35</v>
      </c>
      <c r="U144" s="1">
        <v>64</v>
      </c>
      <c r="V144" s="1">
        <v>13</v>
      </c>
      <c r="W144" s="1">
        <v>94</v>
      </c>
      <c r="X144" s="1">
        <v>42</v>
      </c>
      <c r="Y144" s="1">
        <v>55</v>
      </c>
      <c r="Z144" s="1">
        <v>38</v>
      </c>
      <c r="AA144" s="1">
        <v>22</v>
      </c>
      <c r="AB144" s="1">
        <v>17</v>
      </c>
      <c r="AC144" s="1">
        <v>31</v>
      </c>
      <c r="AD144" s="1">
        <v>64</v>
      </c>
      <c r="AE144" s="1">
        <v>52</v>
      </c>
      <c r="AF144" s="18">
        <f t="shared" si="2"/>
        <v>49.4</v>
      </c>
    </row>
    <row r="145" spans="1:32" x14ac:dyDescent="0.35">
      <c r="A145" s="1" t="s">
        <v>112</v>
      </c>
      <c r="B145" s="1">
        <v>34</v>
      </c>
      <c r="C145" s="1">
        <v>20</v>
      </c>
      <c r="D145" s="1">
        <v>51</v>
      </c>
      <c r="E145" s="1">
        <v>109</v>
      </c>
      <c r="F145" s="1">
        <v>102</v>
      </c>
      <c r="G145" s="1">
        <v>20</v>
      </c>
      <c r="H145" s="1">
        <v>43</v>
      </c>
      <c r="I145" s="1">
        <v>106</v>
      </c>
      <c r="J145" s="1">
        <v>23</v>
      </c>
      <c r="K145" s="1">
        <v>29</v>
      </c>
      <c r="L145" s="1">
        <v>103</v>
      </c>
      <c r="M145" s="1">
        <v>28</v>
      </c>
      <c r="N145" s="1">
        <v>82</v>
      </c>
      <c r="O145" s="1">
        <v>24</v>
      </c>
      <c r="P145" s="1">
        <v>51</v>
      </c>
      <c r="Q145" s="1">
        <v>83</v>
      </c>
      <c r="R145" s="1">
        <v>33</v>
      </c>
      <c r="S145" s="1">
        <v>17</v>
      </c>
      <c r="T145" s="1">
        <v>29</v>
      </c>
      <c r="U145" s="1">
        <v>64</v>
      </c>
      <c r="V145" s="1">
        <v>77</v>
      </c>
      <c r="W145" s="1">
        <v>26</v>
      </c>
      <c r="X145" s="1">
        <v>13</v>
      </c>
      <c r="Y145" s="1">
        <v>14</v>
      </c>
      <c r="Z145" s="1">
        <v>72</v>
      </c>
      <c r="AA145" s="1">
        <v>58</v>
      </c>
      <c r="AB145" s="1">
        <v>137</v>
      </c>
      <c r="AC145" s="1">
        <v>58</v>
      </c>
      <c r="AD145" s="1">
        <v>33</v>
      </c>
      <c r="AE145" s="1">
        <v>23</v>
      </c>
      <c r="AF145" s="18">
        <f t="shared" si="2"/>
        <v>52.06666666666667</v>
      </c>
    </row>
    <row r="146" spans="1:32" x14ac:dyDescent="0.35">
      <c r="A146" s="1" t="s">
        <v>113</v>
      </c>
      <c r="B146" s="1">
        <v>36</v>
      </c>
      <c r="C146" s="1">
        <v>27</v>
      </c>
      <c r="D146" s="1">
        <v>111</v>
      </c>
      <c r="E146" s="1">
        <v>42</v>
      </c>
      <c r="F146" s="1">
        <v>17</v>
      </c>
      <c r="G146" s="1">
        <v>55</v>
      </c>
      <c r="H146" s="1">
        <v>54</v>
      </c>
      <c r="I146" s="1">
        <v>29</v>
      </c>
      <c r="J146" s="1">
        <v>49</v>
      </c>
      <c r="K146" s="1">
        <v>17</v>
      </c>
      <c r="L146" s="1">
        <v>123</v>
      </c>
      <c r="M146" s="1">
        <v>33</v>
      </c>
      <c r="N146" s="1">
        <v>170</v>
      </c>
      <c r="O146" s="1">
        <v>208</v>
      </c>
      <c r="P146" s="1">
        <v>182</v>
      </c>
      <c r="Q146" s="1">
        <v>50</v>
      </c>
      <c r="R146" s="1">
        <v>41</v>
      </c>
      <c r="S146" s="1">
        <v>51</v>
      </c>
      <c r="T146" s="1">
        <v>120</v>
      </c>
      <c r="U146" s="1">
        <v>29</v>
      </c>
      <c r="V146" s="1">
        <v>12</v>
      </c>
      <c r="W146" s="1">
        <v>156</v>
      </c>
      <c r="X146" s="1">
        <v>40</v>
      </c>
      <c r="Y146" s="1">
        <v>100</v>
      </c>
      <c r="Z146" s="1">
        <v>42</v>
      </c>
      <c r="AA146" s="1">
        <v>27</v>
      </c>
      <c r="AB146" s="1">
        <v>34</v>
      </c>
      <c r="AC146" s="1">
        <v>114</v>
      </c>
      <c r="AD146" s="1">
        <v>75</v>
      </c>
      <c r="AE146" s="1">
        <v>138</v>
      </c>
      <c r="AF146" s="18">
        <f t="shared" si="2"/>
        <v>72.733333333333334</v>
      </c>
    </row>
    <row r="147" spans="1:32" x14ac:dyDescent="0.35">
      <c r="A147" s="1" t="s">
        <v>114</v>
      </c>
      <c r="B147" s="1">
        <v>21</v>
      </c>
      <c r="C147" s="1">
        <v>44</v>
      </c>
      <c r="D147" s="1">
        <v>21</v>
      </c>
      <c r="E147" s="1">
        <v>46</v>
      </c>
      <c r="F147" s="1">
        <v>22</v>
      </c>
      <c r="G147" s="1">
        <v>19</v>
      </c>
      <c r="H147" s="1">
        <v>75</v>
      </c>
      <c r="I147" s="1">
        <v>61</v>
      </c>
      <c r="J147" s="1">
        <v>23</v>
      </c>
      <c r="K147" s="1">
        <v>14</v>
      </c>
      <c r="L147" s="1">
        <v>53</v>
      </c>
      <c r="M147" s="1">
        <v>40</v>
      </c>
      <c r="N147" s="1">
        <v>27</v>
      </c>
      <c r="O147" s="1">
        <v>39</v>
      </c>
      <c r="P147" s="1">
        <v>59</v>
      </c>
      <c r="Q147" s="1">
        <v>111</v>
      </c>
      <c r="R147" s="1">
        <v>71</v>
      </c>
      <c r="S147" s="1">
        <v>44</v>
      </c>
      <c r="T147" s="1">
        <v>82</v>
      </c>
      <c r="U147" s="1">
        <v>65</v>
      </c>
      <c r="V147" s="1">
        <v>46</v>
      </c>
      <c r="W147" s="1">
        <v>45</v>
      </c>
      <c r="X147" s="1">
        <v>19</v>
      </c>
      <c r="Y147" s="1">
        <v>55</v>
      </c>
      <c r="Z147" s="1">
        <v>17</v>
      </c>
      <c r="AA147" s="1">
        <v>48</v>
      </c>
      <c r="AB147" s="1">
        <v>153</v>
      </c>
      <c r="AC147" s="1">
        <v>99</v>
      </c>
      <c r="AD147" s="1">
        <v>47</v>
      </c>
      <c r="AE147" s="1">
        <v>27</v>
      </c>
      <c r="AF147" s="18">
        <f t="shared" si="2"/>
        <v>49.766666666666666</v>
      </c>
    </row>
    <row r="148" spans="1:32" x14ac:dyDescent="0.35">
      <c r="A148" s="1" t="s">
        <v>115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8">
        <f t="shared" si="2"/>
        <v>0</v>
      </c>
    </row>
    <row r="149" spans="1:32" x14ac:dyDescent="0.35">
      <c r="A149" s="1" t="s">
        <v>190</v>
      </c>
      <c r="B149" s="1">
        <v>43</v>
      </c>
      <c r="C149" s="1">
        <v>54</v>
      </c>
      <c r="D149" s="1">
        <v>82</v>
      </c>
      <c r="E149" s="1">
        <v>82</v>
      </c>
      <c r="F149" s="1">
        <v>19</v>
      </c>
      <c r="G149" s="1">
        <v>113</v>
      </c>
      <c r="H149" s="1">
        <v>36</v>
      </c>
      <c r="I149" s="1">
        <v>64</v>
      </c>
      <c r="J149" s="1">
        <v>22</v>
      </c>
      <c r="K149" s="1">
        <v>95</v>
      </c>
      <c r="L149" s="1">
        <v>44</v>
      </c>
      <c r="M149" s="1">
        <v>38</v>
      </c>
      <c r="N149" s="1">
        <v>14</v>
      </c>
      <c r="O149" s="1">
        <v>81</v>
      </c>
      <c r="P149" s="1">
        <v>23</v>
      </c>
      <c r="Q149" s="1">
        <v>59</v>
      </c>
      <c r="R149" s="1">
        <v>35</v>
      </c>
      <c r="S149" s="1">
        <v>29</v>
      </c>
      <c r="T149" s="1">
        <v>34</v>
      </c>
      <c r="U149" s="1">
        <v>55</v>
      </c>
      <c r="V149" s="1">
        <v>30</v>
      </c>
      <c r="W149" s="1">
        <v>22</v>
      </c>
      <c r="X149" s="1">
        <v>72</v>
      </c>
      <c r="Y149" s="1">
        <v>60</v>
      </c>
      <c r="Z149" s="1">
        <v>95</v>
      </c>
      <c r="AA149" s="1">
        <v>59</v>
      </c>
      <c r="AB149" s="1">
        <v>96</v>
      </c>
      <c r="AC149" s="1">
        <v>14</v>
      </c>
      <c r="AD149" s="1">
        <v>40</v>
      </c>
      <c r="AE149" s="1">
        <v>29</v>
      </c>
      <c r="AF149" s="18">
        <f t="shared" si="2"/>
        <v>51.3</v>
      </c>
    </row>
    <row r="150" spans="1:32" x14ac:dyDescent="0.35">
      <c r="A150" s="1" t="s">
        <v>116</v>
      </c>
      <c r="B150" s="1">
        <v>52</v>
      </c>
      <c r="C150" s="1">
        <v>14</v>
      </c>
      <c r="D150" s="1">
        <v>20</v>
      </c>
      <c r="E150" s="1">
        <v>148</v>
      </c>
      <c r="F150" s="1">
        <v>12</v>
      </c>
      <c r="G150" s="1">
        <v>88</v>
      </c>
      <c r="H150" s="1">
        <v>86</v>
      </c>
      <c r="I150" s="1">
        <v>28</v>
      </c>
      <c r="J150" s="1">
        <v>21</v>
      </c>
      <c r="K150" s="1">
        <v>84</v>
      </c>
      <c r="L150" s="1">
        <v>57</v>
      </c>
      <c r="M150" s="1">
        <v>24</v>
      </c>
      <c r="N150" s="1">
        <v>26</v>
      </c>
      <c r="O150" s="1">
        <v>50</v>
      </c>
      <c r="P150" s="1">
        <v>53</v>
      </c>
      <c r="Q150" s="1">
        <v>13</v>
      </c>
      <c r="R150" s="1">
        <v>19</v>
      </c>
      <c r="S150" s="1">
        <v>47</v>
      </c>
      <c r="T150" s="1">
        <v>30</v>
      </c>
      <c r="U150" s="1">
        <v>87</v>
      </c>
      <c r="V150" s="1">
        <v>31</v>
      </c>
      <c r="W150" s="1">
        <v>39</v>
      </c>
      <c r="X150" s="1">
        <v>26</v>
      </c>
      <c r="Y150" s="1">
        <v>90</v>
      </c>
      <c r="Z150" s="1">
        <v>172</v>
      </c>
      <c r="AA150" s="1">
        <v>82</v>
      </c>
      <c r="AB150" s="1">
        <v>22</v>
      </c>
      <c r="AC150" s="1">
        <v>22</v>
      </c>
      <c r="AD150" s="1">
        <v>137</v>
      </c>
      <c r="AE150" s="1">
        <v>14</v>
      </c>
      <c r="AF150" s="18">
        <f t="shared" si="2"/>
        <v>53.133333333333333</v>
      </c>
    </row>
    <row r="151" spans="1:32" x14ac:dyDescent="0.35">
      <c r="A151" s="1" t="s">
        <v>197</v>
      </c>
      <c r="B151" s="1">
        <v>63</v>
      </c>
      <c r="C151" s="1">
        <v>23</v>
      </c>
      <c r="D151" s="1">
        <v>56</v>
      </c>
      <c r="E151" s="1">
        <v>21</v>
      </c>
      <c r="F151" s="1">
        <v>28</v>
      </c>
      <c r="G151" s="1">
        <v>26</v>
      </c>
      <c r="H151" s="1">
        <v>37</v>
      </c>
      <c r="I151" s="1">
        <v>14</v>
      </c>
      <c r="J151" s="1">
        <v>31</v>
      </c>
      <c r="K151" s="1">
        <v>78</v>
      </c>
      <c r="L151" s="1">
        <v>36</v>
      </c>
      <c r="M151" s="1">
        <v>105</v>
      </c>
      <c r="N151" s="1">
        <v>103</v>
      </c>
      <c r="O151" s="1">
        <v>74</v>
      </c>
      <c r="P151" s="1">
        <v>171</v>
      </c>
      <c r="Q151" s="1">
        <v>117</v>
      </c>
      <c r="R151" s="1">
        <v>178</v>
      </c>
      <c r="S151" s="1">
        <v>181</v>
      </c>
      <c r="T151" s="1">
        <v>57</v>
      </c>
      <c r="U151" s="1">
        <v>157</v>
      </c>
      <c r="V151" s="1">
        <v>47</v>
      </c>
      <c r="W151" s="1">
        <v>49</v>
      </c>
      <c r="X151" s="1">
        <v>24</v>
      </c>
      <c r="Y151" s="1">
        <v>114</v>
      </c>
      <c r="Z151" s="1">
        <v>44</v>
      </c>
      <c r="AA151" s="1">
        <v>82</v>
      </c>
      <c r="AB151" s="1">
        <v>99</v>
      </c>
      <c r="AC151" s="1">
        <v>21</v>
      </c>
      <c r="AD151" s="1">
        <v>20</v>
      </c>
      <c r="AE151" s="1">
        <v>167</v>
      </c>
      <c r="AF151" s="18">
        <f t="shared" si="2"/>
        <v>74.099999999999994</v>
      </c>
    </row>
    <row r="152" spans="1:32" x14ac:dyDescent="0.35">
      <c r="A152" s="1" t="s">
        <v>117</v>
      </c>
      <c r="B152" s="1">
        <v>13</v>
      </c>
      <c r="C152" s="1">
        <v>28</v>
      </c>
      <c r="D152" s="1">
        <v>32</v>
      </c>
      <c r="E152" s="1">
        <v>14</v>
      </c>
      <c r="F152" s="1">
        <v>24</v>
      </c>
      <c r="G152" s="1">
        <v>31</v>
      </c>
      <c r="H152" s="1">
        <v>83</v>
      </c>
      <c r="I152" s="1">
        <v>38</v>
      </c>
      <c r="J152" s="1">
        <v>24</v>
      </c>
      <c r="K152" s="1">
        <v>58</v>
      </c>
      <c r="L152" s="1">
        <v>158</v>
      </c>
      <c r="M152" s="1">
        <v>99</v>
      </c>
      <c r="N152" s="1">
        <v>51</v>
      </c>
      <c r="O152" s="1">
        <v>25</v>
      </c>
      <c r="P152" s="1">
        <v>266</v>
      </c>
      <c r="Q152" s="1">
        <v>75</v>
      </c>
      <c r="R152" s="1">
        <v>307</v>
      </c>
      <c r="S152" s="1">
        <v>70</v>
      </c>
      <c r="T152" s="1">
        <v>248</v>
      </c>
      <c r="U152" s="1">
        <v>39</v>
      </c>
      <c r="V152" s="1">
        <v>36</v>
      </c>
      <c r="W152" s="1">
        <v>38</v>
      </c>
      <c r="X152" s="1">
        <v>34</v>
      </c>
      <c r="Y152" s="1">
        <v>39</v>
      </c>
      <c r="Z152" s="1">
        <v>37</v>
      </c>
      <c r="AA152" s="1">
        <v>28</v>
      </c>
      <c r="AB152" s="1">
        <v>20</v>
      </c>
      <c r="AC152" s="1">
        <v>176</v>
      </c>
      <c r="AD152" s="1">
        <v>80</v>
      </c>
      <c r="AE152" s="1">
        <v>18</v>
      </c>
      <c r="AF152" s="18">
        <f t="shared" si="2"/>
        <v>72.966666666666669</v>
      </c>
    </row>
    <row r="153" spans="1:32" x14ac:dyDescent="0.35">
      <c r="A153" s="1" t="s">
        <v>198</v>
      </c>
      <c r="B153" s="1">
        <v>76</v>
      </c>
      <c r="C153" s="1">
        <v>12</v>
      </c>
      <c r="D153" s="1">
        <v>13</v>
      </c>
      <c r="E153" s="1">
        <v>22</v>
      </c>
      <c r="F153" s="1">
        <v>44</v>
      </c>
      <c r="G153" s="1">
        <v>15</v>
      </c>
      <c r="H153" s="1">
        <v>35</v>
      </c>
      <c r="I153" s="1">
        <v>45</v>
      </c>
      <c r="J153" s="1">
        <v>25</v>
      </c>
      <c r="K153" s="1">
        <v>37</v>
      </c>
      <c r="L153" s="1">
        <v>42</v>
      </c>
      <c r="M153" s="1">
        <v>35</v>
      </c>
      <c r="N153" s="1">
        <v>40</v>
      </c>
      <c r="O153" s="1">
        <v>30</v>
      </c>
      <c r="P153" s="1">
        <v>28</v>
      </c>
      <c r="Q153" s="1">
        <v>45</v>
      </c>
      <c r="R153" s="1">
        <v>53</v>
      </c>
      <c r="S153" s="1">
        <v>12</v>
      </c>
      <c r="T153" s="1">
        <v>60</v>
      </c>
      <c r="U153" s="1">
        <v>63</v>
      </c>
      <c r="V153" s="1">
        <v>26</v>
      </c>
      <c r="W153" s="1">
        <v>60</v>
      </c>
      <c r="X153" s="1">
        <v>87</v>
      </c>
      <c r="Y153" s="1">
        <v>25</v>
      </c>
      <c r="Z153" s="1">
        <v>68</v>
      </c>
      <c r="AA153" s="1">
        <v>40</v>
      </c>
      <c r="AB153" s="1">
        <v>20</v>
      </c>
      <c r="AC153" s="1">
        <v>77</v>
      </c>
      <c r="AD153" s="1">
        <v>31</v>
      </c>
      <c r="AE153" s="1">
        <v>15</v>
      </c>
      <c r="AF153" s="18">
        <f t="shared" si="2"/>
        <v>39.366666666666667</v>
      </c>
    </row>
    <row r="154" spans="1:32" x14ac:dyDescent="0.35">
      <c r="A154" s="1" t="s">
        <v>118</v>
      </c>
      <c r="B154" s="1">
        <v>142</v>
      </c>
      <c r="C154" s="1">
        <v>63</v>
      </c>
      <c r="D154" s="1">
        <v>69</v>
      </c>
      <c r="E154" s="1">
        <v>58</v>
      </c>
      <c r="F154" s="1">
        <v>88</v>
      </c>
      <c r="G154" s="1">
        <v>36</v>
      </c>
      <c r="H154" s="1">
        <v>45</v>
      </c>
      <c r="I154" s="1">
        <v>56</v>
      </c>
      <c r="J154" s="1">
        <v>78</v>
      </c>
      <c r="K154" s="1">
        <v>73</v>
      </c>
      <c r="L154" s="1">
        <v>43</v>
      </c>
      <c r="M154" s="1">
        <v>156</v>
      </c>
      <c r="N154" s="1">
        <v>80</v>
      </c>
      <c r="O154" s="1">
        <v>64</v>
      </c>
      <c r="P154" s="1">
        <v>100</v>
      </c>
      <c r="Q154" s="1">
        <v>115</v>
      </c>
      <c r="R154" s="1">
        <v>145</v>
      </c>
      <c r="S154" s="1">
        <v>156</v>
      </c>
      <c r="T154" s="1">
        <v>18</v>
      </c>
      <c r="U154" s="1">
        <v>28</v>
      </c>
      <c r="V154" s="1">
        <v>34</v>
      </c>
      <c r="W154" s="1">
        <v>17</v>
      </c>
      <c r="X154" s="1">
        <v>30</v>
      </c>
      <c r="Y154" s="1">
        <v>131</v>
      </c>
      <c r="Z154" s="1">
        <v>36</v>
      </c>
      <c r="AA154" s="1">
        <v>31</v>
      </c>
      <c r="AB154" s="1">
        <v>28</v>
      </c>
      <c r="AC154" s="1">
        <v>37</v>
      </c>
      <c r="AD154" s="1">
        <v>14</v>
      </c>
      <c r="AE154" s="1">
        <v>141</v>
      </c>
      <c r="AF154" s="18">
        <f t="shared" si="2"/>
        <v>70.400000000000006</v>
      </c>
    </row>
    <row r="155" spans="1:32" x14ac:dyDescent="0.35">
      <c r="A155" s="1" t="s">
        <v>119</v>
      </c>
      <c r="B155" s="1">
        <v>77</v>
      </c>
      <c r="C155" s="1">
        <v>29</v>
      </c>
      <c r="D155" s="1">
        <v>157</v>
      </c>
      <c r="E155" s="1">
        <v>58</v>
      </c>
      <c r="F155" s="1">
        <v>51</v>
      </c>
      <c r="G155" s="1">
        <v>73</v>
      </c>
      <c r="H155" s="1">
        <v>28</v>
      </c>
      <c r="I155" s="1">
        <v>33</v>
      </c>
      <c r="J155" s="1">
        <v>82</v>
      </c>
      <c r="K155" s="1">
        <v>69</v>
      </c>
      <c r="L155" s="1">
        <v>20</v>
      </c>
      <c r="M155" s="1">
        <v>95</v>
      </c>
      <c r="N155" s="1">
        <v>54</v>
      </c>
      <c r="O155" s="1">
        <v>21</v>
      </c>
      <c r="P155" s="1">
        <v>89</v>
      </c>
      <c r="Q155" s="1">
        <v>69</v>
      </c>
      <c r="R155" s="1">
        <v>24</v>
      </c>
      <c r="S155" s="1">
        <v>199</v>
      </c>
      <c r="T155" s="1">
        <v>26</v>
      </c>
      <c r="U155" s="1">
        <v>118</v>
      </c>
      <c r="V155" s="1">
        <v>26</v>
      </c>
      <c r="W155" s="1">
        <v>88</v>
      </c>
      <c r="X155" s="1">
        <v>29</v>
      </c>
      <c r="Y155" s="1">
        <v>76</v>
      </c>
      <c r="Z155" s="1">
        <v>20</v>
      </c>
      <c r="AA155" s="1">
        <v>39</v>
      </c>
      <c r="AB155" s="1">
        <v>55</v>
      </c>
      <c r="AC155" s="1">
        <v>20</v>
      </c>
      <c r="AD155" s="1">
        <v>37</v>
      </c>
      <c r="AE155" s="1">
        <v>16</v>
      </c>
      <c r="AF155" s="18">
        <f t="shared" si="2"/>
        <v>59.266666666666666</v>
      </c>
    </row>
    <row r="156" spans="1:32" x14ac:dyDescent="0.35">
      <c r="A156" s="1" t="s">
        <v>191</v>
      </c>
      <c r="B156" s="1">
        <v>38</v>
      </c>
      <c r="C156" s="1">
        <v>41</v>
      </c>
      <c r="D156" s="1">
        <v>13</v>
      </c>
      <c r="E156" s="1">
        <v>36</v>
      </c>
      <c r="F156" s="1">
        <v>20</v>
      </c>
      <c r="G156" s="1">
        <v>67</v>
      </c>
      <c r="H156" s="1">
        <v>64</v>
      </c>
      <c r="I156" s="1">
        <v>55</v>
      </c>
      <c r="J156" s="1">
        <v>44</v>
      </c>
      <c r="K156" s="1">
        <v>13</v>
      </c>
      <c r="L156" s="1">
        <v>151</v>
      </c>
      <c r="M156" s="1">
        <v>16</v>
      </c>
      <c r="N156" s="1">
        <v>20</v>
      </c>
      <c r="O156" s="1">
        <v>25</v>
      </c>
      <c r="P156" s="1">
        <v>64</v>
      </c>
      <c r="Q156" s="1">
        <v>13</v>
      </c>
      <c r="R156" s="1">
        <v>76</v>
      </c>
      <c r="S156" s="1">
        <v>55</v>
      </c>
      <c r="T156" s="1">
        <v>107</v>
      </c>
      <c r="U156" s="1">
        <v>75</v>
      </c>
      <c r="V156" s="1">
        <v>66</v>
      </c>
      <c r="W156" s="1">
        <v>28</v>
      </c>
      <c r="X156" s="1">
        <v>69</v>
      </c>
      <c r="Y156" s="1">
        <v>72</v>
      </c>
      <c r="Z156" s="1">
        <v>13</v>
      </c>
      <c r="AA156" s="1">
        <v>203</v>
      </c>
      <c r="AB156" s="1">
        <v>26</v>
      </c>
      <c r="AC156" s="1">
        <v>17</v>
      </c>
      <c r="AD156" s="1">
        <v>131</v>
      </c>
      <c r="AE156" s="1">
        <v>107</v>
      </c>
      <c r="AF156" s="18">
        <f t="shared" si="2"/>
        <v>57.5</v>
      </c>
    </row>
    <row r="157" spans="1:32" x14ac:dyDescent="0.35">
      <c r="A157" s="1" t="s">
        <v>120</v>
      </c>
      <c r="B157" s="1">
        <v>58</v>
      </c>
      <c r="C157" s="1">
        <v>29</v>
      </c>
      <c r="D157" s="1">
        <v>74</v>
      </c>
      <c r="E157" s="1">
        <v>15</v>
      </c>
      <c r="F157" s="1">
        <v>25</v>
      </c>
      <c r="G157" s="1">
        <v>25</v>
      </c>
      <c r="H157" s="1">
        <v>81</v>
      </c>
      <c r="I157" s="1">
        <v>52</v>
      </c>
      <c r="J157" s="1">
        <v>16</v>
      </c>
      <c r="K157" s="1">
        <v>49</v>
      </c>
      <c r="L157" s="1">
        <v>23</v>
      </c>
      <c r="M157" s="1">
        <v>123</v>
      </c>
      <c r="N157" s="1">
        <v>21</v>
      </c>
      <c r="O157" s="1">
        <v>26</v>
      </c>
      <c r="P157" s="1">
        <v>29</v>
      </c>
      <c r="Q157" s="1">
        <v>80</v>
      </c>
      <c r="R157" s="1">
        <v>14</v>
      </c>
      <c r="S157" s="1">
        <v>23</v>
      </c>
      <c r="T157" s="1">
        <v>58</v>
      </c>
      <c r="U157" s="1">
        <v>21</v>
      </c>
      <c r="V157" s="1">
        <v>16</v>
      </c>
      <c r="W157" s="1">
        <v>16</v>
      </c>
      <c r="X157" s="1">
        <v>57</v>
      </c>
      <c r="Y157" s="1">
        <v>28</v>
      </c>
      <c r="Z157" s="1">
        <v>72</v>
      </c>
      <c r="AA157" s="1">
        <v>107</v>
      </c>
      <c r="AB157" s="1">
        <v>19</v>
      </c>
      <c r="AC157" s="1">
        <v>21</v>
      </c>
      <c r="AD157" s="1">
        <v>29</v>
      </c>
      <c r="AE157" s="1">
        <v>16</v>
      </c>
      <c r="AF157" s="18">
        <f t="shared" si="2"/>
        <v>40.766666666666666</v>
      </c>
    </row>
    <row r="158" spans="1:32" x14ac:dyDescent="0.35">
      <c r="A158" s="1" t="s">
        <v>121</v>
      </c>
      <c r="B158" s="1">
        <v>19</v>
      </c>
      <c r="C158" s="1">
        <v>20</v>
      </c>
      <c r="D158" s="1">
        <v>62</v>
      </c>
      <c r="E158" s="1">
        <v>138</v>
      </c>
      <c r="F158" s="1">
        <v>100</v>
      </c>
      <c r="G158" s="1">
        <v>55</v>
      </c>
      <c r="H158" s="1">
        <v>91</v>
      </c>
      <c r="I158" s="1">
        <v>113</v>
      </c>
      <c r="J158" s="1">
        <v>127</v>
      </c>
      <c r="K158" s="1">
        <v>87</v>
      </c>
      <c r="L158" s="1">
        <v>20</v>
      </c>
      <c r="M158" s="1">
        <v>47</v>
      </c>
      <c r="N158" s="1">
        <v>58</v>
      </c>
      <c r="O158" s="1">
        <v>35</v>
      </c>
      <c r="P158" s="1">
        <v>21</v>
      </c>
      <c r="Q158" s="1">
        <v>132</v>
      </c>
      <c r="R158" s="1">
        <v>25</v>
      </c>
      <c r="S158" s="1">
        <v>80</v>
      </c>
      <c r="T158" s="1">
        <v>49</v>
      </c>
      <c r="U158" s="1">
        <v>135</v>
      </c>
      <c r="V158" s="1">
        <v>39</v>
      </c>
      <c r="W158" s="1">
        <v>21</v>
      </c>
      <c r="X158" s="1">
        <v>113</v>
      </c>
      <c r="Y158" s="1">
        <v>94</v>
      </c>
      <c r="Z158" s="1">
        <v>37</v>
      </c>
      <c r="AA158" s="1">
        <v>32</v>
      </c>
      <c r="AB158" s="1">
        <v>32</v>
      </c>
      <c r="AC158" s="1">
        <v>15</v>
      </c>
      <c r="AD158" s="1">
        <v>27</v>
      </c>
      <c r="AE158" s="1">
        <v>52</v>
      </c>
      <c r="AF158" s="18">
        <f t="shared" si="2"/>
        <v>62.533333333333331</v>
      </c>
    </row>
    <row r="159" spans="1:32" x14ac:dyDescent="0.35">
      <c r="A159" s="1" t="s">
        <v>141</v>
      </c>
      <c r="B159" s="1">
        <v>55</v>
      </c>
      <c r="C159" s="1">
        <v>25</v>
      </c>
      <c r="D159" s="1">
        <v>23</v>
      </c>
      <c r="E159" s="1">
        <v>27</v>
      </c>
      <c r="F159" s="1">
        <v>27</v>
      </c>
      <c r="G159" s="1">
        <v>42</v>
      </c>
      <c r="H159" s="1">
        <v>28</v>
      </c>
      <c r="I159" s="1">
        <v>136</v>
      </c>
      <c r="J159" s="1">
        <v>24</v>
      </c>
      <c r="K159" s="1">
        <v>59</v>
      </c>
      <c r="L159" s="1">
        <v>92</v>
      </c>
      <c r="M159" s="1">
        <v>16</v>
      </c>
      <c r="N159" s="1">
        <v>13</v>
      </c>
      <c r="O159" s="1">
        <v>47</v>
      </c>
      <c r="P159" s="1">
        <v>32</v>
      </c>
      <c r="Q159" s="1">
        <v>15</v>
      </c>
      <c r="R159" s="1">
        <v>18</v>
      </c>
      <c r="S159" s="1">
        <v>133</v>
      </c>
      <c r="T159" s="1">
        <v>29</v>
      </c>
      <c r="U159" s="1">
        <v>61</v>
      </c>
      <c r="V159" s="1">
        <v>26</v>
      </c>
      <c r="W159" s="1">
        <v>46</v>
      </c>
      <c r="X159" s="1">
        <v>20</v>
      </c>
      <c r="Y159" s="1">
        <v>35</v>
      </c>
      <c r="Z159" s="1">
        <v>114</v>
      </c>
      <c r="AA159" s="1">
        <v>64</v>
      </c>
      <c r="AB159" s="1">
        <v>82</v>
      </c>
      <c r="AC159" s="1">
        <v>39</v>
      </c>
      <c r="AD159" s="1">
        <v>36</v>
      </c>
      <c r="AE159" s="1">
        <v>21</v>
      </c>
      <c r="AF159" s="18">
        <f t="shared" si="2"/>
        <v>46.166666666666664</v>
      </c>
    </row>
    <row r="160" spans="1:32" x14ac:dyDescent="0.35">
      <c r="A160" s="1" t="s">
        <v>122</v>
      </c>
      <c r="B160" s="1">
        <v>44</v>
      </c>
      <c r="C160" s="1">
        <v>18</v>
      </c>
      <c r="D160" s="1">
        <v>32</v>
      </c>
      <c r="E160" s="1">
        <v>43</v>
      </c>
      <c r="F160" s="1">
        <v>15</v>
      </c>
      <c r="G160" s="1">
        <v>12</v>
      </c>
      <c r="H160" s="1">
        <v>30</v>
      </c>
      <c r="I160" s="1">
        <v>86</v>
      </c>
      <c r="J160" s="1">
        <v>29</v>
      </c>
      <c r="K160" s="1">
        <v>23</v>
      </c>
      <c r="L160" s="1">
        <v>90</v>
      </c>
      <c r="M160" s="1">
        <v>61</v>
      </c>
      <c r="N160" s="1">
        <v>72</v>
      </c>
      <c r="O160" s="1">
        <v>33</v>
      </c>
      <c r="P160" s="1">
        <v>92</v>
      </c>
      <c r="Q160" s="1">
        <v>42</v>
      </c>
      <c r="R160" s="1">
        <v>39</v>
      </c>
      <c r="S160" s="1">
        <v>35</v>
      </c>
      <c r="T160" s="1">
        <v>72</v>
      </c>
      <c r="U160" s="1">
        <v>52</v>
      </c>
      <c r="V160" s="1">
        <v>76</v>
      </c>
      <c r="W160" s="1">
        <v>61</v>
      </c>
      <c r="X160" s="1">
        <v>13</v>
      </c>
      <c r="Y160" s="1">
        <v>20</v>
      </c>
      <c r="Z160" s="1">
        <v>40</v>
      </c>
      <c r="AA160" s="1">
        <v>44</v>
      </c>
      <c r="AB160" s="1">
        <v>15</v>
      </c>
      <c r="AC160" s="1">
        <v>27</v>
      </c>
      <c r="AD160" s="1">
        <v>27</v>
      </c>
      <c r="AE160" s="1">
        <v>33</v>
      </c>
      <c r="AF160" s="18">
        <f t="shared" si="2"/>
        <v>42.533333333333331</v>
      </c>
    </row>
    <row r="161" spans="1:32" x14ac:dyDescent="0.35">
      <c r="A161" s="1" t="s">
        <v>165</v>
      </c>
      <c r="B161" s="1">
        <v>148</v>
      </c>
      <c r="C161" s="1">
        <v>60</v>
      </c>
      <c r="D161" s="1">
        <v>159</v>
      </c>
      <c r="E161" s="1">
        <v>46</v>
      </c>
      <c r="F161" s="1">
        <v>13</v>
      </c>
      <c r="G161" s="1">
        <v>43</v>
      </c>
      <c r="H161" s="1">
        <v>27</v>
      </c>
      <c r="I161" s="1">
        <v>24</v>
      </c>
      <c r="J161" s="1">
        <v>140</v>
      </c>
      <c r="K161" s="1">
        <v>25</v>
      </c>
      <c r="L161" s="1">
        <v>117</v>
      </c>
      <c r="M161" s="1">
        <v>95</v>
      </c>
      <c r="N161" s="1">
        <v>14</v>
      </c>
      <c r="O161" s="1">
        <v>80</v>
      </c>
      <c r="P161" s="1">
        <v>24</v>
      </c>
      <c r="Q161" s="1">
        <v>62</v>
      </c>
      <c r="R161" s="1">
        <v>48</v>
      </c>
      <c r="S161" s="1">
        <v>130</v>
      </c>
      <c r="T161" s="1">
        <v>127</v>
      </c>
      <c r="U161" s="1">
        <v>209</v>
      </c>
      <c r="V161" s="1">
        <v>34</v>
      </c>
      <c r="W161" s="1">
        <v>13</v>
      </c>
      <c r="X161" s="1">
        <v>191</v>
      </c>
      <c r="Y161" s="1">
        <v>59</v>
      </c>
      <c r="Z161" s="1">
        <v>21</v>
      </c>
      <c r="AA161" s="1">
        <v>26</v>
      </c>
      <c r="AB161" s="1">
        <v>32</v>
      </c>
      <c r="AC161" s="1">
        <v>49</v>
      </c>
      <c r="AD161" s="1">
        <v>26</v>
      </c>
      <c r="AE161" s="1">
        <v>67</v>
      </c>
      <c r="AF161" s="18">
        <f t="shared" si="2"/>
        <v>70.3</v>
      </c>
    </row>
    <row r="162" spans="1:32" x14ac:dyDescent="0.35">
      <c r="A162" s="1" t="s">
        <v>123</v>
      </c>
      <c r="B162" s="1">
        <v>30</v>
      </c>
      <c r="C162" s="1">
        <v>12</v>
      </c>
      <c r="D162" s="1">
        <v>25</v>
      </c>
      <c r="E162" s="1">
        <v>34</v>
      </c>
      <c r="F162" s="1">
        <v>16</v>
      </c>
      <c r="G162" s="1">
        <v>48</v>
      </c>
      <c r="H162" s="1">
        <v>19</v>
      </c>
      <c r="I162" s="1">
        <v>37</v>
      </c>
      <c r="J162" s="1">
        <v>69</v>
      </c>
      <c r="K162" s="1">
        <v>29</v>
      </c>
      <c r="L162" s="1">
        <v>18</v>
      </c>
      <c r="M162" s="1">
        <v>83</v>
      </c>
      <c r="N162" s="1">
        <v>15</v>
      </c>
      <c r="O162" s="1">
        <v>19</v>
      </c>
      <c r="P162" s="1">
        <v>42</v>
      </c>
      <c r="Q162" s="1">
        <v>95</v>
      </c>
      <c r="R162" s="1">
        <v>15</v>
      </c>
      <c r="S162" s="1">
        <v>44</v>
      </c>
      <c r="T162" s="1">
        <v>43</v>
      </c>
      <c r="U162" s="1">
        <v>30</v>
      </c>
      <c r="V162" s="1">
        <v>32</v>
      </c>
      <c r="W162" s="1">
        <v>79</v>
      </c>
      <c r="X162" s="1">
        <v>26</v>
      </c>
      <c r="Y162" s="1">
        <v>34</v>
      </c>
      <c r="Z162" s="1">
        <v>27</v>
      </c>
      <c r="AA162" s="1">
        <v>40</v>
      </c>
      <c r="AB162" s="1">
        <v>42</v>
      </c>
      <c r="AC162" s="1">
        <v>49</v>
      </c>
      <c r="AD162" s="1">
        <v>27</v>
      </c>
      <c r="AE162" s="1">
        <v>34</v>
      </c>
      <c r="AF162" s="18">
        <f t="shared" si="2"/>
        <v>37.1</v>
      </c>
    </row>
    <row r="163" spans="1:32" x14ac:dyDescent="0.35">
      <c r="A163" s="1" t="s">
        <v>124</v>
      </c>
      <c r="B163" s="1">
        <v>15</v>
      </c>
      <c r="C163" s="1">
        <v>126</v>
      </c>
      <c r="D163" s="1">
        <v>14</v>
      </c>
      <c r="E163" s="1">
        <v>56</v>
      </c>
      <c r="F163" s="1">
        <v>35</v>
      </c>
      <c r="G163" s="1">
        <v>35</v>
      </c>
      <c r="H163" s="1">
        <v>37</v>
      </c>
      <c r="I163" s="1">
        <v>58</v>
      </c>
      <c r="J163" s="1">
        <v>152</v>
      </c>
      <c r="K163" s="1">
        <v>81</v>
      </c>
      <c r="L163" s="1">
        <v>26</v>
      </c>
      <c r="M163" s="1">
        <v>49</v>
      </c>
      <c r="N163" s="1">
        <v>186</v>
      </c>
      <c r="O163" s="1">
        <v>75</v>
      </c>
      <c r="P163" s="1">
        <v>88</v>
      </c>
      <c r="Q163" s="1">
        <v>87</v>
      </c>
      <c r="R163" s="1">
        <v>255</v>
      </c>
      <c r="S163" s="1">
        <v>41</v>
      </c>
      <c r="T163" s="1">
        <v>58</v>
      </c>
      <c r="U163" s="1">
        <v>83</v>
      </c>
      <c r="V163" s="1">
        <v>102</v>
      </c>
      <c r="W163" s="1">
        <v>21</v>
      </c>
      <c r="X163" s="1">
        <v>53</v>
      </c>
      <c r="Y163" s="1">
        <v>41</v>
      </c>
      <c r="Z163" s="1">
        <v>68</v>
      </c>
      <c r="AA163" s="1">
        <v>59</v>
      </c>
      <c r="AB163" s="1">
        <v>34</v>
      </c>
      <c r="AC163" s="1">
        <v>29</v>
      </c>
      <c r="AD163" s="1">
        <v>29</v>
      </c>
      <c r="AE163" s="1">
        <v>54</v>
      </c>
      <c r="AF163" s="18">
        <f t="shared" si="2"/>
        <v>68.233333333333334</v>
      </c>
    </row>
    <row r="164" spans="1:32" x14ac:dyDescent="0.35">
      <c r="A164" s="1" t="s">
        <v>125</v>
      </c>
      <c r="B164" s="1">
        <v>71</v>
      </c>
      <c r="C164" s="1">
        <v>21</v>
      </c>
      <c r="D164" s="1">
        <v>167</v>
      </c>
      <c r="E164" s="1">
        <v>23</v>
      </c>
      <c r="F164" s="1">
        <v>14</v>
      </c>
      <c r="G164" s="1">
        <v>56</v>
      </c>
      <c r="H164" s="1">
        <v>32</v>
      </c>
      <c r="I164" s="1">
        <v>28</v>
      </c>
      <c r="J164" s="1">
        <v>29</v>
      </c>
      <c r="K164" s="1">
        <v>14</v>
      </c>
      <c r="L164" s="1">
        <v>14</v>
      </c>
      <c r="M164" s="1">
        <v>96</v>
      </c>
      <c r="N164" s="1">
        <v>12</v>
      </c>
      <c r="O164" s="1">
        <v>128</v>
      </c>
      <c r="P164" s="1">
        <v>29</v>
      </c>
      <c r="Q164" s="1">
        <v>73</v>
      </c>
      <c r="R164" s="1">
        <v>53</v>
      </c>
      <c r="S164" s="1">
        <v>84</v>
      </c>
      <c r="T164" s="1">
        <v>24</v>
      </c>
      <c r="U164" s="1">
        <v>13</v>
      </c>
      <c r="V164" s="1">
        <v>29</v>
      </c>
      <c r="W164" s="1">
        <v>51</v>
      </c>
      <c r="X164" s="1">
        <v>171</v>
      </c>
      <c r="Y164" s="1">
        <v>99</v>
      </c>
      <c r="Z164" s="1">
        <v>26</v>
      </c>
      <c r="AA164" s="1">
        <v>123</v>
      </c>
      <c r="AB164" s="1">
        <v>84</v>
      </c>
      <c r="AC164" s="1">
        <v>132</v>
      </c>
      <c r="AD164" s="1">
        <v>126</v>
      </c>
      <c r="AE164" s="1">
        <v>79</v>
      </c>
      <c r="AF164" s="18">
        <f t="shared" si="2"/>
        <v>63.366666666666667</v>
      </c>
    </row>
    <row r="165" spans="1:32" x14ac:dyDescent="0.35">
      <c r="A165" s="1" t="s">
        <v>126</v>
      </c>
      <c r="B165" s="1">
        <v>28</v>
      </c>
      <c r="C165" s="1">
        <v>47</v>
      </c>
      <c r="D165" s="1">
        <v>36</v>
      </c>
      <c r="E165" s="1">
        <v>54</v>
      </c>
      <c r="F165" s="1">
        <v>350</v>
      </c>
      <c r="G165" s="1">
        <v>246</v>
      </c>
      <c r="H165" s="1">
        <v>125</v>
      </c>
      <c r="I165" s="1">
        <v>198</v>
      </c>
      <c r="J165" s="1">
        <v>80</v>
      </c>
      <c r="K165" s="1">
        <v>120</v>
      </c>
      <c r="L165" s="1">
        <v>80</v>
      </c>
      <c r="M165" s="1">
        <v>61</v>
      </c>
      <c r="N165" s="1">
        <v>22</v>
      </c>
      <c r="O165" s="1">
        <v>65</v>
      </c>
      <c r="P165" s="1">
        <v>56</v>
      </c>
      <c r="Q165" s="1">
        <v>187</v>
      </c>
      <c r="R165" s="1">
        <v>25</v>
      </c>
      <c r="S165" s="1">
        <v>37</v>
      </c>
      <c r="T165" s="1">
        <v>44</v>
      </c>
      <c r="U165" s="1">
        <v>47</v>
      </c>
      <c r="V165" s="1">
        <v>19</v>
      </c>
      <c r="W165" s="1">
        <v>60</v>
      </c>
      <c r="X165" s="1">
        <v>104</v>
      </c>
      <c r="Y165" s="1">
        <v>82</v>
      </c>
      <c r="Z165" s="1">
        <v>40</v>
      </c>
      <c r="AA165" s="1">
        <v>91</v>
      </c>
      <c r="AB165" s="1">
        <v>19</v>
      </c>
      <c r="AC165" s="1">
        <v>59</v>
      </c>
      <c r="AD165" s="1">
        <v>31</v>
      </c>
      <c r="AE165" s="1">
        <v>57</v>
      </c>
      <c r="AF165" s="18">
        <f t="shared" si="2"/>
        <v>82.333333333333329</v>
      </c>
    </row>
    <row r="166" spans="1:32" x14ac:dyDescent="0.35">
      <c r="A166" s="1" t="s">
        <v>127</v>
      </c>
      <c r="B166" s="1">
        <v>60</v>
      </c>
      <c r="C166" s="1">
        <v>131</v>
      </c>
      <c r="D166" s="1">
        <v>44</v>
      </c>
      <c r="E166" s="1">
        <v>12</v>
      </c>
      <c r="F166" s="1">
        <v>22</v>
      </c>
      <c r="G166" s="1">
        <v>55</v>
      </c>
      <c r="H166" s="1">
        <v>31</v>
      </c>
      <c r="I166" s="1">
        <v>35</v>
      </c>
      <c r="J166" s="1">
        <v>75</v>
      </c>
      <c r="K166" s="1">
        <v>21</v>
      </c>
      <c r="L166" s="1">
        <v>24</v>
      </c>
      <c r="M166" s="1">
        <v>96</v>
      </c>
      <c r="N166" s="1">
        <v>18</v>
      </c>
      <c r="O166" s="1">
        <v>73</v>
      </c>
      <c r="P166" s="1">
        <v>77</v>
      </c>
      <c r="Q166" s="1">
        <v>93</v>
      </c>
      <c r="R166" s="1">
        <v>17</v>
      </c>
      <c r="S166" s="1">
        <v>56</v>
      </c>
      <c r="T166" s="1">
        <v>133</v>
      </c>
      <c r="U166" s="1">
        <v>35</v>
      </c>
      <c r="V166" s="1">
        <v>102</v>
      </c>
      <c r="W166" s="1">
        <v>17</v>
      </c>
      <c r="X166" s="1">
        <v>28</v>
      </c>
      <c r="Y166" s="1">
        <v>73</v>
      </c>
      <c r="Z166" s="1">
        <v>116</v>
      </c>
      <c r="AA166" s="1">
        <v>43</v>
      </c>
      <c r="AB166" s="1">
        <v>23</v>
      </c>
      <c r="AC166" s="1">
        <v>31</v>
      </c>
      <c r="AD166" s="1">
        <v>30</v>
      </c>
      <c r="AE166" s="1">
        <v>22</v>
      </c>
      <c r="AF166" s="18">
        <f t="shared" si="2"/>
        <v>53.1</v>
      </c>
    </row>
    <row r="167" spans="1:32" x14ac:dyDescent="0.35">
      <c r="A167" s="1" t="s">
        <v>128</v>
      </c>
      <c r="B167" s="1">
        <v>15</v>
      </c>
      <c r="C167" s="1">
        <v>29</v>
      </c>
      <c r="D167" s="1">
        <v>83</v>
      </c>
      <c r="E167" s="1">
        <v>39</v>
      </c>
      <c r="F167" s="1">
        <v>42</v>
      </c>
      <c r="G167" s="1">
        <v>76</v>
      </c>
      <c r="H167" s="1">
        <v>105</v>
      </c>
      <c r="I167" s="1">
        <v>77</v>
      </c>
      <c r="J167" s="1">
        <v>24</v>
      </c>
      <c r="K167" s="1">
        <v>31</v>
      </c>
      <c r="L167" s="1">
        <v>64</v>
      </c>
      <c r="M167" s="1">
        <v>84</v>
      </c>
      <c r="N167" s="1">
        <v>83</v>
      </c>
      <c r="O167" s="1">
        <v>234</v>
      </c>
      <c r="P167" s="1">
        <v>36</v>
      </c>
      <c r="Q167" s="1">
        <v>25</v>
      </c>
      <c r="R167" s="1">
        <v>142</v>
      </c>
      <c r="S167" s="1">
        <v>21</v>
      </c>
      <c r="T167" s="1">
        <v>27</v>
      </c>
      <c r="U167" s="1">
        <v>56</v>
      </c>
      <c r="V167" s="1">
        <v>12</v>
      </c>
      <c r="W167" s="1">
        <v>94</v>
      </c>
      <c r="X167" s="1">
        <v>50</v>
      </c>
      <c r="Y167" s="1">
        <v>210</v>
      </c>
      <c r="Z167" s="1">
        <v>74</v>
      </c>
      <c r="AA167" s="1">
        <v>13</v>
      </c>
      <c r="AB167" s="1">
        <v>48</v>
      </c>
      <c r="AC167" s="1">
        <v>38</v>
      </c>
      <c r="AD167" s="1">
        <v>66</v>
      </c>
      <c r="AE167" s="1">
        <v>129</v>
      </c>
      <c r="AF167" s="18">
        <f t="shared" si="2"/>
        <v>67.566666666666663</v>
      </c>
    </row>
    <row r="168" spans="1:32" x14ac:dyDescent="0.35">
      <c r="A168" s="1" t="s">
        <v>156</v>
      </c>
      <c r="B168" s="1">
        <v>55</v>
      </c>
      <c r="C168" s="1">
        <v>117</v>
      </c>
      <c r="D168" s="1">
        <v>13</v>
      </c>
      <c r="E168" s="1">
        <v>20</v>
      </c>
      <c r="F168" s="1">
        <v>64</v>
      </c>
      <c r="G168" s="1">
        <v>133</v>
      </c>
      <c r="H168" s="1">
        <v>27</v>
      </c>
      <c r="I168" s="1">
        <v>88</v>
      </c>
      <c r="J168" s="1">
        <v>100</v>
      </c>
      <c r="K168" s="1">
        <v>64</v>
      </c>
      <c r="L168" s="1">
        <v>13</v>
      </c>
      <c r="M168" s="1">
        <v>26</v>
      </c>
      <c r="N168" s="1">
        <v>32</v>
      </c>
      <c r="O168" s="1">
        <v>42</v>
      </c>
      <c r="P168" s="1">
        <v>114</v>
      </c>
      <c r="Q168" s="1">
        <v>102</v>
      </c>
      <c r="R168" s="1">
        <v>23</v>
      </c>
      <c r="S168" s="1">
        <v>46</v>
      </c>
      <c r="T168" s="1">
        <v>108</v>
      </c>
      <c r="U168" s="1">
        <v>75</v>
      </c>
      <c r="V168" s="1">
        <v>34</v>
      </c>
      <c r="W168" s="1">
        <v>57</v>
      </c>
      <c r="X168" s="1">
        <v>116</v>
      </c>
      <c r="Y168" s="1">
        <v>14</v>
      </c>
      <c r="Z168" s="1">
        <v>113</v>
      </c>
      <c r="AA168" s="1">
        <v>31</v>
      </c>
      <c r="AB168" s="1">
        <v>78</v>
      </c>
      <c r="AC168" s="1">
        <v>25</v>
      </c>
      <c r="AD168" s="1">
        <v>58</v>
      </c>
      <c r="AE168" s="1">
        <v>79</v>
      </c>
      <c r="AF168" s="18">
        <f t="shared" si="2"/>
        <v>62.233333333333334</v>
      </c>
    </row>
    <row r="169" spans="1:32" x14ac:dyDescent="0.35">
      <c r="A169" s="1" t="s">
        <v>129</v>
      </c>
      <c r="B169" s="1">
        <v>24</v>
      </c>
      <c r="C169" s="1">
        <v>46</v>
      </c>
      <c r="D169" s="1">
        <v>15</v>
      </c>
      <c r="E169" s="1">
        <v>30</v>
      </c>
      <c r="F169" s="1">
        <v>135</v>
      </c>
      <c r="G169" s="1">
        <v>58</v>
      </c>
      <c r="H169" s="1">
        <v>18</v>
      </c>
      <c r="I169" s="1">
        <v>67</v>
      </c>
      <c r="J169" s="1">
        <v>25</v>
      </c>
      <c r="K169" s="1">
        <v>15</v>
      </c>
      <c r="L169" s="1">
        <v>84</v>
      </c>
      <c r="M169" s="1">
        <v>15</v>
      </c>
      <c r="N169" s="1">
        <v>61</v>
      </c>
      <c r="O169" s="1">
        <v>21</v>
      </c>
      <c r="P169" s="1">
        <v>30</v>
      </c>
      <c r="Q169" s="1">
        <v>18</v>
      </c>
      <c r="R169" s="1">
        <v>18</v>
      </c>
      <c r="S169" s="1">
        <v>22</v>
      </c>
      <c r="T169" s="1">
        <v>56</v>
      </c>
      <c r="U169" s="1">
        <v>31</v>
      </c>
      <c r="V169" s="1">
        <v>51</v>
      </c>
      <c r="W169" s="1">
        <v>17</v>
      </c>
      <c r="X169" s="1">
        <v>84</v>
      </c>
      <c r="Y169" s="1">
        <v>12</v>
      </c>
      <c r="Z169" s="1">
        <v>75</v>
      </c>
      <c r="AA169" s="1">
        <v>19</v>
      </c>
      <c r="AB169" s="1">
        <v>47</v>
      </c>
      <c r="AC169" s="1">
        <v>32</v>
      </c>
      <c r="AD169" s="1">
        <v>35</v>
      </c>
      <c r="AE169" s="1">
        <v>16</v>
      </c>
      <c r="AF169" s="18">
        <f t="shared" si="2"/>
        <v>39.233333333333334</v>
      </c>
    </row>
    <row r="170" spans="1:32" x14ac:dyDescent="0.35">
      <c r="A170" s="1" t="s">
        <v>130</v>
      </c>
      <c r="B170" s="1">
        <v>69</v>
      </c>
      <c r="C170" s="1">
        <v>25</v>
      </c>
      <c r="D170" s="1">
        <v>14</v>
      </c>
      <c r="E170" s="1">
        <v>153</v>
      </c>
      <c r="F170" s="1">
        <v>12</v>
      </c>
      <c r="G170" s="1">
        <v>78</v>
      </c>
      <c r="H170" s="1">
        <v>89</v>
      </c>
      <c r="I170" s="1">
        <v>23</v>
      </c>
      <c r="J170" s="1">
        <v>67</v>
      </c>
      <c r="K170" s="1">
        <v>36</v>
      </c>
      <c r="L170" s="1">
        <v>22</v>
      </c>
      <c r="M170" s="1">
        <v>56</v>
      </c>
      <c r="N170" s="1">
        <v>42</v>
      </c>
      <c r="O170" s="1">
        <v>13</v>
      </c>
      <c r="P170" s="1">
        <v>82</v>
      </c>
      <c r="Q170" s="1">
        <v>17</v>
      </c>
      <c r="R170" s="1">
        <v>56</v>
      </c>
      <c r="S170" s="1">
        <v>66</v>
      </c>
      <c r="T170" s="1">
        <v>158</v>
      </c>
      <c r="U170" s="1">
        <v>16</v>
      </c>
      <c r="V170" s="1">
        <v>36</v>
      </c>
      <c r="W170" s="1">
        <v>64</v>
      </c>
      <c r="X170" s="1">
        <v>16</v>
      </c>
      <c r="Y170" s="1">
        <v>51</v>
      </c>
      <c r="Z170" s="1">
        <v>128</v>
      </c>
      <c r="AA170" s="1">
        <v>89</v>
      </c>
      <c r="AB170" s="1">
        <v>37</v>
      </c>
      <c r="AC170" s="1">
        <v>291</v>
      </c>
      <c r="AD170" s="1">
        <v>31</v>
      </c>
      <c r="AE170" s="1">
        <v>19</v>
      </c>
      <c r="AF170" s="18">
        <f t="shared" si="2"/>
        <v>61.866666666666667</v>
      </c>
    </row>
    <row r="171" spans="1:32" x14ac:dyDescent="0.35">
      <c r="A171" s="1" t="s">
        <v>192</v>
      </c>
      <c r="B171" s="1">
        <v>74</v>
      </c>
      <c r="C171" s="1">
        <v>35</v>
      </c>
      <c r="D171" s="1">
        <v>17</v>
      </c>
      <c r="E171" s="1">
        <v>38</v>
      </c>
      <c r="F171" s="1">
        <v>48</v>
      </c>
      <c r="G171" s="1">
        <v>67</v>
      </c>
      <c r="H171" s="1">
        <v>62</v>
      </c>
      <c r="I171" s="1">
        <v>164</v>
      </c>
      <c r="J171" s="1">
        <v>33</v>
      </c>
      <c r="K171" s="1">
        <v>40</v>
      </c>
      <c r="L171" s="1">
        <v>16</v>
      </c>
      <c r="M171" s="1">
        <v>17</v>
      </c>
      <c r="N171" s="1">
        <v>57</v>
      </c>
      <c r="O171" s="1">
        <v>21</v>
      </c>
      <c r="P171" s="1">
        <v>60</v>
      </c>
      <c r="Q171" s="1">
        <v>39</v>
      </c>
      <c r="R171" s="1">
        <v>14</v>
      </c>
      <c r="S171" s="1">
        <v>72</v>
      </c>
      <c r="T171" s="1">
        <v>33</v>
      </c>
      <c r="U171" s="1">
        <v>66</v>
      </c>
      <c r="V171" s="1">
        <v>65</v>
      </c>
      <c r="W171" s="1">
        <v>60</v>
      </c>
      <c r="X171" s="1">
        <v>18</v>
      </c>
      <c r="Y171" s="1">
        <v>104</v>
      </c>
      <c r="Z171" s="1">
        <v>57</v>
      </c>
      <c r="AA171" s="1">
        <v>57</v>
      </c>
      <c r="AB171" s="1">
        <v>50</v>
      </c>
      <c r="AC171" s="1">
        <v>69</v>
      </c>
      <c r="AD171" s="1">
        <v>45</v>
      </c>
      <c r="AE171" s="1">
        <v>49</v>
      </c>
      <c r="AF171" s="18">
        <f t="shared" si="2"/>
        <v>51.56666666666667</v>
      </c>
    </row>
    <row r="172" spans="1:32" x14ac:dyDescent="0.35">
      <c r="A172" s="1" t="s">
        <v>131</v>
      </c>
      <c r="B172" s="1">
        <v>274</v>
      </c>
      <c r="C172" s="1">
        <v>66</v>
      </c>
      <c r="D172" s="1">
        <v>48</v>
      </c>
      <c r="E172" s="1">
        <v>121</v>
      </c>
      <c r="F172" s="1">
        <v>33</v>
      </c>
      <c r="G172" s="1">
        <v>53</v>
      </c>
      <c r="H172" s="1">
        <v>131</v>
      </c>
      <c r="I172" s="1">
        <v>65</v>
      </c>
      <c r="J172" s="1">
        <v>78</v>
      </c>
      <c r="K172" s="1">
        <v>44</v>
      </c>
      <c r="L172" s="1">
        <v>305</v>
      </c>
      <c r="M172" s="1">
        <v>95</v>
      </c>
      <c r="N172" s="1">
        <v>104</v>
      </c>
      <c r="O172" s="1">
        <v>139</v>
      </c>
      <c r="P172" s="1">
        <v>68</v>
      </c>
      <c r="Q172" s="1">
        <v>20</v>
      </c>
      <c r="R172" s="1">
        <v>16</v>
      </c>
      <c r="S172" s="1">
        <v>19</v>
      </c>
      <c r="T172" s="1">
        <v>41</v>
      </c>
      <c r="U172" s="1">
        <v>18</v>
      </c>
      <c r="V172" s="1">
        <v>139</v>
      </c>
      <c r="W172" s="1">
        <v>29</v>
      </c>
      <c r="X172" s="1">
        <v>38</v>
      </c>
      <c r="Y172" s="1">
        <v>24</v>
      </c>
      <c r="Z172" s="1">
        <v>129</v>
      </c>
      <c r="AA172" s="1">
        <v>142</v>
      </c>
      <c r="AB172" s="1">
        <v>12</v>
      </c>
      <c r="AC172" s="1">
        <v>48</v>
      </c>
      <c r="AD172" s="1">
        <v>12</v>
      </c>
      <c r="AE172" s="1">
        <v>31</v>
      </c>
      <c r="AF172" s="18">
        <f t="shared" si="2"/>
        <v>78.066666666666663</v>
      </c>
    </row>
    <row r="173" spans="1:32" x14ac:dyDescent="0.35">
      <c r="A173" s="1" t="s">
        <v>132</v>
      </c>
      <c r="B173" s="1">
        <v>31</v>
      </c>
      <c r="C173" s="1">
        <v>50</v>
      </c>
      <c r="D173" s="1">
        <v>12</v>
      </c>
      <c r="E173" s="1">
        <v>32</v>
      </c>
      <c r="F173" s="1">
        <v>40</v>
      </c>
      <c r="G173" s="1">
        <v>57</v>
      </c>
      <c r="H173" s="1">
        <v>20</v>
      </c>
      <c r="I173" s="1">
        <v>31</v>
      </c>
      <c r="J173" s="1">
        <v>17</v>
      </c>
      <c r="K173" s="1">
        <v>17</v>
      </c>
      <c r="L173" s="1">
        <v>52</v>
      </c>
      <c r="M173" s="1">
        <v>43</v>
      </c>
      <c r="N173" s="1">
        <v>21</v>
      </c>
      <c r="O173" s="1">
        <v>44</v>
      </c>
      <c r="P173" s="1">
        <v>20</v>
      </c>
      <c r="Q173" s="1">
        <v>16</v>
      </c>
      <c r="R173" s="1">
        <v>30</v>
      </c>
      <c r="S173" s="1">
        <v>115</v>
      </c>
      <c r="T173" s="1">
        <v>30</v>
      </c>
      <c r="U173" s="1">
        <v>28</v>
      </c>
      <c r="V173" s="1">
        <v>17</v>
      </c>
      <c r="W173" s="1">
        <v>25</v>
      </c>
      <c r="X173" s="1">
        <v>17</v>
      </c>
      <c r="Y173" s="1">
        <v>24</v>
      </c>
      <c r="Z173" s="1">
        <v>52</v>
      </c>
      <c r="AA173" s="1">
        <v>106</v>
      </c>
      <c r="AB173" s="1">
        <v>109</v>
      </c>
      <c r="AC173" s="1">
        <v>98</v>
      </c>
      <c r="AD173" s="1">
        <v>56</v>
      </c>
      <c r="AE173" s="1">
        <v>49</v>
      </c>
      <c r="AF173" s="18">
        <f t="shared" si="2"/>
        <v>41.966666666666669</v>
      </c>
    </row>
    <row r="174" spans="1:32" x14ac:dyDescent="0.35">
      <c r="A174" s="1" t="s">
        <v>133</v>
      </c>
      <c r="B174" s="1">
        <v>41</v>
      </c>
      <c r="C174" s="1">
        <v>19</v>
      </c>
      <c r="D174" s="1">
        <v>16</v>
      </c>
      <c r="E174" s="1">
        <v>88</v>
      </c>
      <c r="F174" s="1">
        <v>17</v>
      </c>
      <c r="G174" s="1">
        <v>47</v>
      </c>
      <c r="H174" s="1">
        <v>51</v>
      </c>
      <c r="I174" s="1">
        <v>44</v>
      </c>
      <c r="J174" s="1">
        <v>48</v>
      </c>
      <c r="K174" s="1">
        <v>86</v>
      </c>
      <c r="L174" s="1">
        <v>68</v>
      </c>
      <c r="M174" s="1">
        <v>14</v>
      </c>
      <c r="N174" s="1">
        <v>185</v>
      </c>
      <c r="O174" s="1">
        <v>72</v>
      </c>
      <c r="P174" s="1">
        <v>18</v>
      </c>
      <c r="Q174" s="1">
        <v>27</v>
      </c>
      <c r="R174" s="1">
        <v>46</v>
      </c>
      <c r="S174" s="1">
        <v>36</v>
      </c>
      <c r="T174" s="1">
        <v>15</v>
      </c>
      <c r="U174" s="1">
        <v>22</v>
      </c>
      <c r="V174" s="1">
        <v>35</v>
      </c>
      <c r="W174" s="1">
        <v>144</v>
      </c>
      <c r="X174" s="1">
        <v>86</v>
      </c>
      <c r="Y174" s="1">
        <v>38</v>
      </c>
      <c r="Z174" s="1">
        <v>26</v>
      </c>
      <c r="AA174" s="1">
        <v>18</v>
      </c>
      <c r="AB174" s="1">
        <v>16</v>
      </c>
      <c r="AC174" s="1">
        <v>29</v>
      </c>
      <c r="AD174" s="1">
        <v>86</v>
      </c>
      <c r="AE174" s="1">
        <v>119</v>
      </c>
      <c r="AF174" s="18">
        <f t="shared" si="2"/>
        <v>51.9</v>
      </c>
    </row>
    <row r="175" spans="1:32" x14ac:dyDescent="0.35">
      <c r="A175" s="1" t="s">
        <v>134</v>
      </c>
      <c r="B175" s="1">
        <v>46</v>
      </c>
      <c r="C175" s="1">
        <v>54</v>
      </c>
      <c r="D175" s="1">
        <v>40</v>
      </c>
      <c r="E175" s="1">
        <v>18</v>
      </c>
      <c r="F175" s="1">
        <v>80</v>
      </c>
      <c r="G175" s="1">
        <v>170</v>
      </c>
      <c r="H175" s="1">
        <v>34</v>
      </c>
      <c r="I175" s="1">
        <v>71</v>
      </c>
      <c r="J175" s="1">
        <v>107</v>
      </c>
      <c r="K175" s="1">
        <v>13</v>
      </c>
      <c r="L175" s="1">
        <v>26</v>
      </c>
      <c r="M175" s="1">
        <v>19</v>
      </c>
      <c r="N175" s="1">
        <v>47</v>
      </c>
      <c r="O175" s="1">
        <v>192</v>
      </c>
      <c r="P175" s="1">
        <v>23</v>
      </c>
      <c r="Q175" s="1">
        <v>31</v>
      </c>
      <c r="R175" s="1">
        <v>36</v>
      </c>
      <c r="S175" s="1">
        <v>31</v>
      </c>
      <c r="T175" s="1">
        <v>17</v>
      </c>
      <c r="U175" s="1">
        <v>35</v>
      </c>
      <c r="V175" s="1">
        <v>138</v>
      </c>
      <c r="W175" s="1">
        <v>277</v>
      </c>
      <c r="X175" s="1">
        <v>85</v>
      </c>
      <c r="Y175" s="1">
        <v>19</v>
      </c>
      <c r="Z175" s="1">
        <v>80</v>
      </c>
      <c r="AA175" s="1">
        <v>24</v>
      </c>
      <c r="AB175" s="1">
        <v>98</v>
      </c>
      <c r="AC175" s="1">
        <v>13</v>
      </c>
      <c r="AD175" s="1">
        <v>88</v>
      </c>
      <c r="AE175" s="1">
        <v>134</v>
      </c>
      <c r="AF175" s="18">
        <f t="shared" si="2"/>
        <v>68.2</v>
      </c>
    </row>
    <row r="176" spans="1:32" x14ac:dyDescent="0.35">
      <c r="A176" s="1" t="s">
        <v>135</v>
      </c>
      <c r="B176" s="1">
        <v>34</v>
      </c>
      <c r="C176" s="1">
        <v>154</v>
      </c>
      <c r="D176" s="1">
        <v>13</v>
      </c>
      <c r="E176" s="1">
        <v>16</v>
      </c>
      <c r="F176" s="1">
        <v>96</v>
      </c>
      <c r="G176" s="1">
        <v>16</v>
      </c>
      <c r="H176" s="1">
        <v>15</v>
      </c>
      <c r="I176" s="1">
        <v>79</v>
      </c>
      <c r="J176" s="1">
        <v>79</v>
      </c>
      <c r="K176" s="1">
        <v>80</v>
      </c>
      <c r="L176" s="1">
        <v>27</v>
      </c>
      <c r="M176" s="1">
        <v>31</v>
      </c>
      <c r="N176" s="1">
        <v>32</v>
      </c>
      <c r="O176" s="1">
        <v>18</v>
      </c>
      <c r="P176" s="1">
        <v>47</v>
      </c>
      <c r="Q176" s="1">
        <v>42</v>
      </c>
      <c r="R176" s="1">
        <v>68</v>
      </c>
      <c r="S176" s="1">
        <v>164</v>
      </c>
      <c r="T176" s="1">
        <v>159</v>
      </c>
      <c r="U176" s="1">
        <v>18</v>
      </c>
      <c r="V176" s="1">
        <v>30</v>
      </c>
      <c r="W176" s="1">
        <v>75</v>
      </c>
      <c r="X176" s="1">
        <v>43</v>
      </c>
      <c r="Y176" s="1">
        <v>29</v>
      </c>
      <c r="Z176" s="1">
        <v>16</v>
      </c>
      <c r="AA176" s="1">
        <v>24</v>
      </c>
      <c r="AB176" s="1">
        <v>106</v>
      </c>
      <c r="AC176" s="1">
        <v>88</v>
      </c>
      <c r="AD176" s="1">
        <v>14</v>
      </c>
      <c r="AE176" s="1">
        <v>68</v>
      </c>
      <c r="AF176" s="18">
        <f t="shared" si="2"/>
        <v>56.033333333333331</v>
      </c>
    </row>
    <row r="177" spans="1:32" x14ac:dyDescent="0.35">
      <c r="A177" s="1" t="s">
        <v>162</v>
      </c>
      <c r="B177" s="1">
        <v>33</v>
      </c>
      <c r="C177" s="1">
        <v>80</v>
      </c>
      <c r="D177" s="1">
        <v>14</v>
      </c>
      <c r="E177" s="1">
        <v>82</v>
      </c>
      <c r="F177" s="1">
        <v>30</v>
      </c>
      <c r="G177" s="1">
        <v>160</v>
      </c>
      <c r="H177" s="1">
        <v>177</v>
      </c>
      <c r="I177" s="1">
        <v>35</v>
      </c>
      <c r="J177" s="1">
        <v>96</v>
      </c>
      <c r="K177" s="1">
        <v>34</v>
      </c>
      <c r="L177" s="1">
        <v>103</v>
      </c>
      <c r="M177" s="1">
        <v>21</v>
      </c>
      <c r="N177" s="1">
        <v>141</v>
      </c>
      <c r="O177" s="1">
        <v>19</v>
      </c>
      <c r="P177" s="1">
        <v>41</v>
      </c>
      <c r="Q177" s="1">
        <v>91</v>
      </c>
      <c r="R177" s="1">
        <v>71</v>
      </c>
      <c r="S177" s="1">
        <v>19</v>
      </c>
      <c r="T177" s="1">
        <v>47</v>
      </c>
      <c r="U177" s="1">
        <v>139</v>
      </c>
      <c r="V177" s="1">
        <v>12</v>
      </c>
      <c r="W177" s="1">
        <v>242</v>
      </c>
      <c r="X177" s="1">
        <v>37</v>
      </c>
      <c r="Y177" s="1">
        <v>13</v>
      </c>
      <c r="Z177" s="1">
        <v>32</v>
      </c>
      <c r="AA177" s="1">
        <v>13</v>
      </c>
      <c r="AB177" s="1">
        <v>79</v>
      </c>
      <c r="AC177" s="1">
        <v>19</v>
      </c>
      <c r="AD177" s="1">
        <v>33</v>
      </c>
      <c r="AE177" s="1">
        <v>154</v>
      </c>
      <c r="AF177" s="18">
        <f t="shared" si="2"/>
        <v>68.900000000000006</v>
      </c>
    </row>
    <row r="178" spans="1:32" x14ac:dyDescent="0.35">
      <c r="A178" s="1" t="s">
        <v>136</v>
      </c>
      <c r="B178" s="1">
        <v>44</v>
      </c>
      <c r="C178" s="1">
        <v>22</v>
      </c>
      <c r="D178" s="1">
        <v>25</v>
      </c>
      <c r="E178" s="1">
        <v>78</v>
      </c>
      <c r="F178" s="1">
        <v>109</v>
      </c>
      <c r="G178" s="1">
        <v>186</v>
      </c>
      <c r="H178" s="1">
        <v>19</v>
      </c>
      <c r="I178" s="1">
        <v>45</v>
      </c>
      <c r="J178" s="1">
        <v>34</v>
      </c>
      <c r="K178" s="1">
        <v>71</v>
      </c>
      <c r="L178" s="1">
        <v>26</v>
      </c>
      <c r="M178" s="1">
        <v>33</v>
      </c>
      <c r="N178" s="1">
        <v>18</v>
      </c>
      <c r="O178" s="1">
        <v>63</v>
      </c>
      <c r="P178" s="1">
        <v>205</v>
      </c>
      <c r="Q178" s="1">
        <v>137</v>
      </c>
      <c r="R178" s="1">
        <v>40</v>
      </c>
      <c r="S178" s="1">
        <v>31</v>
      </c>
      <c r="T178" s="1">
        <v>44</v>
      </c>
      <c r="U178" s="1">
        <v>66</v>
      </c>
      <c r="V178" s="1">
        <v>98</v>
      </c>
      <c r="W178" s="1">
        <v>190</v>
      </c>
      <c r="X178" s="1">
        <v>79</v>
      </c>
      <c r="Y178" s="1">
        <v>67</v>
      </c>
      <c r="Z178" s="1">
        <v>24</v>
      </c>
      <c r="AA178" s="1">
        <v>22</v>
      </c>
      <c r="AB178" s="1">
        <v>22</v>
      </c>
      <c r="AC178" s="1">
        <v>142</v>
      </c>
      <c r="AD178" s="1">
        <v>54</v>
      </c>
      <c r="AE178" s="1">
        <v>17</v>
      </c>
      <c r="AF178" s="18">
        <f t="shared" si="2"/>
        <v>67.033333333333331</v>
      </c>
    </row>
    <row r="179" spans="1:32" x14ac:dyDescent="0.35">
      <c r="A179" s="1" t="s">
        <v>142</v>
      </c>
      <c r="B179" s="1">
        <v>12</v>
      </c>
      <c r="C179" s="1">
        <v>19</v>
      </c>
      <c r="D179" s="1">
        <v>36</v>
      </c>
      <c r="E179" s="1">
        <v>12</v>
      </c>
      <c r="F179" s="1">
        <v>13</v>
      </c>
      <c r="G179" s="1">
        <v>19</v>
      </c>
      <c r="H179" s="1">
        <v>33</v>
      </c>
      <c r="I179" s="1">
        <v>23</v>
      </c>
      <c r="J179" s="1">
        <v>24</v>
      </c>
      <c r="K179" s="1">
        <v>39</v>
      </c>
      <c r="L179" s="1">
        <v>43</v>
      </c>
      <c r="M179" s="1">
        <v>16</v>
      </c>
      <c r="N179" s="1">
        <v>28</v>
      </c>
      <c r="O179" s="1">
        <v>15</v>
      </c>
      <c r="P179" s="1">
        <v>12</v>
      </c>
      <c r="Q179" s="1">
        <v>21</v>
      </c>
      <c r="R179" s="1">
        <v>27</v>
      </c>
      <c r="S179" s="1">
        <v>77</v>
      </c>
      <c r="T179" s="1">
        <v>92</v>
      </c>
      <c r="U179" s="1">
        <v>21</v>
      </c>
      <c r="V179" s="1">
        <v>22</v>
      </c>
      <c r="W179" s="1">
        <v>40</v>
      </c>
      <c r="X179" s="1">
        <v>51</v>
      </c>
      <c r="Y179" s="1">
        <v>26</v>
      </c>
      <c r="Z179" s="1">
        <v>45</v>
      </c>
      <c r="AA179" s="1">
        <v>31</v>
      </c>
      <c r="AB179" s="1">
        <v>23</v>
      </c>
      <c r="AC179" s="1">
        <v>32</v>
      </c>
      <c r="AD179" s="1">
        <v>47</v>
      </c>
      <c r="AE179" s="1">
        <v>64</v>
      </c>
      <c r="AF179" s="18">
        <f t="shared" si="2"/>
        <v>32.1</v>
      </c>
    </row>
    <row r="180" spans="1:32" x14ac:dyDescent="0.35">
      <c r="A180" s="1" t="s">
        <v>137</v>
      </c>
      <c r="B180" s="1">
        <v>29</v>
      </c>
      <c r="C180" s="1">
        <v>107</v>
      </c>
      <c r="D180" s="1">
        <v>12</v>
      </c>
      <c r="E180" s="1">
        <v>123</v>
      </c>
      <c r="F180" s="1">
        <v>76</v>
      </c>
      <c r="G180" s="1">
        <v>72</v>
      </c>
      <c r="H180" s="1">
        <v>26</v>
      </c>
      <c r="I180" s="1">
        <v>47</v>
      </c>
      <c r="J180" s="1">
        <v>39</v>
      </c>
      <c r="K180" s="1">
        <v>31</v>
      </c>
      <c r="L180" s="1">
        <v>16</v>
      </c>
      <c r="M180" s="1">
        <v>21</v>
      </c>
      <c r="N180" s="1">
        <v>23</v>
      </c>
      <c r="O180" s="1">
        <v>16</v>
      </c>
      <c r="P180" s="1">
        <v>71</v>
      </c>
      <c r="Q180" s="1">
        <v>98</v>
      </c>
      <c r="R180" s="1">
        <v>74</v>
      </c>
      <c r="S180" s="1">
        <v>55</v>
      </c>
      <c r="T180" s="1">
        <v>22</v>
      </c>
      <c r="U180" s="1">
        <v>71</v>
      </c>
      <c r="V180" s="1">
        <v>34</v>
      </c>
      <c r="W180" s="1">
        <v>55</v>
      </c>
      <c r="X180" s="1">
        <v>31</v>
      </c>
      <c r="Y180" s="1">
        <v>165</v>
      </c>
      <c r="Z180" s="1">
        <v>32</v>
      </c>
      <c r="AA180" s="1">
        <v>93</v>
      </c>
      <c r="AB180" s="1">
        <v>70</v>
      </c>
      <c r="AC180" s="1">
        <v>85</v>
      </c>
      <c r="AD180" s="1">
        <v>27</v>
      </c>
      <c r="AE180" s="1">
        <v>79</v>
      </c>
      <c r="AF180" s="18">
        <f t="shared" si="2"/>
        <v>56.666666666666664</v>
      </c>
    </row>
    <row r="181" spans="1:32" x14ac:dyDescent="0.35">
      <c r="A181" s="1" t="s">
        <v>138</v>
      </c>
      <c r="B181" s="1">
        <v>42</v>
      </c>
      <c r="C181" s="1">
        <v>14</v>
      </c>
      <c r="D181" s="1">
        <v>61</v>
      </c>
      <c r="E181" s="1">
        <v>63</v>
      </c>
      <c r="F181" s="1">
        <v>51</v>
      </c>
      <c r="G181" s="1">
        <v>94</v>
      </c>
      <c r="H181" s="1">
        <v>89</v>
      </c>
      <c r="I181" s="1">
        <v>24</v>
      </c>
      <c r="J181" s="1">
        <v>18</v>
      </c>
      <c r="K181" s="1">
        <v>72</v>
      </c>
      <c r="L181" s="1">
        <v>79</v>
      </c>
      <c r="M181" s="1">
        <v>28</v>
      </c>
      <c r="N181" s="1">
        <v>15</v>
      </c>
      <c r="O181" s="1">
        <v>25</v>
      </c>
      <c r="P181" s="1">
        <v>56</v>
      </c>
      <c r="Q181" s="1">
        <v>13</v>
      </c>
      <c r="R181" s="1">
        <v>70</v>
      </c>
      <c r="S181" s="1">
        <v>86</v>
      </c>
      <c r="T181" s="1">
        <v>57</v>
      </c>
      <c r="U181" s="1">
        <v>20</v>
      </c>
      <c r="V181" s="1">
        <v>19</v>
      </c>
      <c r="W181" s="1">
        <v>20</v>
      </c>
      <c r="X181" s="1">
        <v>32</v>
      </c>
      <c r="Y181" s="1">
        <v>35</v>
      </c>
      <c r="Z181" s="1">
        <v>14</v>
      </c>
      <c r="AA181" s="1">
        <v>90</v>
      </c>
      <c r="AB181" s="1">
        <v>35</v>
      </c>
      <c r="AC181" s="1">
        <v>257</v>
      </c>
      <c r="AD181" s="1">
        <v>40</v>
      </c>
      <c r="AE181" s="1">
        <v>62</v>
      </c>
      <c r="AF181" s="18">
        <f t="shared" si="2"/>
        <v>52.7</v>
      </c>
    </row>
    <row r="182" spans="1:32" x14ac:dyDescent="0.35">
      <c r="A182" s="1" t="s">
        <v>139</v>
      </c>
      <c r="B182" s="1">
        <v>68</v>
      </c>
      <c r="C182" s="1">
        <v>15</v>
      </c>
      <c r="D182" s="1">
        <v>26</v>
      </c>
      <c r="E182" s="1">
        <v>24</v>
      </c>
      <c r="F182" s="1">
        <v>110</v>
      </c>
      <c r="G182" s="1">
        <v>74</v>
      </c>
      <c r="H182" s="1">
        <v>54</v>
      </c>
      <c r="I182" s="1">
        <v>48</v>
      </c>
      <c r="J182" s="1">
        <v>21</v>
      </c>
      <c r="K182" s="1">
        <v>17</v>
      </c>
      <c r="L182" s="1">
        <v>46</v>
      </c>
      <c r="M182" s="1">
        <v>47</v>
      </c>
      <c r="N182" s="1">
        <v>73</v>
      </c>
      <c r="O182" s="1">
        <v>19</v>
      </c>
      <c r="P182" s="1">
        <v>117</v>
      </c>
      <c r="Q182" s="1">
        <v>37</v>
      </c>
      <c r="R182" s="1">
        <v>40</v>
      </c>
      <c r="S182" s="1">
        <v>21</v>
      </c>
      <c r="T182" s="1">
        <v>13</v>
      </c>
      <c r="U182" s="1">
        <v>20</v>
      </c>
      <c r="V182" s="1">
        <v>53</v>
      </c>
      <c r="W182" s="1">
        <v>101</v>
      </c>
      <c r="X182" s="1">
        <v>31</v>
      </c>
      <c r="Y182" s="1">
        <v>12</v>
      </c>
      <c r="Z182" s="1">
        <v>33</v>
      </c>
      <c r="AA182" s="1">
        <v>156</v>
      </c>
      <c r="AB182" s="1">
        <v>31</v>
      </c>
      <c r="AC182" s="1">
        <v>35</v>
      </c>
      <c r="AD182" s="1">
        <v>13</v>
      </c>
      <c r="AE182" s="1">
        <v>139</v>
      </c>
      <c r="AF182" s="18">
        <f t="shared" si="2"/>
        <v>49.8</v>
      </c>
    </row>
    <row r="183" spans="1:32" x14ac:dyDescent="0.35">
      <c r="A183" s="1" t="s">
        <v>140</v>
      </c>
      <c r="B183" s="1">
        <v>22</v>
      </c>
      <c r="C183" s="1">
        <v>15</v>
      </c>
      <c r="D183" s="1">
        <v>15</v>
      </c>
      <c r="E183" s="1">
        <v>91</v>
      </c>
      <c r="F183" s="1">
        <v>43</v>
      </c>
      <c r="G183" s="1">
        <v>30</v>
      </c>
      <c r="H183" s="1">
        <v>29</v>
      </c>
      <c r="I183" s="1">
        <v>26</v>
      </c>
      <c r="J183" s="1">
        <v>13</v>
      </c>
      <c r="K183" s="1">
        <v>67</v>
      </c>
      <c r="L183" s="1">
        <v>110</v>
      </c>
      <c r="M183" s="1">
        <v>153</v>
      </c>
      <c r="N183" s="1">
        <v>131</v>
      </c>
      <c r="O183" s="1">
        <v>41</v>
      </c>
      <c r="P183" s="1">
        <v>122</v>
      </c>
      <c r="Q183" s="1">
        <v>59</v>
      </c>
      <c r="R183" s="1">
        <v>44</v>
      </c>
      <c r="S183" s="1">
        <v>91</v>
      </c>
      <c r="T183" s="1">
        <v>50</v>
      </c>
      <c r="U183" s="1">
        <v>31</v>
      </c>
      <c r="V183" s="1">
        <v>16</v>
      </c>
      <c r="W183" s="1">
        <v>119</v>
      </c>
      <c r="X183" s="1">
        <v>46</v>
      </c>
      <c r="Y183" s="1">
        <v>142</v>
      </c>
      <c r="Z183" s="1">
        <v>25</v>
      </c>
      <c r="AA183" s="1">
        <v>27</v>
      </c>
      <c r="AB183" s="1">
        <v>110</v>
      </c>
      <c r="AC183" s="1">
        <v>75</v>
      </c>
      <c r="AD183" s="1">
        <v>62</v>
      </c>
      <c r="AE183" s="1">
        <v>18</v>
      </c>
      <c r="AF183" s="18">
        <f t="shared" si="2"/>
        <v>60.766666666666666</v>
      </c>
    </row>
    <row r="184" spans="1:32" x14ac:dyDescent="0.35">
      <c r="A184" s="1" t="s">
        <v>143</v>
      </c>
      <c r="B184" s="1">
        <v>15</v>
      </c>
      <c r="C184" s="1">
        <v>29</v>
      </c>
      <c r="D184" s="1">
        <v>98</v>
      </c>
      <c r="E184" s="1">
        <v>33</v>
      </c>
      <c r="F184" s="1">
        <v>62</v>
      </c>
      <c r="G184" s="1">
        <v>23</v>
      </c>
      <c r="H184" s="1">
        <v>41</v>
      </c>
      <c r="I184" s="1">
        <v>213</v>
      </c>
      <c r="J184" s="1">
        <v>123</v>
      </c>
      <c r="K184" s="1">
        <v>29</v>
      </c>
      <c r="L184" s="1">
        <v>39</v>
      </c>
      <c r="M184" s="1">
        <v>19</v>
      </c>
      <c r="N184" s="1">
        <v>193</v>
      </c>
      <c r="O184" s="1">
        <v>38</v>
      </c>
      <c r="P184" s="1">
        <v>31</v>
      </c>
      <c r="Q184" s="1">
        <v>60</v>
      </c>
      <c r="R184" s="1">
        <v>50</v>
      </c>
      <c r="S184" s="1">
        <v>59</v>
      </c>
      <c r="T184" s="1">
        <v>30</v>
      </c>
      <c r="U184" s="1">
        <v>13</v>
      </c>
      <c r="V184" s="1">
        <v>91</v>
      </c>
      <c r="W184" s="1">
        <v>42</v>
      </c>
      <c r="X184" s="1">
        <v>40</v>
      </c>
      <c r="Y184" s="1">
        <v>13</v>
      </c>
      <c r="Z184" s="1">
        <v>25</v>
      </c>
      <c r="AA184" s="1">
        <v>89</v>
      </c>
      <c r="AB184" s="1">
        <v>53</v>
      </c>
      <c r="AC184" s="1">
        <v>33</v>
      </c>
      <c r="AD184" s="1">
        <v>42</v>
      </c>
      <c r="AE184" s="1">
        <v>24</v>
      </c>
      <c r="AF184" s="18">
        <f t="shared" si="2"/>
        <v>55</v>
      </c>
    </row>
    <row r="185" spans="1:32" x14ac:dyDescent="0.35">
      <c r="A185" s="1" t="s">
        <v>144</v>
      </c>
      <c r="B185" s="1">
        <v>23</v>
      </c>
      <c r="C185" s="1">
        <v>77</v>
      </c>
      <c r="D185" s="1">
        <v>71</v>
      </c>
      <c r="E185" s="1">
        <v>40</v>
      </c>
      <c r="F185" s="1">
        <v>48</v>
      </c>
      <c r="G185" s="1">
        <v>28</v>
      </c>
      <c r="H185" s="1">
        <v>74</v>
      </c>
      <c r="I185" s="1">
        <v>18</v>
      </c>
      <c r="J185" s="1">
        <v>81</v>
      </c>
      <c r="K185" s="1">
        <v>27</v>
      </c>
      <c r="L185" s="1">
        <v>20</v>
      </c>
      <c r="M185" s="1">
        <v>32</v>
      </c>
      <c r="N185" s="1">
        <v>66</v>
      </c>
      <c r="O185" s="1">
        <v>59</v>
      </c>
      <c r="P185" s="1">
        <v>88</v>
      </c>
      <c r="Q185" s="1">
        <v>41</v>
      </c>
      <c r="R185" s="1">
        <v>140</v>
      </c>
      <c r="S185" s="1">
        <v>46</v>
      </c>
      <c r="T185" s="1">
        <v>57</v>
      </c>
      <c r="U185" s="1">
        <v>38</v>
      </c>
      <c r="V185" s="1">
        <v>46</v>
      </c>
      <c r="W185" s="1">
        <v>95</v>
      </c>
      <c r="X185" s="1">
        <v>120</v>
      </c>
      <c r="Y185" s="1">
        <v>42</v>
      </c>
      <c r="Z185" s="1">
        <v>31</v>
      </c>
      <c r="AA185" s="1">
        <v>141</v>
      </c>
      <c r="AB185" s="1">
        <v>82</v>
      </c>
      <c r="AC185" s="1">
        <v>81</v>
      </c>
      <c r="AD185" s="1">
        <v>21</v>
      </c>
      <c r="AE185" s="1">
        <v>45</v>
      </c>
      <c r="AF185" s="18">
        <f t="shared" si="2"/>
        <v>59.266666666666666</v>
      </c>
    </row>
    <row r="186" spans="1:32" x14ac:dyDescent="0.35">
      <c r="A186" s="1" t="s">
        <v>145</v>
      </c>
      <c r="B186" s="1">
        <v>152</v>
      </c>
      <c r="C186" s="1">
        <v>14</v>
      </c>
      <c r="D186" s="1">
        <v>159</v>
      </c>
      <c r="E186" s="1">
        <v>31</v>
      </c>
      <c r="F186" s="1">
        <v>33</v>
      </c>
      <c r="G186" s="1">
        <v>38</v>
      </c>
      <c r="H186" s="1">
        <v>74</v>
      </c>
      <c r="I186" s="1">
        <v>45</v>
      </c>
      <c r="J186" s="1">
        <v>67</v>
      </c>
      <c r="K186" s="1">
        <v>27</v>
      </c>
      <c r="L186" s="1">
        <v>237</v>
      </c>
      <c r="M186" s="1">
        <v>25</v>
      </c>
      <c r="N186" s="1">
        <v>84</v>
      </c>
      <c r="O186" s="1">
        <v>58</v>
      </c>
      <c r="P186" s="1">
        <v>30</v>
      </c>
      <c r="Q186" s="1">
        <v>17</v>
      </c>
      <c r="R186" s="1">
        <v>34</v>
      </c>
      <c r="S186" s="1">
        <v>53</v>
      </c>
      <c r="T186" s="1">
        <v>99</v>
      </c>
      <c r="U186" s="1">
        <v>52</v>
      </c>
      <c r="V186" s="1">
        <v>34</v>
      </c>
      <c r="W186" s="1">
        <v>39</v>
      </c>
      <c r="X186" s="1">
        <v>27</v>
      </c>
      <c r="Y186" s="1">
        <v>59</v>
      </c>
      <c r="Z186" s="1">
        <v>18</v>
      </c>
      <c r="AA186" s="1">
        <v>75</v>
      </c>
      <c r="AB186" s="1">
        <v>22</v>
      </c>
      <c r="AC186" s="1">
        <v>200</v>
      </c>
      <c r="AD186" s="1">
        <v>83</v>
      </c>
      <c r="AE186" s="1">
        <v>27</v>
      </c>
      <c r="AF186" s="18">
        <f t="shared" si="2"/>
        <v>63.766666666666666</v>
      </c>
    </row>
    <row r="187" spans="1:32" x14ac:dyDescent="0.35">
      <c r="A187" s="1" t="s">
        <v>146</v>
      </c>
      <c r="B187" s="1">
        <v>91</v>
      </c>
      <c r="C187" s="1">
        <v>19</v>
      </c>
      <c r="D187" s="1">
        <v>24</v>
      </c>
      <c r="E187" s="1">
        <v>13</v>
      </c>
      <c r="F187" s="1">
        <v>267</v>
      </c>
      <c r="G187" s="1">
        <v>112</v>
      </c>
      <c r="H187" s="1">
        <v>74</v>
      </c>
      <c r="I187" s="1">
        <v>67</v>
      </c>
      <c r="J187" s="1">
        <v>16</v>
      </c>
      <c r="K187" s="1">
        <v>56</v>
      </c>
      <c r="L187" s="1">
        <v>14</v>
      </c>
      <c r="M187" s="1">
        <v>78</v>
      </c>
      <c r="N187" s="1">
        <v>18</v>
      </c>
      <c r="O187" s="1">
        <v>21</v>
      </c>
      <c r="P187" s="1">
        <v>12</v>
      </c>
      <c r="Q187" s="1">
        <v>72</v>
      </c>
      <c r="R187" s="1">
        <v>58</v>
      </c>
      <c r="S187" s="1">
        <v>58</v>
      </c>
      <c r="T187" s="1">
        <v>84</v>
      </c>
      <c r="U187" s="1">
        <v>17</v>
      </c>
      <c r="V187" s="1">
        <v>43</v>
      </c>
      <c r="W187" s="1">
        <v>26</v>
      </c>
      <c r="X187" s="1">
        <v>97</v>
      </c>
      <c r="Y187" s="1">
        <v>69</v>
      </c>
      <c r="Z187" s="1">
        <v>17</v>
      </c>
      <c r="AA187" s="1">
        <v>69</v>
      </c>
      <c r="AB187" s="1">
        <v>23</v>
      </c>
      <c r="AC187" s="1">
        <v>66</v>
      </c>
      <c r="AD187" s="1">
        <v>23</v>
      </c>
      <c r="AE187" s="1">
        <v>40</v>
      </c>
      <c r="AF187" s="18">
        <f t="shared" si="2"/>
        <v>54.8</v>
      </c>
    </row>
    <row r="188" spans="1:32" x14ac:dyDescent="0.35">
      <c r="A188" s="1" t="s">
        <v>147</v>
      </c>
      <c r="B188" s="1">
        <v>27</v>
      </c>
      <c r="C188" s="1">
        <v>51</v>
      </c>
      <c r="D188" s="1">
        <v>57</v>
      </c>
      <c r="E188" s="1">
        <v>14</v>
      </c>
      <c r="F188" s="1">
        <v>24</v>
      </c>
      <c r="G188" s="1">
        <v>47</v>
      </c>
      <c r="H188" s="1">
        <v>12</v>
      </c>
      <c r="I188" s="1">
        <v>77</v>
      </c>
      <c r="J188" s="1">
        <v>17</v>
      </c>
      <c r="K188" s="1">
        <v>52</v>
      </c>
      <c r="L188" s="1">
        <v>35</v>
      </c>
      <c r="M188" s="1">
        <v>17</v>
      </c>
      <c r="N188" s="1">
        <v>40</v>
      </c>
      <c r="O188" s="1">
        <v>38</v>
      </c>
      <c r="P188" s="1">
        <v>91</v>
      </c>
      <c r="Q188" s="1">
        <v>63</v>
      </c>
      <c r="R188" s="1">
        <v>77</v>
      </c>
      <c r="S188" s="1">
        <v>25</v>
      </c>
      <c r="T188" s="1">
        <v>70</v>
      </c>
      <c r="U188" s="1">
        <v>14</v>
      </c>
      <c r="V188" s="1">
        <v>13</v>
      </c>
      <c r="W188" s="1">
        <v>28</v>
      </c>
      <c r="X188" s="1">
        <v>65</v>
      </c>
      <c r="Y188" s="1">
        <v>20</v>
      </c>
      <c r="Z188" s="1">
        <v>17</v>
      </c>
      <c r="AA188" s="1">
        <v>25</v>
      </c>
      <c r="AB188" s="1">
        <v>31</v>
      </c>
      <c r="AC188" s="1">
        <v>38</v>
      </c>
      <c r="AD188" s="1">
        <v>16</v>
      </c>
      <c r="AE188" s="1">
        <v>39</v>
      </c>
      <c r="AF188" s="18">
        <f t="shared" si="2"/>
        <v>38</v>
      </c>
    </row>
    <row r="189" spans="1:32" x14ac:dyDescent="0.35">
      <c r="A189" s="1" t="s">
        <v>148</v>
      </c>
      <c r="B189" s="1">
        <v>24</v>
      </c>
      <c r="C189" s="1">
        <v>157</v>
      </c>
      <c r="D189" s="1">
        <v>37</v>
      </c>
      <c r="E189" s="1">
        <v>13</v>
      </c>
      <c r="F189" s="1">
        <v>126</v>
      </c>
      <c r="G189" s="1">
        <v>16</v>
      </c>
      <c r="H189" s="1">
        <v>62</v>
      </c>
      <c r="I189" s="1">
        <v>80</v>
      </c>
      <c r="J189" s="1">
        <v>25</v>
      </c>
      <c r="K189" s="1">
        <v>98</v>
      </c>
      <c r="L189" s="1">
        <v>62</v>
      </c>
      <c r="M189" s="1">
        <v>17</v>
      </c>
      <c r="N189" s="1">
        <v>118</v>
      </c>
      <c r="O189" s="1">
        <v>110</v>
      </c>
      <c r="P189" s="1">
        <v>47</v>
      </c>
      <c r="Q189" s="1">
        <v>383</v>
      </c>
      <c r="R189" s="1">
        <v>145</v>
      </c>
      <c r="S189" s="1">
        <v>67</v>
      </c>
      <c r="T189" s="1">
        <v>49</v>
      </c>
      <c r="U189" s="1">
        <v>26</v>
      </c>
      <c r="V189" s="1">
        <v>68</v>
      </c>
      <c r="W189" s="1">
        <v>60</v>
      </c>
      <c r="X189" s="1">
        <v>20</v>
      </c>
      <c r="Y189" s="1">
        <v>118</v>
      </c>
      <c r="Z189" s="1">
        <v>171</v>
      </c>
      <c r="AA189" s="1">
        <v>88</v>
      </c>
      <c r="AB189" s="1">
        <v>23</v>
      </c>
      <c r="AC189" s="1">
        <v>79</v>
      </c>
      <c r="AD189" s="1">
        <v>56</v>
      </c>
      <c r="AE189" s="1">
        <v>88</v>
      </c>
      <c r="AF189" s="18">
        <f t="shared" si="2"/>
        <v>81.099999999999994</v>
      </c>
    </row>
    <row r="190" spans="1:32" x14ac:dyDescent="0.35">
      <c r="A190" s="1" t="s">
        <v>149</v>
      </c>
      <c r="B190" s="1">
        <v>33</v>
      </c>
      <c r="C190" s="1">
        <v>59</v>
      </c>
      <c r="D190" s="1">
        <v>77</v>
      </c>
      <c r="E190" s="1">
        <v>99</v>
      </c>
      <c r="F190" s="1">
        <v>21</v>
      </c>
      <c r="G190" s="1">
        <v>50</v>
      </c>
      <c r="H190" s="1">
        <v>41</v>
      </c>
      <c r="I190" s="1">
        <v>84</v>
      </c>
      <c r="J190" s="1">
        <v>61</v>
      </c>
      <c r="K190" s="1">
        <v>14</v>
      </c>
      <c r="L190" s="1">
        <v>45</v>
      </c>
      <c r="M190" s="1">
        <v>36</v>
      </c>
      <c r="N190" s="1">
        <v>82</v>
      </c>
      <c r="O190" s="1">
        <v>18</v>
      </c>
      <c r="P190" s="1">
        <v>36</v>
      </c>
      <c r="Q190" s="1">
        <v>24</v>
      </c>
      <c r="R190" s="1">
        <v>29</v>
      </c>
      <c r="S190" s="1">
        <v>58</v>
      </c>
      <c r="T190" s="1">
        <v>25</v>
      </c>
      <c r="U190" s="1">
        <v>17</v>
      </c>
      <c r="V190" s="1">
        <v>148</v>
      </c>
      <c r="W190" s="1">
        <v>70</v>
      </c>
      <c r="X190" s="1">
        <v>25</v>
      </c>
      <c r="Y190" s="1">
        <v>16</v>
      </c>
      <c r="Z190" s="1">
        <v>103</v>
      </c>
      <c r="AA190" s="1">
        <v>107</v>
      </c>
      <c r="AB190" s="1">
        <v>68</v>
      </c>
      <c r="AC190" s="1">
        <v>67</v>
      </c>
      <c r="AD190" s="1">
        <v>14</v>
      </c>
      <c r="AE190" s="1">
        <v>96</v>
      </c>
      <c r="AF190" s="18">
        <f t="shared" si="2"/>
        <v>54.1</v>
      </c>
    </row>
    <row r="191" spans="1:32" x14ac:dyDescent="0.35">
      <c r="A191" s="1" t="s">
        <v>150</v>
      </c>
      <c r="B191" s="1">
        <v>19</v>
      </c>
      <c r="C191" s="1">
        <v>23</v>
      </c>
      <c r="D191" s="1">
        <v>42</v>
      </c>
      <c r="E191" s="1">
        <v>30</v>
      </c>
      <c r="F191" s="1">
        <v>70</v>
      </c>
      <c r="G191" s="1">
        <v>49</v>
      </c>
      <c r="H191" s="1">
        <v>19</v>
      </c>
      <c r="I191" s="1">
        <v>58</v>
      </c>
      <c r="J191" s="1">
        <v>46</v>
      </c>
      <c r="K191" s="1">
        <v>33</v>
      </c>
      <c r="L191" s="1">
        <v>50</v>
      </c>
      <c r="M191" s="1">
        <v>19</v>
      </c>
      <c r="N191" s="1">
        <v>14</v>
      </c>
      <c r="O191" s="1">
        <v>67</v>
      </c>
      <c r="P191" s="1">
        <v>28</v>
      </c>
      <c r="Q191" s="1">
        <v>12</v>
      </c>
      <c r="R191" s="1">
        <v>17</v>
      </c>
      <c r="S191" s="1">
        <v>60</v>
      </c>
      <c r="T191" s="1">
        <v>20</v>
      </c>
      <c r="U191" s="1">
        <v>43</v>
      </c>
      <c r="V191" s="1">
        <v>38</v>
      </c>
      <c r="W191" s="1">
        <v>212</v>
      </c>
      <c r="X191" s="1">
        <v>20</v>
      </c>
      <c r="Y191" s="1">
        <v>14</v>
      </c>
      <c r="Z191" s="1">
        <v>16</v>
      </c>
      <c r="AA191" s="1">
        <v>80</v>
      </c>
      <c r="AB191" s="1">
        <v>16</v>
      </c>
      <c r="AC191" s="1">
        <v>38</v>
      </c>
      <c r="AD191" s="1">
        <v>29</v>
      </c>
      <c r="AE191" s="1">
        <v>19</v>
      </c>
      <c r="AF191" s="18">
        <f t="shared" si="2"/>
        <v>40.033333333333331</v>
      </c>
    </row>
    <row r="192" spans="1:32" x14ac:dyDescent="0.35">
      <c r="A192" s="1" t="s">
        <v>159</v>
      </c>
      <c r="B192" s="1">
        <v>12</v>
      </c>
      <c r="C192" s="1">
        <v>56</v>
      </c>
      <c r="D192" s="1">
        <v>23</v>
      </c>
      <c r="E192" s="1">
        <v>47</v>
      </c>
      <c r="F192" s="1">
        <v>16</v>
      </c>
      <c r="G192" s="1">
        <v>31</v>
      </c>
      <c r="H192" s="1">
        <v>80</v>
      </c>
      <c r="I192" s="1">
        <v>24</v>
      </c>
      <c r="J192" s="1">
        <v>79</v>
      </c>
      <c r="K192" s="1">
        <v>43</v>
      </c>
      <c r="L192" s="1">
        <v>29</v>
      </c>
      <c r="M192" s="1">
        <v>33</v>
      </c>
      <c r="N192" s="1">
        <v>20</v>
      </c>
      <c r="O192" s="1">
        <v>71</v>
      </c>
      <c r="P192" s="1">
        <v>68</v>
      </c>
      <c r="Q192" s="1">
        <v>35</v>
      </c>
      <c r="R192" s="1">
        <v>21</v>
      </c>
      <c r="S192" s="1">
        <v>42</v>
      </c>
      <c r="T192" s="1">
        <v>23</v>
      </c>
      <c r="U192" s="1">
        <v>63</v>
      </c>
      <c r="V192" s="1">
        <v>54</v>
      </c>
      <c r="W192" s="1">
        <v>13</v>
      </c>
      <c r="X192" s="1">
        <v>30</v>
      </c>
      <c r="Y192" s="1">
        <v>46</v>
      </c>
      <c r="Z192" s="1">
        <v>17</v>
      </c>
      <c r="AA192" s="1">
        <v>35</v>
      </c>
      <c r="AB192" s="1">
        <v>18</v>
      </c>
      <c r="AC192" s="1">
        <v>32</v>
      </c>
      <c r="AD192" s="1">
        <v>13</v>
      </c>
      <c r="AE192" s="1">
        <v>13</v>
      </c>
      <c r="AF192" s="18">
        <f t="shared" si="2"/>
        <v>36.233333333333334</v>
      </c>
    </row>
    <row r="193" spans="1:32" x14ac:dyDescent="0.35">
      <c r="A193" s="1" t="s">
        <v>151</v>
      </c>
      <c r="B193" s="1">
        <v>144</v>
      </c>
      <c r="C193" s="1">
        <v>12</v>
      </c>
      <c r="D193" s="1">
        <v>64</v>
      </c>
      <c r="E193" s="1">
        <v>101</v>
      </c>
      <c r="F193" s="1">
        <v>35</v>
      </c>
      <c r="G193" s="1">
        <v>148</v>
      </c>
      <c r="H193" s="1">
        <v>15</v>
      </c>
      <c r="I193" s="1">
        <v>70</v>
      </c>
      <c r="J193" s="1">
        <v>22</v>
      </c>
      <c r="K193" s="1">
        <v>16</v>
      </c>
      <c r="L193" s="1">
        <v>12</v>
      </c>
      <c r="M193" s="1">
        <v>18</v>
      </c>
      <c r="N193" s="1">
        <v>261</v>
      </c>
      <c r="O193" s="1">
        <v>20</v>
      </c>
      <c r="P193" s="1">
        <v>29</v>
      </c>
      <c r="Q193" s="1">
        <v>50</v>
      </c>
      <c r="R193" s="1">
        <v>119</v>
      </c>
      <c r="S193" s="1">
        <v>69</v>
      </c>
      <c r="T193" s="1">
        <v>73</v>
      </c>
      <c r="U193" s="1">
        <v>55</v>
      </c>
      <c r="V193" s="1">
        <v>71</v>
      </c>
      <c r="W193" s="1">
        <v>16</v>
      </c>
      <c r="X193" s="1">
        <v>139</v>
      </c>
      <c r="Y193" s="1">
        <v>73</v>
      </c>
      <c r="Z193" s="1">
        <v>23</v>
      </c>
      <c r="AA193" s="1">
        <v>32</v>
      </c>
      <c r="AB193" s="1">
        <v>36</v>
      </c>
      <c r="AC193" s="1">
        <v>33</v>
      </c>
      <c r="AD193" s="1">
        <v>20</v>
      </c>
      <c r="AE193" s="1">
        <v>60</v>
      </c>
      <c r="AF193" s="18">
        <f t="shared" si="2"/>
        <v>61.2</v>
      </c>
    </row>
    <row r="194" spans="1:32" x14ac:dyDescent="0.35">
      <c r="A194" s="1" t="s">
        <v>152</v>
      </c>
      <c r="B194" s="1">
        <v>165</v>
      </c>
      <c r="C194" s="1">
        <v>25</v>
      </c>
      <c r="D194" s="1">
        <v>72</v>
      </c>
      <c r="E194" s="1">
        <v>17</v>
      </c>
      <c r="F194" s="1">
        <v>40</v>
      </c>
      <c r="G194" s="1">
        <v>27</v>
      </c>
      <c r="H194" s="1">
        <v>35</v>
      </c>
      <c r="I194" s="1">
        <v>21</v>
      </c>
      <c r="J194" s="1">
        <v>62</v>
      </c>
      <c r="K194" s="1">
        <v>26</v>
      </c>
      <c r="L194" s="1">
        <v>33</v>
      </c>
      <c r="M194" s="1">
        <v>17</v>
      </c>
      <c r="N194" s="1">
        <v>46</v>
      </c>
      <c r="O194" s="1">
        <v>40</v>
      </c>
      <c r="P194" s="1">
        <v>13</v>
      </c>
      <c r="Q194" s="1">
        <v>18</v>
      </c>
      <c r="R194" s="1">
        <v>34</v>
      </c>
      <c r="S194" s="1">
        <v>47</v>
      </c>
      <c r="T194" s="1">
        <v>111</v>
      </c>
      <c r="U194" s="1">
        <v>34</v>
      </c>
      <c r="V194" s="1">
        <v>23</v>
      </c>
      <c r="W194" s="1">
        <v>16</v>
      </c>
      <c r="X194" s="1">
        <v>13</v>
      </c>
      <c r="Y194" s="1">
        <v>118</v>
      </c>
      <c r="Z194" s="1">
        <v>17</v>
      </c>
      <c r="AA194" s="1">
        <v>22</v>
      </c>
      <c r="AB194" s="1">
        <v>33</v>
      </c>
      <c r="AC194" s="1">
        <v>23</v>
      </c>
      <c r="AD194" s="1">
        <v>110</v>
      </c>
      <c r="AE194" s="1">
        <v>22</v>
      </c>
      <c r="AF194" s="18">
        <f t="shared" si="2"/>
        <v>42.666666666666664</v>
      </c>
    </row>
    <row r="195" spans="1:32" x14ac:dyDescent="0.35">
      <c r="A195" s="1" t="s">
        <v>153</v>
      </c>
      <c r="B195" s="1">
        <v>96</v>
      </c>
      <c r="C195" s="1">
        <v>19</v>
      </c>
      <c r="D195" s="1">
        <v>18</v>
      </c>
      <c r="E195" s="1">
        <v>91</v>
      </c>
      <c r="F195" s="1">
        <v>45</v>
      </c>
      <c r="G195" s="1">
        <v>65</v>
      </c>
      <c r="H195" s="1">
        <v>16</v>
      </c>
      <c r="I195" s="1">
        <v>136</v>
      </c>
      <c r="J195" s="1">
        <v>88</v>
      </c>
      <c r="K195" s="1">
        <v>64</v>
      </c>
      <c r="L195" s="1">
        <v>147</v>
      </c>
      <c r="M195" s="1">
        <v>29</v>
      </c>
      <c r="N195" s="1">
        <v>12</v>
      </c>
      <c r="O195" s="1">
        <v>34</v>
      </c>
      <c r="P195" s="1">
        <v>103</v>
      </c>
      <c r="Q195" s="1">
        <v>19</v>
      </c>
      <c r="R195" s="1">
        <v>22</v>
      </c>
      <c r="S195" s="1">
        <v>31</v>
      </c>
      <c r="T195" s="1">
        <v>12</v>
      </c>
      <c r="U195" s="1">
        <v>37</v>
      </c>
      <c r="V195" s="1">
        <v>70</v>
      </c>
      <c r="W195" s="1">
        <v>56</v>
      </c>
      <c r="X195" s="1">
        <v>43</v>
      </c>
      <c r="Y195" s="1">
        <v>305</v>
      </c>
      <c r="Z195" s="1">
        <v>32</v>
      </c>
      <c r="AA195" s="1">
        <v>53</v>
      </c>
      <c r="AB195" s="1">
        <v>37</v>
      </c>
      <c r="AC195" s="1">
        <v>47</v>
      </c>
      <c r="AD195" s="1">
        <v>57</v>
      </c>
      <c r="AE195" s="1">
        <v>30</v>
      </c>
      <c r="AF195" s="18">
        <f t="shared" si="2"/>
        <v>60.466666666666669</v>
      </c>
    </row>
    <row r="196" spans="1:32" x14ac:dyDescent="0.35">
      <c r="A196" s="1" t="s">
        <v>193</v>
      </c>
      <c r="B196" s="1">
        <v>52</v>
      </c>
      <c r="C196" s="1">
        <v>75</v>
      </c>
      <c r="D196" s="1">
        <v>120</v>
      </c>
      <c r="E196" s="1">
        <v>22</v>
      </c>
      <c r="F196" s="1">
        <v>13</v>
      </c>
      <c r="G196" s="1">
        <v>31</v>
      </c>
      <c r="H196" s="1">
        <v>17</v>
      </c>
      <c r="I196" s="1">
        <v>130</v>
      </c>
      <c r="J196" s="1">
        <v>154</v>
      </c>
      <c r="K196" s="1">
        <v>15</v>
      </c>
      <c r="L196" s="1">
        <v>19</v>
      </c>
      <c r="M196" s="1">
        <v>13</v>
      </c>
      <c r="N196" s="1">
        <v>46</v>
      </c>
      <c r="O196" s="1">
        <v>64</v>
      </c>
      <c r="P196" s="1">
        <v>44</v>
      </c>
      <c r="Q196" s="1">
        <v>18</v>
      </c>
      <c r="R196" s="1">
        <v>25</v>
      </c>
      <c r="S196" s="1">
        <v>34</v>
      </c>
      <c r="T196" s="1">
        <v>36</v>
      </c>
      <c r="U196" s="1">
        <v>38</v>
      </c>
      <c r="V196" s="1">
        <v>93</v>
      </c>
      <c r="W196" s="1">
        <v>28</v>
      </c>
      <c r="X196" s="1">
        <v>27</v>
      </c>
      <c r="Y196" s="1">
        <v>44</v>
      </c>
      <c r="Z196" s="1">
        <v>19</v>
      </c>
      <c r="AA196" s="1">
        <v>16</v>
      </c>
      <c r="AB196" s="1">
        <v>49</v>
      </c>
      <c r="AC196" s="1">
        <v>56</v>
      </c>
      <c r="AD196" s="1">
        <v>12</v>
      </c>
      <c r="AE196" s="1">
        <v>44</v>
      </c>
      <c r="AF196" s="18">
        <f t="shared" ref="AF196:AF202" si="3">AVERAGE(B196:AE196)</f>
        <v>45.133333333333333</v>
      </c>
    </row>
    <row r="197" spans="1:32" x14ac:dyDescent="0.35">
      <c r="A197" s="1" t="s">
        <v>154</v>
      </c>
      <c r="B197" s="1">
        <v>47</v>
      </c>
      <c r="C197" s="1">
        <v>44</v>
      </c>
      <c r="D197" s="1">
        <v>18</v>
      </c>
      <c r="E197" s="1">
        <v>28</v>
      </c>
      <c r="F197" s="1">
        <v>43</v>
      </c>
      <c r="G197" s="1">
        <v>54</v>
      </c>
      <c r="H197" s="1">
        <v>16</v>
      </c>
      <c r="I197" s="1">
        <v>32</v>
      </c>
      <c r="J197" s="1">
        <v>50</v>
      </c>
      <c r="K197" s="1">
        <v>34</v>
      </c>
      <c r="L197" s="1">
        <v>70</v>
      </c>
      <c r="M197" s="1">
        <v>54</v>
      </c>
      <c r="N197" s="1">
        <v>14</v>
      </c>
      <c r="O197" s="1">
        <v>15</v>
      </c>
      <c r="P197" s="1">
        <v>95</v>
      </c>
      <c r="Q197" s="1">
        <v>59</v>
      </c>
      <c r="R197" s="1">
        <v>37</v>
      </c>
      <c r="S197" s="1">
        <v>141</v>
      </c>
      <c r="T197" s="1">
        <v>48</v>
      </c>
      <c r="U197" s="1">
        <v>318</v>
      </c>
      <c r="V197" s="1">
        <v>49</v>
      </c>
      <c r="W197" s="1">
        <v>12</v>
      </c>
      <c r="X197" s="1">
        <v>109</v>
      </c>
      <c r="Y197" s="1">
        <v>53</v>
      </c>
      <c r="Z197" s="1">
        <v>186</v>
      </c>
      <c r="AA197" s="1">
        <v>24</v>
      </c>
      <c r="AB197" s="1">
        <v>50</v>
      </c>
      <c r="AC197" s="1">
        <v>21</v>
      </c>
      <c r="AD197" s="1">
        <v>241</v>
      </c>
      <c r="AE197" s="1">
        <v>25</v>
      </c>
      <c r="AF197" s="18">
        <f t="shared" si="3"/>
        <v>66.233333333333334</v>
      </c>
    </row>
    <row r="198" spans="1:32" x14ac:dyDescent="0.35">
      <c r="A198" s="1" t="s">
        <v>155</v>
      </c>
      <c r="B198" s="1">
        <v>112</v>
      </c>
      <c r="C198" s="1">
        <v>430</v>
      </c>
      <c r="D198" s="1">
        <v>82</v>
      </c>
      <c r="E198" s="1">
        <v>50</v>
      </c>
      <c r="F198" s="1">
        <v>94</v>
      </c>
      <c r="G198" s="1">
        <v>52</v>
      </c>
      <c r="H198" s="1">
        <v>56</v>
      </c>
      <c r="I198" s="1">
        <v>18</v>
      </c>
      <c r="J198" s="1">
        <v>48</v>
      </c>
      <c r="K198" s="1">
        <v>86</v>
      </c>
      <c r="L198" s="1">
        <v>50</v>
      </c>
      <c r="M198" s="1">
        <v>54</v>
      </c>
      <c r="N198" s="1">
        <v>60</v>
      </c>
      <c r="O198" s="1">
        <v>141</v>
      </c>
      <c r="P198" s="1">
        <v>82</v>
      </c>
      <c r="Q198" s="1">
        <v>134</v>
      </c>
      <c r="R198" s="1">
        <v>141</v>
      </c>
      <c r="S198" s="1">
        <v>52</v>
      </c>
      <c r="T198" s="1">
        <v>25</v>
      </c>
      <c r="U198" s="1">
        <v>95</v>
      </c>
      <c r="V198" s="1">
        <v>35</v>
      </c>
      <c r="W198" s="1">
        <v>86</v>
      </c>
      <c r="X198" s="1">
        <v>36</v>
      </c>
      <c r="Y198" s="1">
        <v>29</v>
      </c>
      <c r="Z198" s="1">
        <v>44</v>
      </c>
      <c r="AA198" s="1">
        <v>16</v>
      </c>
      <c r="AB198" s="1">
        <v>14</v>
      </c>
      <c r="AC198" s="1">
        <v>28</v>
      </c>
      <c r="AD198" s="1">
        <v>25</v>
      </c>
      <c r="AE198" s="1">
        <v>37</v>
      </c>
      <c r="AF198" s="18">
        <f t="shared" si="3"/>
        <v>73.733333333333334</v>
      </c>
    </row>
    <row r="199" spans="1:32" x14ac:dyDescent="0.35">
      <c r="A199" s="1" t="s">
        <v>163</v>
      </c>
      <c r="B199" s="1">
        <v>28</v>
      </c>
      <c r="C199" s="1">
        <v>16</v>
      </c>
      <c r="D199" s="1">
        <v>12</v>
      </c>
      <c r="E199" s="1">
        <v>17</v>
      </c>
      <c r="F199" s="1">
        <v>91</v>
      </c>
      <c r="G199" s="1">
        <v>14</v>
      </c>
      <c r="H199" s="1">
        <v>28</v>
      </c>
      <c r="I199" s="1">
        <v>37</v>
      </c>
      <c r="J199" s="1">
        <v>81</v>
      </c>
      <c r="K199" s="1">
        <v>78</v>
      </c>
      <c r="L199" s="1">
        <v>15</v>
      </c>
      <c r="M199" s="1">
        <v>44</v>
      </c>
      <c r="N199" s="1">
        <v>53</v>
      </c>
      <c r="O199" s="1">
        <v>57</v>
      </c>
      <c r="P199" s="1">
        <v>89</v>
      </c>
      <c r="Q199" s="1">
        <v>43</v>
      </c>
      <c r="R199" s="1">
        <v>67</v>
      </c>
      <c r="S199" s="1">
        <v>71</v>
      </c>
      <c r="T199" s="1">
        <v>27</v>
      </c>
      <c r="U199" s="1">
        <v>22</v>
      </c>
      <c r="V199" s="1">
        <v>26</v>
      </c>
      <c r="W199" s="1">
        <v>23</v>
      </c>
      <c r="X199" s="1">
        <v>20</v>
      </c>
      <c r="Y199" s="1">
        <v>17</v>
      </c>
      <c r="Z199" s="1">
        <v>77</v>
      </c>
      <c r="AA199" s="1">
        <v>22</v>
      </c>
      <c r="AB199" s="1">
        <v>17</v>
      </c>
      <c r="AC199" s="1">
        <v>91</v>
      </c>
      <c r="AD199" s="1">
        <v>80</v>
      </c>
      <c r="AE199" s="1">
        <v>56</v>
      </c>
      <c r="AF199" s="18">
        <f t="shared" si="3"/>
        <v>43.966666666666669</v>
      </c>
    </row>
    <row r="200" spans="1:32" x14ac:dyDescent="0.35">
      <c r="A200" s="1" t="s">
        <v>194</v>
      </c>
      <c r="B200" s="1">
        <v>45</v>
      </c>
      <c r="C200" s="1">
        <v>48</v>
      </c>
      <c r="D200" s="1">
        <v>114</v>
      </c>
      <c r="E200" s="1">
        <v>27</v>
      </c>
      <c r="F200" s="1">
        <v>75</v>
      </c>
      <c r="G200" s="1">
        <v>95</v>
      </c>
      <c r="H200" s="1">
        <v>42</v>
      </c>
      <c r="I200" s="1">
        <v>15</v>
      </c>
      <c r="J200" s="1">
        <v>65</v>
      </c>
      <c r="K200" s="1">
        <v>30</v>
      </c>
      <c r="L200" s="1">
        <v>20</v>
      </c>
      <c r="M200" s="1">
        <v>29</v>
      </c>
      <c r="N200" s="1">
        <v>108</v>
      </c>
      <c r="O200" s="1">
        <v>40</v>
      </c>
      <c r="P200" s="1">
        <v>53</v>
      </c>
      <c r="Q200" s="1">
        <v>94</v>
      </c>
      <c r="R200" s="1">
        <v>33</v>
      </c>
      <c r="S200" s="1">
        <v>64</v>
      </c>
      <c r="T200" s="1">
        <v>32</v>
      </c>
      <c r="U200" s="1">
        <v>62</v>
      </c>
      <c r="V200" s="1">
        <v>57</v>
      </c>
      <c r="W200" s="1">
        <v>62</v>
      </c>
      <c r="X200" s="1">
        <v>22</v>
      </c>
      <c r="Y200" s="1">
        <v>52</v>
      </c>
      <c r="Z200" s="1">
        <v>59</v>
      </c>
      <c r="AA200" s="1">
        <v>33</v>
      </c>
      <c r="AB200" s="1">
        <v>144</v>
      </c>
      <c r="AC200" s="1">
        <v>48</v>
      </c>
      <c r="AD200" s="1">
        <v>64</v>
      </c>
      <c r="AE200" s="1">
        <v>13</v>
      </c>
      <c r="AF200" s="18">
        <f t="shared" si="3"/>
        <v>54.833333333333336</v>
      </c>
    </row>
    <row r="201" spans="1:32" x14ac:dyDescent="0.35">
      <c r="A201" s="1" t="s">
        <v>157</v>
      </c>
      <c r="B201" s="1">
        <v>164</v>
      </c>
      <c r="C201" s="1">
        <v>67</v>
      </c>
      <c r="D201" s="1">
        <v>48</v>
      </c>
      <c r="E201" s="1">
        <v>55</v>
      </c>
      <c r="F201" s="1">
        <v>83</v>
      </c>
      <c r="G201" s="1">
        <v>124</v>
      </c>
      <c r="H201" s="1">
        <v>41</v>
      </c>
      <c r="I201" s="1">
        <v>71</v>
      </c>
      <c r="J201" s="1">
        <v>17</v>
      </c>
      <c r="K201" s="1">
        <v>104</v>
      </c>
      <c r="L201" s="1">
        <v>114</v>
      </c>
      <c r="M201" s="1">
        <v>13</v>
      </c>
      <c r="N201" s="1">
        <v>175</v>
      </c>
      <c r="O201" s="1">
        <v>60</v>
      </c>
      <c r="P201" s="1">
        <v>59</v>
      </c>
      <c r="Q201" s="1">
        <v>24</v>
      </c>
      <c r="R201" s="1">
        <v>45</v>
      </c>
      <c r="S201" s="1">
        <v>44</v>
      </c>
      <c r="T201" s="1">
        <v>71</v>
      </c>
      <c r="U201" s="1">
        <v>19</v>
      </c>
      <c r="V201" s="1">
        <v>120</v>
      </c>
      <c r="W201" s="1">
        <v>44</v>
      </c>
      <c r="X201" s="1">
        <v>86</v>
      </c>
      <c r="Y201" s="1">
        <v>16</v>
      </c>
      <c r="Z201" s="1">
        <v>13</v>
      </c>
      <c r="AA201" s="1">
        <v>69</v>
      </c>
      <c r="AB201" s="1">
        <v>61</v>
      </c>
      <c r="AC201" s="1">
        <v>22</v>
      </c>
      <c r="AD201" s="1">
        <v>71</v>
      </c>
      <c r="AE201" s="1">
        <v>26</v>
      </c>
      <c r="AF201" s="18">
        <f t="shared" si="3"/>
        <v>64.2</v>
      </c>
    </row>
    <row r="202" spans="1:32" x14ac:dyDescent="0.35">
      <c r="A202" s="1" t="s">
        <v>158</v>
      </c>
      <c r="B202" s="1">
        <v>14</v>
      </c>
      <c r="C202" s="1">
        <v>12</v>
      </c>
      <c r="D202" s="1">
        <v>13</v>
      </c>
      <c r="E202" s="1">
        <v>30</v>
      </c>
      <c r="F202" s="1">
        <v>26</v>
      </c>
      <c r="G202" s="1">
        <v>62</v>
      </c>
      <c r="H202" s="1">
        <v>95</v>
      </c>
      <c r="I202" s="1">
        <v>56</v>
      </c>
      <c r="J202" s="1">
        <v>20</v>
      </c>
      <c r="K202" s="1">
        <v>51</v>
      </c>
      <c r="L202" s="1">
        <v>36</v>
      </c>
      <c r="M202" s="1">
        <v>32</v>
      </c>
      <c r="N202" s="1">
        <v>14</v>
      </c>
      <c r="O202" s="1">
        <v>29</v>
      </c>
      <c r="P202" s="1">
        <v>47</v>
      </c>
      <c r="Q202" s="1">
        <v>57</v>
      </c>
      <c r="R202" s="1">
        <v>50</v>
      </c>
      <c r="S202" s="1">
        <v>12</v>
      </c>
      <c r="T202" s="1">
        <v>162</v>
      </c>
      <c r="U202" s="1">
        <v>15</v>
      </c>
      <c r="V202" s="1">
        <v>59</v>
      </c>
      <c r="W202" s="1">
        <v>19</v>
      </c>
      <c r="X202" s="1">
        <v>27</v>
      </c>
      <c r="Y202" s="1">
        <v>19</v>
      </c>
      <c r="Z202" s="1">
        <v>42</v>
      </c>
      <c r="AA202" s="1">
        <v>13</v>
      </c>
      <c r="AB202" s="1">
        <v>42</v>
      </c>
      <c r="AC202" s="1">
        <v>20</v>
      </c>
      <c r="AD202" s="1">
        <v>40</v>
      </c>
      <c r="AE202" s="1">
        <v>40</v>
      </c>
      <c r="AF202" s="18">
        <f t="shared" si="3"/>
        <v>38.466666666666669</v>
      </c>
    </row>
    <row r="203" spans="1:32" x14ac:dyDescent="0.35"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0D1E-7769-4712-9687-A3056C6533C2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12</v>
      </c>
      <c r="C3" s="1">
        <v>60</v>
      </c>
      <c r="D3" s="1">
        <v>26</v>
      </c>
      <c r="E3" s="1">
        <v>62</v>
      </c>
      <c r="F3" s="1">
        <v>37</v>
      </c>
      <c r="G3" s="1">
        <v>38</v>
      </c>
      <c r="H3" s="1">
        <v>45</v>
      </c>
      <c r="I3" s="1">
        <v>37</v>
      </c>
      <c r="J3" s="1">
        <v>35</v>
      </c>
      <c r="K3" s="1">
        <v>20</v>
      </c>
      <c r="L3" s="1">
        <v>74</v>
      </c>
      <c r="M3" s="1">
        <v>18</v>
      </c>
      <c r="N3" s="1">
        <v>65</v>
      </c>
      <c r="O3" s="1">
        <v>30</v>
      </c>
      <c r="P3" s="1">
        <v>51</v>
      </c>
      <c r="Q3" s="1">
        <v>19</v>
      </c>
      <c r="R3" s="1">
        <v>22</v>
      </c>
      <c r="S3" s="1">
        <v>64</v>
      </c>
      <c r="T3" s="1">
        <v>79</v>
      </c>
      <c r="U3" s="1">
        <v>13</v>
      </c>
      <c r="V3" s="1">
        <v>32</v>
      </c>
      <c r="W3" s="1">
        <v>27</v>
      </c>
      <c r="X3" s="1">
        <v>56</v>
      </c>
      <c r="Y3" s="1">
        <v>27</v>
      </c>
      <c r="Z3" s="1">
        <v>44</v>
      </c>
      <c r="AA3" s="1">
        <v>14</v>
      </c>
      <c r="AB3" s="1">
        <v>29</v>
      </c>
      <c r="AC3" s="1">
        <v>36</v>
      </c>
      <c r="AD3" s="1">
        <v>80</v>
      </c>
      <c r="AE3" s="1">
        <v>181</v>
      </c>
      <c r="AF3" s="18">
        <f>AVERAGE(B3:AE3)</f>
        <v>44.43333333333333</v>
      </c>
    </row>
    <row r="4" spans="1:32" x14ac:dyDescent="0.35">
      <c r="A4" s="1" t="s">
        <v>166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8">
        <f t="shared" ref="AF4:AF67" si="0">AVERAGE(B4:AE4)</f>
        <v>0</v>
      </c>
    </row>
    <row r="5" spans="1:32" x14ac:dyDescent="0.35">
      <c r="A5" s="1" t="s">
        <v>167</v>
      </c>
      <c r="B5" s="1">
        <v>30</v>
      </c>
      <c r="C5" s="1">
        <v>23</v>
      </c>
      <c r="D5" s="1">
        <v>20</v>
      </c>
      <c r="E5" s="1">
        <v>44</v>
      </c>
      <c r="F5" s="1">
        <v>66</v>
      </c>
      <c r="G5" s="1">
        <v>53</v>
      </c>
      <c r="H5" s="1">
        <v>22</v>
      </c>
      <c r="I5" s="1">
        <v>29</v>
      </c>
      <c r="J5" s="1">
        <v>31</v>
      </c>
      <c r="K5" s="1">
        <v>66</v>
      </c>
      <c r="L5" s="1">
        <v>79</v>
      </c>
      <c r="M5" s="1">
        <v>20</v>
      </c>
      <c r="N5" s="1">
        <v>12</v>
      </c>
      <c r="O5" s="1">
        <v>49</v>
      </c>
      <c r="P5" s="1">
        <v>14</v>
      </c>
      <c r="Q5" s="1">
        <v>55</v>
      </c>
      <c r="R5" s="1">
        <v>19</v>
      </c>
      <c r="S5" s="1">
        <v>19</v>
      </c>
      <c r="T5" s="1">
        <v>135</v>
      </c>
      <c r="U5" s="1">
        <v>34</v>
      </c>
      <c r="V5" s="1">
        <v>17</v>
      </c>
      <c r="W5" s="1">
        <v>48</v>
      </c>
      <c r="X5" s="1">
        <v>193</v>
      </c>
      <c r="Y5" s="1">
        <v>12</v>
      </c>
      <c r="Z5" s="1">
        <v>72</v>
      </c>
      <c r="AA5" s="1">
        <v>78</v>
      </c>
      <c r="AB5" s="1">
        <v>49</v>
      </c>
      <c r="AC5" s="1">
        <v>14</v>
      </c>
      <c r="AD5" s="1">
        <v>79</v>
      </c>
      <c r="AE5" s="1">
        <v>89</v>
      </c>
      <c r="AF5" s="18">
        <f t="shared" si="0"/>
        <v>49.033333333333331</v>
      </c>
    </row>
    <row r="6" spans="1:32" x14ac:dyDescent="0.35">
      <c r="A6" s="1" t="s">
        <v>211</v>
      </c>
      <c r="B6" s="1">
        <v>78</v>
      </c>
      <c r="C6" s="1">
        <v>93</v>
      </c>
      <c r="D6" s="1">
        <v>29</v>
      </c>
      <c r="E6" s="1">
        <v>13</v>
      </c>
      <c r="F6" s="1">
        <v>34</v>
      </c>
      <c r="G6" s="1">
        <v>79</v>
      </c>
      <c r="H6" s="1">
        <v>66</v>
      </c>
      <c r="I6" s="1">
        <v>148</v>
      </c>
      <c r="J6" s="1">
        <v>15</v>
      </c>
      <c r="K6" s="1">
        <v>72</v>
      </c>
      <c r="L6" s="1">
        <v>15</v>
      </c>
      <c r="M6" s="1">
        <v>17</v>
      </c>
      <c r="N6" s="1">
        <v>93</v>
      </c>
      <c r="O6" s="1">
        <v>274</v>
      </c>
      <c r="P6" s="1">
        <v>15</v>
      </c>
      <c r="Q6" s="1">
        <v>103</v>
      </c>
      <c r="R6" s="1">
        <v>143</v>
      </c>
      <c r="S6" s="1">
        <v>28</v>
      </c>
      <c r="T6" s="1">
        <v>16</v>
      </c>
      <c r="U6" s="1">
        <v>53</v>
      </c>
      <c r="V6" s="1">
        <v>33</v>
      </c>
      <c r="W6" s="1">
        <v>52</v>
      </c>
      <c r="X6" s="1">
        <v>25</v>
      </c>
      <c r="Y6" s="1">
        <v>48</v>
      </c>
      <c r="Z6" s="1">
        <v>84</v>
      </c>
      <c r="AA6" s="1">
        <v>39</v>
      </c>
      <c r="AB6" s="1">
        <v>30</v>
      </c>
      <c r="AC6" s="1">
        <v>18</v>
      </c>
      <c r="AD6" s="1">
        <v>12</v>
      </c>
      <c r="AE6" s="1">
        <v>15</v>
      </c>
      <c r="AF6" s="18">
        <f t="shared" si="0"/>
        <v>58</v>
      </c>
    </row>
    <row r="7" spans="1:32" x14ac:dyDescent="0.35">
      <c r="A7" s="1" t="s">
        <v>168</v>
      </c>
      <c r="B7" s="1">
        <v>27</v>
      </c>
      <c r="C7" s="1">
        <v>81</v>
      </c>
      <c r="D7" s="1">
        <v>39</v>
      </c>
      <c r="E7" s="1">
        <v>100</v>
      </c>
      <c r="F7" s="1">
        <v>39</v>
      </c>
      <c r="G7" s="1">
        <v>17</v>
      </c>
      <c r="H7" s="1">
        <v>19</v>
      </c>
      <c r="I7" s="1">
        <v>101</v>
      </c>
      <c r="J7" s="1">
        <v>16</v>
      </c>
      <c r="K7" s="1">
        <v>92</v>
      </c>
      <c r="L7" s="1">
        <v>31</v>
      </c>
      <c r="M7" s="1">
        <v>16</v>
      </c>
      <c r="N7" s="1">
        <v>78</v>
      </c>
      <c r="O7" s="1">
        <v>75</v>
      </c>
      <c r="P7" s="1">
        <v>25</v>
      </c>
      <c r="Q7" s="1">
        <v>26</v>
      </c>
      <c r="R7" s="1">
        <v>45</v>
      </c>
      <c r="S7" s="1">
        <v>57</v>
      </c>
      <c r="T7" s="1">
        <v>27</v>
      </c>
      <c r="U7" s="1">
        <v>46</v>
      </c>
      <c r="V7" s="1">
        <v>41</v>
      </c>
      <c r="W7" s="1">
        <v>33</v>
      </c>
      <c r="X7" s="1">
        <v>75</v>
      </c>
      <c r="Y7" s="1">
        <v>36</v>
      </c>
      <c r="Z7" s="1">
        <v>23</v>
      </c>
      <c r="AA7" s="1">
        <v>22</v>
      </c>
      <c r="AB7" s="1">
        <v>22</v>
      </c>
      <c r="AC7" s="1">
        <v>75</v>
      </c>
      <c r="AD7" s="1">
        <v>52</v>
      </c>
      <c r="AE7" s="1">
        <v>37</v>
      </c>
      <c r="AF7" s="18">
        <f t="shared" si="0"/>
        <v>45.766666666666666</v>
      </c>
    </row>
    <row r="8" spans="1:32" x14ac:dyDescent="0.35">
      <c r="A8" s="1" t="s">
        <v>169</v>
      </c>
      <c r="B8" s="1">
        <v>67</v>
      </c>
      <c r="C8" s="1">
        <v>37</v>
      </c>
      <c r="D8" s="1">
        <v>33</v>
      </c>
      <c r="E8" s="1">
        <v>13</v>
      </c>
      <c r="F8" s="1">
        <v>24</v>
      </c>
      <c r="G8" s="1">
        <v>16</v>
      </c>
      <c r="H8" s="1">
        <v>13</v>
      </c>
      <c r="I8" s="1">
        <v>14</v>
      </c>
      <c r="J8" s="1">
        <v>47</v>
      </c>
      <c r="K8" s="1">
        <v>55</v>
      </c>
      <c r="L8" s="1">
        <v>26</v>
      </c>
      <c r="M8" s="1">
        <v>20</v>
      </c>
      <c r="N8" s="1">
        <v>31</v>
      </c>
      <c r="O8" s="1">
        <v>20</v>
      </c>
      <c r="P8" s="1">
        <v>37</v>
      </c>
      <c r="Q8" s="1">
        <v>13</v>
      </c>
      <c r="R8" s="1">
        <v>28</v>
      </c>
      <c r="S8" s="1">
        <v>45</v>
      </c>
      <c r="T8" s="1">
        <v>25</v>
      </c>
      <c r="U8" s="1">
        <v>65</v>
      </c>
      <c r="V8" s="1">
        <v>146</v>
      </c>
      <c r="W8" s="1">
        <v>58</v>
      </c>
      <c r="X8" s="1">
        <v>29</v>
      </c>
      <c r="Y8" s="1">
        <v>18</v>
      </c>
      <c r="Z8" s="1">
        <v>19</v>
      </c>
      <c r="AA8" s="1">
        <v>102</v>
      </c>
      <c r="AB8" s="1">
        <v>18</v>
      </c>
      <c r="AC8" s="1">
        <v>32</v>
      </c>
      <c r="AD8" s="1">
        <v>31</v>
      </c>
      <c r="AE8" s="1">
        <v>48</v>
      </c>
      <c r="AF8" s="18">
        <f t="shared" si="0"/>
        <v>37.666666666666664</v>
      </c>
    </row>
    <row r="9" spans="1:32" x14ac:dyDescent="0.35">
      <c r="A9" s="1" t="s">
        <v>170</v>
      </c>
      <c r="B9" s="1">
        <v>25</v>
      </c>
      <c r="C9" s="1">
        <v>19</v>
      </c>
      <c r="D9" s="1">
        <v>18</v>
      </c>
      <c r="E9" s="1">
        <v>35</v>
      </c>
      <c r="F9" s="1">
        <v>13</v>
      </c>
      <c r="G9" s="1">
        <v>87</v>
      </c>
      <c r="H9" s="1">
        <v>152</v>
      </c>
      <c r="I9" s="1">
        <v>20</v>
      </c>
      <c r="J9" s="1">
        <v>35</v>
      </c>
      <c r="K9" s="1">
        <v>110</v>
      </c>
      <c r="L9" s="1">
        <v>27</v>
      </c>
      <c r="M9" s="1">
        <v>53</v>
      </c>
      <c r="N9" s="1">
        <v>20</v>
      </c>
      <c r="O9" s="1">
        <v>16</v>
      </c>
      <c r="P9" s="1">
        <v>44</v>
      </c>
      <c r="Q9" s="1">
        <v>109</v>
      </c>
      <c r="R9" s="1">
        <v>119</v>
      </c>
      <c r="S9" s="1">
        <v>77</v>
      </c>
      <c r="T9" s="1">
        <v>73</v>
      </c>
      <c r="U9" s="1">
        <v>132</v>
      </c>
      <c r="V9" s="1">
        <v>44</v>
      </c>
      <c r="W9" s="1">
        <v>214</v>
      </c>
      <c r="X9" s="1">
        <v>24</v>
      </c>
      <c r="Y9" s="1">
        <v>35</v>
      </c>
      <c r="Z9" s="1">
        <v>33</v>
      </c>
      <c r="AA9" s="1">
        <v>27</v>
      </c>
      <c r="AB9" s="1">
        <v>17</v>
      </c>
      <c r="AC9" s="1">
        <v>23</v>
      </c>
      <c r="AD9" s="1">
        <v>17</v>
      </c>
      <c r="AE9" s="1">
        <v>14</v>
      </c>
      <c r="AF9" s="18">
        <f t="shared" si="0"/>
        <v>54.4</v>
      </c>
    </row>
    <row r="10" spans="1:32" x14ac:dyDescent="0.35">
      <c r="A10" s="1" t="s">
        <v>4</v>
      </c>
      <c r="B10" s="1">
        <v>14</v>
      </c>
      <c r="C10" s="1">
        <v>29</v>
      </c>
      <c r="D10" s="1">
        <v>14</v>
      </c>
      <c r="E10" s="1">
        <v>120</v>
      </c>
      <c r="F10" s="1">
        <v>80</v>
      </c>
      <c r="G10" s="1">
        <v>69</v>
      </c>
      <c r="H10" s="1">
        <v>204</v>
      </c>
      <c r="I10" s="1">
        <v>78</v>
      </c>
      <c r="J10" s="1">
        <v>130</v>
      </c>
      <c r="K10" s="1">
        <v>35</v>
      </c>
      <c r="L10" s="1">
        <v>121</v>
      </c>
      <c r="M10" s="1">
        <v>100</v>
      </c>
      <c r="N10" s="1">
        <v>29</v>
      </c>
      <c r="O10" s="1">
        <v>32</v>
      </c>
      <c r="P10" s="1">
        <v>84</v>
      </c>
      <c r="Q10" s="1">
        <v>44</v>
      </c>
      <c r="R10" s="1">
        <v>147</v>
      </c>
      <c r="S10" s="1">
        <v>17</v>
      </c>
      <c r="T10" s="1">
        <v>116</v>
      </c>
      <c r="U10" s="1">
        <v>18</v>
      </c>
      <c r="V10" s="1">
        <v>60</v>
      </c>
      <c r="W10" s="1">
        <v>42</v>
      </c>
      <c r="X10" s="1">
        <v>43</v>
      </c>
      <c r="Y10" s="1">
        <v>66</v>
      </c>
      <c r="Z10" s="1">
        <v>29</v>
      </c>
      <c r="AA10" s="1">
        <v>20</v>
      </c>
      <c r="AB10" s="1">
        <v>65</v>
      </c>
      <c r="AC10" s="1">
        <v>62</v>
      </c>
      <c r="AD10" s="1">
        <v>87</v>
      </c>
      <c r="AE10" s="1">
        <v>80</v>
      </c>
      <c r="AF10" s="18">
        <f t="shared" si="0"/>
        <v>67.833333333333329</v>
      </c>
    </row>
    <row r="11" spans="1:32" x14ac:dyDescent="0.35">
      <c r="A11" s="1" t="s">
        <v>5</v>
      </c>
      <c r="B11" s="1">
        <v>29</v>
      </c>
      <c r="C11" s="1">
        <v>92</v>
      </c>
      <c r="D11" s="1">
        <v>173</v>
      </c>
      <c r="E11" s="1">
        <v>26</v>
      </c>
      <c r="F11" s="1">
        <v>98</v>
      </c>
      <c r="G11" s="1">
        <v>56</v>
      </c>
      <c r="H11" s="1">
        <v>50</v>
      </c>
      <c r="I11" s="1">
        <v>156</v>
      </c>
      <c r="J11" s="1">
        <v>52</v>
      </c>
      <c r="K11" s="1">
        <v>81</v>
      </c>
      <c r="L11" s="1">
        <v>139</v>
      </c>
      <c r="M11" s="1">
        <v>121</v>
      </c>
      <c r="N11" s="1">
        <v>17</v>
      </c>
      <c r="O11" s="1">
        <v>34</v>
      </c>
      <c r="P11" s="1">
        <v>74</v>
      </c>
      <c r="Q11" s="1">
        <v>41</v>
      </c>
      <c r="R11" s="1">
        <v>43</v>
      </c>
      <c r="S11" s="1">
        <v>20</v>
      </c>
      <c r="T11" s="1">
        <v>26</v>
      </c>
      <c r="U11" s="1">
        <v>38</v>
      </c>
      <c r="V11" s="1">
        <v>67</v>
      </c>
      <c r="W11" s="1">
        <v>85</v>
      </c>
      <c r="X11" s="1">
        <v>55</v>
      </c>
      <c r="Y11" s="1">
        <v>69</v>
      </c>
      <c r="Z11" s="1">
        <v>202</v>
      </c>
      <c r="AA11" s="1">
        <v>34</v>
      </c>
      <c r="AB11" s="1">
        <v>12</v>
      </c>
      <c r="AC11" s="1">
        <v>33</v>
      </c>
      <c r="AD11" s="1">
        <v>17</v>
      </c>
      <c r="AE11" s="1">
        <v>37</v>
      </c>
      <c r="AF11" s="18">
        <f t="shared" si="0"/>
        <v>65.900000000000006</v>
      </c>
    </row>
    <row r="12" spans="1:32" x14ac:dyDescent="0.35">
      <c r="A12" s="1" t="s">
        <v>161</v>
      </c>
      <c r="B12" s="1">
        <v>18</v>
      </c>
      <c r="C12" s="1">
        <v>68</v>
      </c>
      <c r="D12" s="1">
        <v>36</v>
      </c>
      <c r="E12" s="1">
        <v>41</v>
      </c>
      <c r="F12" s="1">
        <v>32</v>
      </c>
      <c r="G12" s="1">
        <v>57</v>
      </c>
      <c r="H12" s="1">
        <v>35</v>
      </c>
      <c r="I12" s="1">
        <v>43</v>
      </c>
      <c r="J12" s="1">
        <v>62</v>
      </c>
      <c r="K12" s="1">
        <v>138</v>
      </c>
      <c r="L12" s="1">
        <v>108</v>
      </c>
      <c r="M12" s="1">
        <v>43</v>
      </c>
      <c r="N12" s="1">
        <v>209</v>
      </c>
      <c r="O12" s="1">
        <v>133</v>
      </c>
      <c r="P12" s="1">
        <v>13</v>
      </c>
      <c r="Q12" s="1">
        <v>30</v>
      </c>
      <c r="R12" s="1">
        <v>16</v>
      </c>
      <c r="S12" s="1">
        <v>48</v>
      </c>
      <c r="T12" s="1">
        <v>32</v>
      </c>
      <c r="U12" s="1">
        <v>118</v>
      </c>
      <c r="V12" s="1">
        <v>107</v>
      </c>
      <c r="W12" s="1">
        <v>97</v>
      </c>
      <c r="X12" s="1">
        <v>110</v>
      </c>
      <c r="Y12" s="1">
        <v>77</v>
      </c>
      <c r="Z12" s="1">
        <v>62</v>
      </c>
      <c r="AA12" s="1">
        <v>99</v>
      </c>
      <c r="AB12" s="1">
        <v>120</v>
      </c>
      <c r="AC12" s="1">
        <v>13</v>
      </c>
      <c r="AD12" s="1">
        <v>220</v>
      </c>
      <c r="AE12" s="1">
        <v>61</v>
      </c>
      <c r="AF12" s="18">
        <f t="shared" si="0"/>
        <v>74.86666666666666</v>
      </c>
    </row>
    <row r="13" spans="1:32" x14ac:dyDescent="0.35">
      <c r="A13" s="1" t="s">
        <v>212</v>
      </c>
      <c r="B13" s="1">
        <v>45</v>
      </c>
      <c r="C13" s="1">
        <v>373</v>
      </c>
      <c r="D13" s="1">
        <v>32</v>
      </c>
      <c r="E13" s="1">
        <v>38</v>
      </c>
      <c r="F13" s="1">
        <v>30</v>
      </c>
      <c r="G13" s="1">
        <v>19</v>
      </c>
      <c r="H13" s="1">
        <v>13</v>
      </c>
      <c r="I13" s="1">
        <v>27</v>
      </c>
      <c r="J13" s="1">
        <v>22</v>
      </c>
      <c r="K13" s="1">
        <v>33</v>
      </c>
      <c r="L13" s="1">
        <v>21</v>
      </c>
      <c r="M13" s="1">
        <v>70</v>
      </c>
      <c r="N13" s="1">
        <v>14</v>
      </c>
      <c r="O13" s="1">
        <v>16</v>
      </c>
      <c r="P13" s="1">
        <v>51</v>
      </c>
      <c r="Q13" s="1">
        <v>99</v>
      </c>
      <c r="R13" s="1">
        <v>79</v>
      </c>
      <c r="S13" s="1">
        <v>21</v>
      </c>
      <c r="T13" s="1">
        <v>14</v>
      </c>
      <c r="U13" s="1">
        <v>27</v>
      </c>
      <c r="V13" s="1">
        <v>51</v>
      </c>
      <c r="W13" s="1">
        <v>80</v>
      </c>
      <c r="X13" s="1">
        <v>14</v>
      </c>
      <c r="Y13" s="1">
        <v>132</v>
      </c>
      <c r="Z13" s="1">
        <v>19</v>
      </c>
      <c r="AA13" s="1">
        <v>30</v>
      </c>
      <c r="AB13" s="1">
        <v>81</v>
      </c>
      <c r="AC13" s="1">
        <v>28</v>
      </c>
      <c r="AD13" s="1">
        <v>79</v>
      </c>
      <c r="AE13" s="1">
        <v>62</v>
      </c>
      <c r="AF13" s="18">
        <f t="shared" si="0"/>
        <v>54</v>
      </c>
    </row>
    <row r="14" spans="1:32" x14ac:dyDescent="0.35">
      <c r="A14" s="1" t="s">
        <v>6</v>
      </c>
      <c r="B14" s="1">
        <v>20</v>
      </c>
      <c r="C14" s="1">
        <v>297</v>
      </c>
      <c r="D14" s="1">
        <v>20</v>
      </c>
      <c r="E14" s="1">
        <v>65</v>
      </c>
      <c r="F14" s="1">
        <v>41</v>
      </c>
      <c r="G14" s="1">
        <v>16</v>
      </c>
      <c r="H14" s="1">
        <v>43</v>
      </c>
      <c r="I14" s="1">
        <v>84</v>
      </c>
      <c r="J14" s="1">
        <v>19</v>
      </c>
      <c r="K14" s="1">
        <v>119</v>
      </c>
      <c r="L14" s="1">
        <v>37</v>
      </c>
      <c r="M14" s="1">
        <v>129</v>
      </c>
      <c r="N14" s="1">
        <v>32</v>
      </c>
      <c r="O14" s="1">
        <v>29</v>
      </c>
      <c r="P14" s="1">
        <v>218</v>
      </c>
      <c r="Q14" s="1">
        <v>14</v>
      </c>
      <c r="R14" s="1">
        <v>268</v>
      </c>
      <c r="S14" s="1">
        <v>73</v>
      </c>
      <c r="T14" s="1">
        <v>172</v>
      </c>
      <c r="U14" s="1">
        <v>27</v>
      </c>
      <c r="V14" s="1">
        <v>20</v>
      </c>
      <c r="W14" s="1">
        <v>30</v>
      </c>
      <c r="X14" s="1">
        <v>66</v>
      </c>
      <c r="Y14" s="1">
        <v>153</v>
      </c>
      <c r="Z14" s="1">
        <v>232</v>
      </c>
      <c r="AA14" s="1">
        <v>137</v>
      </c>
      <c r="AB14" s="1">
        <v>66</v>
      </c>
      <c r="AC14" s="1">
        <v>30</v>
      </c>
      <c r="AD14" s="1">
        <v>128</v>
      </c>
      <c r="AE14" s="1">
        <v>47</v>
      </c>
      <c r="AF14" s="18">
        <f t="shared" si="0"/>
        <v>87.733333333333334</v>
      </c>
    </row>
    <row r="15" spans="1:32" x14ac:dyDescent="0.35">
      <c r="A15" s="1" t="s">
        <v>7</v>
      </c>
      <c r="B15" s="1">
        <v>17</v>
      </c>
      <c r="C15" s="1">
        <v>75</v>
      </c>
      <c r="D15" s="1">
        <v>48</v>
      </c>
      <c r="E15" s="1">
        <v>16</v>
      </c>
      <c r="F15" s="1">
        <v>15</v>
      </c>
      <c r="G15" s="1">
        <v>20</v>
      </c>
      <c r="H15" s="1">
        <v>60</v>
      </c>
      <c r="I15" s="1">
        <v>53</v>
      </c>
      <c r="J15" s="1">
        <v>76</v>
      </c>
      <c r="K15" s="1">
        <v>23</v>
      </c>
      <c r="L15" s="1">
        <v>74</v>
      </c>
      <c r="M15" s="1">
        <v>66</v>
      </c>
      <c r="N15" s="1">
        <v>13</v>
      </c>
      <c r="O15" s="1">
        <v>13</v>
      </c>
      <c r="P15" s="1">
        <v>66</v>
      </c>
      <c r="Q15" s="1">
        <v>77</v>
      </c>
      <c r="R15" s="1">
        <v>116</v>
      </c>
      <c r="S15" s="1">
        <v>86</v>
      </c>
      <c r="T15" s="1">
        <v>13</v>
      </c>
      <c r="U15" s="1">
        <v>46</v>
      </c>
      <c r="V15" s="1">
        <v>47</v>
      </c>
      <c r="W15" s="1">
        <v>42</v>
      </c>
      <c r="X15" s="1">
        <v>54</v>
      </c>
      <c r="Y15" s="1">
        <v>135</v>
      </c>
      <c r="Z15" s="1">
        <v>15</v>
      </c>
      <c r="AA15" s="1">
        <v>116</v>
      </c>
      <c r="AB15" s="1">
        <v>52</v>
      </c>
      <c r="AC15" s="1">
        <v>49</v>
      </c>
      <c r="AD15" s="1">
        <v>134</v>
      </c>
      <c r="AE15" s="1">
        <v>98</v>
      </c>
      <c r="AF15" s="18">
        <f t="shared" si="0"/>
        <v>57.166666666666664</v>
      </c>
    </row>
    <row r="16" spans="1:32" x14ac:dyDescent="0.35">
      <c r="A16" s="1" t="s">
        <v>8</v>
      </c>
      <c r="B16" s="1">
        <v>76</v>
      </c>
      <c r="C16" s="1">
        <v>28</v>
      </c>
      <c r="D16" s="1">
        <v>76</v>
      </c>
      <c r="E16" s="1">
        <v>89</v>
      </c>
      <c r="F16" s="1">
        <v>44</v>
      </c>
      <c r="G16" s="1">
        <v>15</v>
      </c>
      <c r="H16" s="1">
        <v>16</v>
      </c>
      <c r="I16" s="1">
        <v>24</v>
      </c>
      <c r="J16" s="1">
        <v>36</v>
      </c>
      <c r="K16" s="1">
        <v>35</v>
      </c>
      <c r="L16" s="1">
        <v>98</v>
      </c>
      <c r="M16" s="1">
        <v>153</v>
      </c>
      <c r="N16" s="1">
        <v>52</v>
      </c>
      <c r="O16" s="1">
        <v>18</v>
      </c>
      <c r="P16" s="1">
        <v>15</v>
      </c>
      <c r="Q16" s="1">
        <v>19</v>
      </c>
      <c r="R16" s="1">
        <v>46</v>
      </c>
      <c r="S16" s="1">
        <v>101</v>
      </c>
      <c r="T16" s="1">
        <v>49</v>
      </c>
      <c r="U16" s="1">
        <v>89</v>
      </c>
      <c r="V16" s="1">
        <v>61</v>
      </c>
      <c r="W16" s="1">
        <v>102</v>
      </c>
      <c r="X16" s="1">
        <v>88</v>
      </c>
      <c r="Y16" s="1">
        <v>57</v>
      </c>
      <c r="Z16" s="1">
        <v>27</v>
      </c>
      <c r="AA16" s="1">
        <v>26</v>
      </c>
      <c r="AB16" s="1">
        <v>51</v>
      </c>
      <c r="AC16" s="1">
        <v>62</v>
      </c>
      <c r="AD16" s="1">
        <v>66</v>
      </c>
      <c r="AE16" s="1">
        <v>24</v>
      </c>
      <c r="AF16" s="18">
        <f t="shared" si="0"/>
        <v>54.766666666666666</v>
      </c>
    </row>
    <row r="17" spans="1:32" x14ac:dyDescent="0.35">
      <c r="A17" s="1" t="s">
        <v>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8">
        <f t="shared" si="0"/>
        <v>0</v>
      </c>
    </row>
    <row r="18" spans="1:32" x14ac:dyDescent="0.35">
      <c r="A18" s="1" t="s">
        <v>213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8">
        <f t="shared" si="0"/>
        <v>0</v>
      </c>
    </row>
    <row r="19" spans="1:32" x14ac:dyDescent="0.35">
      <c r="A19" s="1" t="s">
        <v>171</v>
      </c>
      <c r="B19" s="1">
        <v>18</v>
      </c>
      <c r="C19" s="1">
        <v>50</v>
      </c>
      <c r="D19" s="1">
        <v>14</v>
      </c>
      <c r="E19" s="1">
        <v>35</v>
      </c>
      <c r="F19" s="1">
        <v>32</v>
      </c>
      <c r="G19" s="1">
        <v>63</v>
      </c>
      <c r="H19" s="1">
        <v>23</v>
      </c>
      <c r="I19" s="1">
        <v>125</v>
      </c>
      <c r="J19" s="1">
        <v>43</v>
      </c>
      <c r="K19" s="1">
        <v>95</v>
      </c>
      <c r="L19" s="1">
        <v>12</v>
      </c>
      <c r="M19" s="1">
        <v>17</v>
      </c>
      <c r="N19" s="1">
        <v>69</v>
      </c>
      <c r="O19" s="1">
        <v>15</v>
      </c>
      <c r="P19" s="1">
        <v>39</v>
      </c>
      <c r="Q19" s="1">
        <v>97</v>
      </c>
      <c r="R19" s="1">
        <v>36</v>
      </c>
      <c r="S19" s="1">
        <v>41</v>
      </c>
      <c r="T19" s="1">
        <v>48</v>
      </c>
      <c r="U19" s="1">
        <v>36</v>
      </c>
      <c r="V19" s="1">
        <v>26</v>
      </c>
      <c r="W19" s="1">
        <v>75</v>
      </c>
      <c r="X19" s="1">
        <v>15</v>
      </c>
      <c r="Y19" s="1">
        <v>44</v>
      </c>
      <c r="Z19" s="1">
        <v>17</v>
      </c>
      <c r="AA19" s="1">
        <v>28</v>
      </c>
      <c r="AB19" s="1">
        <v>43</v>
      </c>
      <c r="AC19" s="1">
        <v>34</v>
      </c>
      <c r="AD19" s="1">
        <v>15</v>
      </c>
      <c r="AE19" s="1">
        <v>13</v>
      </c>
      <c r="AF19" s="18">
        <f t="shared" si="0"/>
        <v>40.6</v>
      </c>
    </row>
    <row r="20" spans="1:32" x14ac:dyDescent="0.35">
      <c r="A20" s="1" t="s">
        <v>214</v>
      </c>
      <c r="B20" s="1">
        <v>62</v>
      </c>
      <c r="C20" s="1">
        <v>114</v>
      </c>
      <c r="D20" s="1">
        <v>21</v>
      </c>
      <c r="E20" s="1">
        <v>56</v>
      </c>
      <c r="F20" s="1">
        <v>13</v>
      </c>
      <c r="G20" s="1">
        <v>105</v>
      </c>
      <c r="H20" s="1">
        <v>40</v>
      </c>
      <c r="I20" s="1">
        <v>13</v>
      </c>
      <c r="J20" s="1">
        <v>16</v>
      </c>
      <c r="K20" s="1">
        <v>12</v>
      </c>
      <c r="L20" s="1">
        <v>17</v>
      </c>
      <c r="M20" s="1">
        <v>28</v>
      </c>
      <c r="N20" s="1">
        <v>15</v>
      </c>
      <c r="O20" s="1">
        <v>38</v>
      </c>
      <c r="P20" s="1">
        <v>26</v>
      </c>
      <c r="Q20" s="1">
        <v>34</v>
      </c>
      <c r="R20" s="1">
        <v>27</v>
      </c>
      <c r="S20" s="1">
        <v>51</v>
      </c>
      <c r="T20" s="1">
        <v>164</v>
      </c>
      <c r="U20" s="1">
        <v>58</v>
      </c>
      <c r="V20" s="1">
        <v>79</v>
      </c>
      <c r="W20" s="1">
        <v>17</v>
      </c>
      <c r="X20" s="1">
        <v>37</v>
      </c>
      <c r="Y20" s="1">
        <v>24</v>
      </c>
      <c r="Z20" s="1">
        <v>26</v>
      </c>
      <c r="AA20" s="1">
        <v>17</v>
      </c>
      <c r="AB20" s="1">
        <v>38</v>
      </c>
      <c r="AC20" s="1">
        <v>29</v>
      </c>
      <c r="AD20" s="1">
        <v>25</v>
      </c>
      <c r="AE20" s="1">
        <v>35</v>
      </c>
      <c r="AF20" s="18">
        <f t="shared" si="0"/>
        <v>41.233333333333334</v>
      </c>
    </row>
    <row r="21" spans="1:32" x14ac:dyDescent="0.35">
      <c r="A21" s="1" t="s">
        <v>10</v>
      </c>
      <c r="B21" s="1">
        <v>17</v>
      </c>
      <c r="C21" s="1">
        <v>15</v>
      </c>
      <c r="D21" s="1">
        <v>24</v>
      </c>
      <c r="E21" s="1">
        <v>67</v>
      </c>
      <c r="F21" s="1">
        <v>19</v>
      </c>
      <c r="G21" s="1">
        <v>50</v>
      </c>
      <c r="H21" s="1">
        <v>40</v>
      </c>
      <c r="I21" s="1">
        <v>19</v>
      </c>
      <c r="J21" s="1">
        <v>50</v>
      </c>
      <c r="K21" s="1">
        <v>90</v>
      </c>
      <c r="L21" s="1">
        <v>23</v>
      </c>
      <c r="M21" s="1">
        <v>50</v>
      </c>
      <c r="N21" s="1">
        <v>151</v>
      </c>
      <c r="O21" s="1">
        <v>34</v>
      </c>
      <c r="P21" s="1">
        <v>40</v>
      </c>
      <c r="Q21" s="1">
        <v>82</v>
      </c>
      <c r="R21" s="1">
        <v>75</v>
      </c>
      <c r="S21" s="1">
        <v>23</v>
      </c>
      <c r="T21" s="1">
        <v>24</v>
      </c>
      <c r="U21" s="1">
        <v>129</v>
      </c>
      <c r="V21" s="1">
        <v>29</v>
      </c>
      <c r="W21" s="1">
        <v>23</v>
      </c>
      <c r="X21" s="1">
        <v>74</v>
      </c>
      <c r="Y21" s="1">
        <v>81</v>
      </c>
      <c r="Z21" s="1">
        <v>18</v>
      </c>
      <c r="AA21" s="1">
        <v>98</v>
      </c>
      <c r="AB21" s="1">
        <v>29</v>
      </c>
      <c r="AC21" s="1">
        <v>68</v>
      </c>
      <c r="AD21" s="1">
        <v>84</v>
      </c>
      <c r="AE21" s="1">
        <v>78</v>
      </c>
      <c r="AF21" s="18">
        <f t="shared" si="0"/>
        <v>53.466666666666669</v>
      </c>
    </row>
    <row r="22" spans="1:32" x14ac:dyDescent="0.35">
      <c r="A22" s="1" t="s">
        <v>11</v>
      </c>
      <c r="B22" s="1">
        <v>42</v>
      </c>
      <c r="C22" s="1">
        <v>15</v>
      </c>
      <c r="D22" s="1">
        <v>13</v>
      </c>
      <c r="E22" s="1">
        <v>39</v>
      </c>
      <c r="F22" s="1">
        <v>84</v>
      </c>
      <c r="G22" s="1">
        <v>26</v>
      </c>
      <c r="H22" s="1">
        <v>18</v>
      </c>
      <c r="I22" s="1">
        <v>156</v>
      </c>
      <c r="J22" s="1">
        <v>124</v>
      </c>
      <c r="K22" s="1">
        <v>17</v>
      </c>
      <c r="L22" s="1">
        <v>39</v>
      </c>
      <c r="M22" s="1">
        <v>40</v>
      </c>
      <c r="N22" s="1">
        <v>16</v>
      </c>
      <c r="O22" s="1">
        <v>61</v>
      </c>
      <c r="P22" s="1">
        <v>25</v>
      </c>
      <c r="Q22" s="1">
        <v>31</v>
      </c>
      <c r="R22" s="1">
        <v>70</v>
      </c>
      <c r="S22" s="1">
        <v>81</v>
      </c>
      <c r="T22" s="1">
        <v>46</v>
      </c>
      <c r="U22" s="1">
        <v>99</v>
      </c>
      <c r="V22" s="1">
        <v>34</v>
      </c>
      <c r="W22" s="1">
        <v>12</v>
      </c>
      <c r="X22" s="1">
        <v>45</v>
      </c>
      <c r="Y22" s="1">
        <v>27</v>
      </c>
      <c r="Z22" s="1">
        <v>18</v>
      </c>
      <c r="AA22" s="1">
        <v>176</v>
      </c>
      <c r="AB22" s="1">
        <v>16</v>
      </c>
      <c r="AC22" s="1">
        <v>41</v>
      </c>
      <c r="AD22" s="1">
        <v>15</v>
      </c>
      <c r="AE22" s="1">
        <v>63</v>
      </c>
      <c r="AF22" s="18">
        <f t="shared" si="0"/>
        <v>49.633333333333333</v>
      </c>
    </row>
    <row r="23" spans="1:32" x14ac:dyDescent="0.35">
      <c r="A23" s="1" t="s">
        <v>12</v>
      </c>
      <c r="B23" s="1">
        <v>27</v>
      </c>
      <c r="C23" s="1">
        <v>20</v>
      </c>
      <c r="D23" s="1">
        <v>59</v>
      </c>
      <c r="E23" s="1">
        <v>30</v>
      </c>
      <c r="F23" s="1">
        <v>150</v>
      </c>
      <c r="G23" s="1">
        <v>86</v>
      </c>
      <c r="H23" s="1">
        <v>97</v>
      </c>
      <c r="I23" s="1">
        <v>30</v>
      </c>
      <c r="J23" s="1">
        <v>15</v>
      </c>
      <c r="K23" s="1">
        <v>167</v>
      </c>
      <c r="L23" s="1">
        <v>91</v>
      </c>
      <c r="M23" s="1">
        <v>115</v>
      </c>
      <c r="N23" s="1">
        <v>132</v>
      </c>
      <c r="O23" s="1">
        <v>90</v>
      </c>
      <c r="P23" s="1">
        <v>156</v>
      </c>
      <c r="Q23" s="1">
        <v>23</v>
      </c>
      <c r="R23" s="1">
        <v>18</v>
      </c>
      <c r="S23" s="1">
        <v>62</v>
      </c>
      <c r="T23" s="1">
        <v>52</v>
      </c>
      <c r="U23" s="1">
        <v>129</v>
      </c>
      <c r="V23" s="1">
        <v>82</v>
      </c>
      <c r="W23" s="1">
        <v>41</v>
      </c>
      <c r="X23" s="1">
        <v>17</v>
      </c>
      <c r="Y23" s="1">
        <v>55</v>
      </c>
      <c r="Z23" s="1">
        <v>56</v>
      </c>
      <c r="AA23" s="1">
        <v>24</v>
      </c>
      <c r="AB23" s="1">
        <v>35</v>
      </c>
      <c r="AC23" s="1">
        <v>124</v>
      </c>
      <c r="AD23" s="1">
        <v>19</v>
      </c>
      <c r="AE23" s="1">
        <v>297</v>
      </c>
      <c r="AF23" s="18">
        <f t="shared" si="0"/>
        <v>76.63333333333334</v>
      </c>
    </row>
    <row r="24" spans="1:32" x14ac:dyDescent="0.35">
      <c r="A24" s="1" t="s">
        <v>13</v>
      </c>
      <c r="B24" s="1">
        <v>40</v>
      </c>
      <c r="C24" s="1">
        <v>69</v>
      </c>
      <c r="D24" s="1">
        <v>75</v>
      </c>
      <c r="E24" s="1">
        <v>91</v>
      </c>
      <c r="F24" s="1">
        <v>45</v>
      </c>
      <c r="G24" s="1">
        <v>79</v>
      </c>
      <c r="H24" s="1">
        <v>26</v>
      </c>
      <c r="I24" s="1">
        <v>77</v>
      </c>
      <c r="J24" s="1">
        <v>12</v>
      </c>
      <c r="K24" s="1">
        <v>17</v>
      </c>
      <c r="L24" s="1">
        <v>60</v>
      </c>
      <c r="M24" s="1">
        <v>58</v>
      </c>
      <c r="N24" s="1">
        <v>145</v>
      </c>
      <c r="O24" s="1">
        <v>144</v>
      </c>
      <c r="P24" s="1">
        <v>126</v>
      </c>
      <c r="Q24" s="1">
        <v>86</v>
      </c>
      <c r="R24" s="1">
        <v>55</v>
      </c>
      <c r="S24" s="1">
        <v>32</v>
      </c>
      <c r="T24" s="1">
        <v>261</v>
      </c>
      <c r="U24" s="1">
        <v>34</v>
      </c>
      <c r="V24" s="1">
        <v>41</v>
      </c>
      <c r="W24" s="1">
        <v>51</v>
      </c>
      <c r="X24" s="1">
        <v>44</v>
      </c>
      <c r="Y24" s="1">
        <v>35</v>
      </c>
      <c r="Z24" s="1">
        <v>63</v>
      </c>
      <c r="AA24" s="1">
        <v>107</v>
      </c>
      <c r="AB24" s="1">
        <v>23</v>
      </c>
      <c r="AC24" s="1">
        <v>27</v>
      </c>
      <c r="AD24" s="1">
        <v>42</v>
      </c>
      <c r="AE24" s="1">
        <v>20</v>
      </c>
      <c r="AF24" s="18">
        <f t="shared" si="0"/>
        <v>66.166666666666671</v>
      </c>
    </row>
    <row r="25" spans="1:32" x14ac:dyDescent="0.35">
      <c r="A25" s="1" t="s">
        <v>14</v>
      </c>
      <c r="B25" s="1">
        <v>18</v>
      </c>
      <c r="C25" s="1">
        <v>34</v>
      </c>
      <c r="D25" s="1">
        <v>26</v>
      </c>
      <c r="E25" s="1">
        <v>43</v>
      </c>
      <c r="F25" s="1">
        <v>22</v>
      </c>
      <c r="G25" s="1">
        <v>90</v>
      </c>
      <c r="H25" s="1">
        <v>35</v>
      </c>
      <c r="I25" s="1">
        <v>66</v>
      </c>
      <c r="J25" s="1">
        <v>104</v>
      </c>
      <c r="K25" s="1">
        <v>17</v>
      </c>
      <c r="L25" s="1">
        <v>76</v>
      </c>
      <c r="M25" s="1">
        <v>69</v>
      </c>
      <c r="N25" s="1">
        <v>15</v>
      </c>
      <c r="O25" s="1">
        <v>14</v>
      </c>
      <c r="P25" s="1">
        <v>64</v>
      </c>
      <c r="Q25" s="1">
        <v>107</v>
      </c>
      <c r="R25" s="1">
        <v>37</v>
      </c>
      <c r="S25" s="1">
        <v>38</v>
      </c>
      <c r="T25" s="1">
        <v>93</v>
      </c>
      <c r="U25" s="1">
        <v>18</v>
      </c>
      <c r="V25" s="1">
        <v>48</v>
      </c>
      <c r="W25" s="1">
        <v>50</v>
      </c>
      <c r="X25" s="1">
        <v>29</v>
      </c>
      <c r="Y25" s="1">
        <v>55</v>
      </c>
      <c r="Z25" s="1">
        <v>80</v>
      </c>
      <c r="AA25" s="1">
        <v>20</v>
      </c>
      <c r="AB25" s="1">
        <v>72</v>
      </c>
      <c r="AC25" s="1">
        <v>34</v>
      </c>
      <c r="AD25" s="1">
        <v>49</v>
      </c>
      <c r="AE25" s="1">
        <v>47</v>
      </c>
      <c r="AF25" s="18">
        <f t="shared" si="0"/>
        <v>49</v>
      </c>
    </row>
    <row r="26" spans="1:32" x14ac:dyDescent="0.35">
      <c r="A26" s="1" t="s">
        <v>15</v>
      </c>
      <c r="B26" s="1">
        <v>23</v>
      </c>
      <c r="C26" s="1">
        <v>133</v>
      </c>
      <c r="D26" s="1">
        <v>124</v>
      </c>
      <c r="E26" s="1">
        <v>100</v>
      </c>
      <c r="F26" s="1">
        <v>87</v>
      </c>
      <c r="G26" s="1">
        <v>94</v>
      </c>
      <c r="H26" s="1">
        <v>17</v>
      </c>
      <c r="I26" s="1">
        <v>219</v>
      </c>
      <c r="J26" s="1">
        <v>18</v>
      </c>
      <c r="K26" s="1">
        <v>20</v>
      </c>
      <c r="L26" s="1">
        <v>78</v>
      </c>
      <c r="M26" s="1">
        <v>83</v>
      </c>
      <c r="N26" s="1">
        <v>75</v>
      </c>
      <c r="O26" s="1">
        <v>62</v>
      </c>
      <c r="P26" s="1">
        <v>68</v>
      </c>
      <c r="Q26" s="1">
        <v>18</v>
      </c>
      <c r="R26" s="1">
        <v>12</v>
      </c>
      <c r="S26" s="1">
        <v>131</v>
      </c>
      <c r="T26" s="1">
        <v>16</v>
      </c>
      <c r="U26" s="1">
        <v>12</v>
      </c>
      <c r="V26" s="1">
        <v>95</v>
      </c>
      <c r="W26" s="1">
        <v>18</v>
      </c>
      <c r="X26" s="1">
        <v>87</v>
      </c>
      <c r="Y26" s="1">
        <v>61</v>
      </c>
      <c r="Z26" s="1">
        <v>94</v>
      </c>
      <c r="AA26" s="1">
        <v>34</v>
      </c>
      <c r="AB26" s="1">
        <v>30</v>
      </c>
      <c r="AC26" s="1">
        <v>55</v>
      </c>
      <c r="AD26" s="1">
        <v>13</v>
      </c>
      <c r="AE26" s="1">
        <v>12</v>
      </c>
      <c r="AF26" s="18">
        <f t="shared" si="0"/>
        <v>62.966666666666669</v>
      </c>
    </row>
    <row r="27" spans="1:32" x14ac:dyDescent="0.35">
      <c r="A27" s="1" t="s">
        <v>172</v>
      </c>
      <c r="B27" s="1">
        <v>53</v>
      </c>
      <c r="C27" s="1">
        <v>40</v>
      </c>
      <c r="D27" s="1">
        <v>88</v>
      </c>
      <c r="E27" s="1">
        <v>20</v>
      </c>
      <c r="F27" s="1">
        <v>38</v>
      </c>
      <c r="G27" s="1">
        <v>24</v>
      </c>
      <c r="H27" s="1">
        <v>187</v>
      </c>
      <c r="I27" s="1">
        <v>91</v>
      </c>
      <c r="J27" s="1">
        <v>79</v>
      </c>
      <c r="K27" s="1">
        <v>14</v>
      </c>
      <c r="L27" s="1">
        <v>93</v>
      </c>
      <c r="M27" s="1">
        <v>40</v>
      </c>
      <c r="N27" s="1">
        <v>31</v>
      </c>
      <c r="O27" s="1">
        <v>15</v>
      </c>
      <c r="P27" s="1">
        <v>29</v>
      </c>
      <c r="Q27" s="1">
        <v>20</v>
      </c>
      <c r="R27" s="1">
        <v>67</v>
      </c>
      <c r="S27" s="1">
        <v>19</v>
      </c>
      <c r="T27" s="1">
        <v>59</v>
      </c>
      <c r="U27" s="1">
        <v>34</v>
      </c>
      <c r="V27" s="1">
        <v>35</v>
      </c>
      <c r="W27" s="1">
        <v>22</v>
      </c>
      <c r="X27" s="1">
        <v>22</v>
      </c>
      <c r="Y27" s="1">
        <v>75</v>
      </c>
      <c r="Z27" s="1">
        <v>82</v>
      </c>
      <c r="AA27" s="1">
        <v>56</v>
      </c>
      <c r="AB27" s="1">
        <v>108</v>
      </c>
      <c r="AC27" s="1">
        <v>134</v>
      </c>
      <c r="AD27" s="1">
        <v>181</v>
      </c>
      <c r="AE27" s="1">
        <v>13</v>
      </c>
      <c r="AF27" s="18">
        <f t="shared" si="0"/>
        <v>58.966666666666669</v>
      </c>
    </row>
    <row r="28" spans="1:32" x14ac:dyDescent="0.35">
      <c r="A28" s="1" t="s">
        <v>16</v>
      </c>
      <c r="B28" s="1">
        <v>61</v>
      </c>
      <c r="C28" s="1">
        <v>141</v>
      </c>
      <c r="D28" s="1">
        <v>19</v>
      </c>
      <c r="E28" s="1">
        <v>78</v>
      </c>
      <c r="F28" s="1">
        <v>100</v>
      </c>
      <c r="G28" s="1">
        <v>87</v>
      </c>
      <c r="H28" s="1">
        <v>72</v>
      </c>
      <c r="I28" s="1">
        <v>141</v>
      </c>
      <c r="J28" s="1">
        <v>19</v>
      </c>
      <c r="K28" s="1">
        <v>50</v>
      </c>
      <c r="L28" s="1">
        <v>79</v>
      </c>
      <c r="M28" s="1">
        <v>129</v>
      </c>
      <c r="N28" s="1">
        <v>24</v>
      </c>
      <c r="O28" s="1">
        <v>50</v>
      </c>
      <c r="P28" s="1">
        <v>92</v>
      </c>
      <c r="Q28" s="1">
        <v>61</v>
      </c>
      <c r="R28" s="1">
        <v>44</v>
      </c>
      <c r="S28" s="1">
        <v>60</v>
      </c>
      <c r="T28" s="1">
        <v>15</v>
      </c>
      <c r="U28" s="1">
        <v>87</v>
      </c>
      <c r="V28" s="1">
        <v>26</v>
      </c>
      <c r="W28" s="1">
        <v>62</v>
      </c>
      <c r="X28" s="1">
        <v>177</v>
      </c>
      <c r="Y28" s="1">
        <v>27</v>
      </c>
      <c r="Z28" s="1">
        <v>25</v>
      </c>
      <c r="AA28" s="1">
        <v>18</v>
      </c>
      <c r="AB28" s="1">
        <v>42</v>
      </c>
      <c r="AC28" s="1">
        <v>130</v>
      </c>
      <c r="AD28" s="1">
        <v>114</v>
      </c>
      <c r="AE28" s="1">
        <v>57</v>
      </c>
      <c r="AF28" s="18">
        <f t="shared" si="0"/>
        <v>69.566666666666663</v>
      </c>
    </row>
    <row r="29" spans="1:32" x14ac:dyDescent="0.35">
      <c r="A29" s="1" t="s">
        <v>195</v>
      </c>
      <c r="B29" s="1">
        <v>51</v>
      </c>
      <c r="C29" s="1">
        <v>21</v>
      </c>
      <c r="D29" s="1">
        <v>19</v>
      </c>
      <c r="E29" s="1">
        <v>14</v>
      </c>
      <c r="F29" s="1">
        <v>26</v>
      </c>
      <c r="G29" s="1">
        <v>150</v>
      </c>
      <c r="H29" s="1">
        <v>205</v>
      </c>
      <c r="I29" s="1">
        <v>12</v>
      </c>
      <c r="J29" s="1">
        <v>71</v>
      </c>
      <c r="K29" s="1">
        <v>22</v>
      </c>
      <c r="L29" s="1">
        <v>27</v>
      </c>
      <c r="M29" s="1">
        <v>116</v>
      </c>
      <c r="N29" s="1">
        <v>181</v>
      </c>
      <c r="O29" s="1">
        <v>25</v>
      </c>
      <c r="P29" s="1">
        <v>21</v>
      </c>
      <c r="Q29" s="1">
        <v>46</v>
      </c>
      <c r="R29" s="1">
        <v>31</v>
      </c>
      <c r="S29" s="1">
        <v>14</v>
      </c>
      <c r="T29" s="1">
        <v>12</v>
      </c>
      <c r="U29" s="1">
        <v>22</v>
      </c>
      <c r="V29" s="1">
        <v>36</v>
      </c>
      <c r="W29" s="1">
        <v>92</v>
      </c>
      <c r="X29" s="1">
        <v>58</v>
      </c>
      <c r="Y29" s="1">
        <v>61</v>
      </c>
      <c r="Z29" s="1">
        <v>12</v>
      </c>
      <c r="AA29" s="1">
        <v>74</v>
      </c>
      <c r="AB29" s="1">
        <v>61</v>
      </c>
      <c r="AC29" s="1">
        <v>15</v>
      </c>
      <c r="AD29" s="1">
        <v>19</v>
      </c>
      <c r="AE29" s="1">
        <v>12</v>
      </c>
      <c r="AF29" s="18">
        <f t="shared" si="0"/>
        <v>50.866666666666667</v>
      </c>
    </row>
    <row r="30" spans="1:32" x14ac:dyDescent="0.35">
      <c r="A30" s="1" t="s">
        <v>173</v>
      </c>
      <c r="B30" s="1">
        <v>29</v>
      </c>
      <c r="C30" s="1">
        <v>95</v>
      </c>
      <c r="D30" s="1">
        <v>90</v>
      </c>
      <c r="E30" s="1">
        <v>32</v>
      </c>
      <c r="F30" s="1">
        <v>13</v>
      </c>
      <c r="G30" s="1">
        <v>36</v>
      </c>
      <c r="H30" s="1">
        <v>13</v>
      </c>
      <c r="I30" s="1">
        <v>62</v>
      </c>
      <c r="J30" s="1">
        <v>14</v>
      </c>
      <c r="K30" s="1">
        <v>13</v>
      </c>
      <c r="L30" s="1">
        <v>59</v>
      </c>
      <c r="M30" s="1">
        <v>17</v>
      </c>
      <c r="N30" s="1">
        <v>72</v>
      </c>
      <c r="O30" s="1">
        <v>17</v>
      </c>
      <c r="P30" s="1">
        <v>146</v>
      </c>
      <c r="Q30" s="1">
        <v>75</v>
      </c>
      <c r="R30" s="1">
        <v>22</v>
      </c>
      <c r="S30" s="1">
        <v>13</v>
      </c>
      <c r="T30" s="1">
        <v>39</v>
      </c>
      <c r="U30" s="1">
        <v>139</v>
      </c>
      <c r="V30" s="1">
        <v>46</v>
      </c>
      <c r="W30" s="1">
        <v>82</v>
      </c>
      <c r="X30" s="1">
        <v>12</v>
      </c>
      <c r="Y30" s="1">
        <v>54</v>
      </c>
      <c r="Z30" s="1">
        <v>13</v>
      </c>
      <c r="AA30" s="1">
        <v>65</v>
      </c>
      <c r="AB30" s="1">
        <v>34</v>
      </c>
      <c r="AC30" s="1">
        <v>102</v>
      </c>
      <c r="AD30" s="1">
        <v>63</v>
      </c>
      <c r="AE30" s="1">
        <v>15</v>
      </c>
      <c r="AF30" s="18">
        <f t="shared" si="0"/>
        <v>49.4</v>
      </c>
    </row>
    <row r="31" spans="1:32" x14ac:dyDescent="0.35">
      <c r="A31" s="1" t="s">
        <v>17</v>
      </c>
      <c r="B31" s="1">
        <v>20</v>
      </c>
      <c r="C31" s="1">
        <v>95</v>
      </c>
      <c r="D31" s="1">
        <v>20</v>
      </c>
      <c r="E31" s="1">
        <v>18</v>
      </c>
      <c r="F31" s="1">
        <v>83</v>
      </c>
      <c r="G31" s="1">
        <v>62</v>
      </c>
      <c r="H31" s="1">
        <v>27</v>
      </c>
      <c r="I31" s="1">
        <v>59</v>
      </c>
      <c r="J31" s="1">
        <v>61</v>
      </c>
      <c r="K31" s="1">
        <v>19</v>
      </c>
      <c r="L31" s="1">
        <v>50</v>
      </c>
      <c r="M31" s="1">
        <v>21</v>
      </c>
      <c r="N31" s="1">
        <v>40</v>
      </c>
      <c r="O31" s="1">
        <v>69</v>
      </c>
      <c r="P31" s="1">
        <v>12</v>
      </c>
      <c r="Q31" s="1">
        <v>14</v>
      </c>
      <c r="R31" s="1">
        <v>34</v>
      </c>
      <c r="S31" s="1">
        <v>18</v>
      </c>
      <c r="T31" s="1">
        <v>41</v>
      </c>
      <c r="U31" s="1">
        <v>31</v>
      </c>
      <c r="V31" s="1">
        <v>22</v>
      </c>
      <c r="W31" s="1">
        <v>24</v>
      </c>
      <c r="X31" s="1">
        <v>21</v>
      </c>
      <c r="Y31" s="1">
        <v>25</v>
      </c>
      <c r="Z31" s="1">
        <v>50</v>
      </c>
      <c r="AA31" s="1">
        <v>35</v>
      </c>
      <c r="AB31" s="1">
        <v>45</v>
      </c>
      <c r="AC31" s="1">
        <v>47</v>
      </c>
      <c r="AD31" s="1">
        <v>26</v>
      </c>
      <c r="AE31" s="1">
        <v>20</v>
      </c>
      <c r="AF31" s="18">
        <f t="shared" si="0"/>
        <v>36.966666666666669</v>
      </c>
    </row>
    <row r="32" spans="1:32" x14ac:dyDescent="0.35">
      <c r="A32" s="1" t="s">
        <v>18</v>
      </c>
      <c r="B32" s="1">
        <v>78</v>
      </c>
      <c r="C32" s="1">
        <v>32</v>
      </c>
      <c r="D32" s="1">
        <v>50</v>
      </c>
      <c r="E32" s="1">
        <v>128</v>
      </c>
      <c r="F32" s="1">
        <v>154</v>
      </c>
      <c r="G32" s="1">
        <v>30</v>
      </c>
      <c r="H32" s="1">
        <v>92</v>
      </c>
      <c r="I32" s="1">
        <v>92</v>
      </c>
      <c r="J32" s="1">
        <v>86</v>
      </c>
      <c r="K32" s="1">
        <v>14</v>
      </c>
      <c r="L32" s="1">
        <v>41</v>
      </c>
      <c r="M32" s="1">
        <v>20</v>
      </c>
      <c r="N32" s="1">
        <v>69</v>
      </c>
      <c r="O32" s="1">
        <v>35</v>
      </c>
      <c r="P32" s="1">
        <v>52</v>
      </c>
      <c r="Q32" s="1">
        <v>36</v>
      </c>
      <c r="R32" s="1">
        <v>59</v>
      </c>
      <c r="S32" s="1">
        <v>58</v>
      </c>
      <c r="T32" s="1">
        <v>17</v>
      </c>
      <c r="U32" s="1">
        <v>60</v>
      </c>
      <c r="V32" s="1">
        <v>57</v>
      </c>
      <c r="W32" s="1">
        <v>52</v>
      </c>
      <c r="X32" s="1">
        <v>32</v>
      </c>
      <c r="Y32" s="1">
        <v>85</v>
      </c>
      <c r="Z32" s="1">
        <v>29</v>
      </c>
      <c r="AA32" s="1">
        <v>74</v>
      </c>
      <c r="AB32" s="1">
        <v>87</v>
      </c>
      <c r="AC32" s="1">
        <v>115</v>
      </c>
      <c r="AD32" s="1">
        <v>78</v>
      </c>
      <c r="AE32" s="1">
        <v>21</v>
      </c>
      <c r="AF32" s="18">
        <f t="shared" si="0"/>
        <v>61.1</v>
      </c>
    </row>
    <row r="33" spans="1:32" x14ac:dyDescent="0.35">
      <c r="A33" s="1" t="s">
        <v>19</v>
      </c>
      <c r="B33" s="1">
        <v>24</v>
      </c>
      <c r="C33" s="1">
        <v>16</v>
      </c>
      <c r="D33" s="1">
        <v>128</v>
      </c>
      <c r="E33" s="1">
        <v>55</v>
      </c>
      <c r="F33" s="1">
        <v>160</v>
      </c>
      <c r="G33" s="1">
        <v>190</v>
      </c>
      <c r="H33" s="1">
        <v>19</v>
      </c>
      <c r="I33" s="1">
        <v>45</v>
      </c>
      <c r="J33" s="1">
        <v>64</v>
      </c>
      <c r="K33" s="1">
        <v>44</v>
      </c>
      <c r="L33" s="1">
        <v>94</v>
      </c>
      <c r="M33" s="1">
        <v>18</v>
      </c>
      <c r="N33" s="1">
        <v>57</v>
      </c>
      <c r="O33" s="1">
        <v>21</v>
      </c>
      <c r="P33" s="1">
        <v>49</v>
      </c>
      <c r="Q33" s="1">
        <v>114</v>
      </c>
      <c r="R33" s="1">
        <v>54</v>
      </c>
      <c r="S33" s="1">
        <v>28</v>
      </c>
      <c r="T33" s="1">
        <v>133</v>
      </c>
      <c r="U33" s="1">
        <v>32</v>
      </c>
      <c r="V33" s="1">
        <v>61</v>
      </c>
      <c r="W33" s="1">
        <v>81</v>
      </c>
      <c r="X33" s="1">
        <v>70</v>
      </c>
      <c r="Y33" s="1">
        <v>69</v>
      </c>
      <c r="Z33" s="1">
        <v>21</v>
      </c>
      <c r="AA33" s="1">
        <v>19</v>
      </c>
      <c r="AB33" s="1">
        <v>87</v>
      </c>
      <c r="AC33" s="1">
        <v>103</v>
      </c>
      <c r="AD33" s="1">
        <v>254</v>
      </c>
      <c r="AE33" s="1">
        <v>201</v>
      </c>
      <c r="AF33" s="18">
        <f t="shared" si="0"/>
        <v>77.033333333333331</v>
      </c>
    </row>
    <row r="34" spans="1:32" x14ac:dyDescent="0.35">
      <c r="A34" s="1" t="s">
        <v>174</v>
      </c>
      <c r="B34" s="1">
        <v>87</v>
      </c>
      <c r="C34" s="1">
        <v>60</v>
      </c>
      <c r="D34" s="1">
        <v>162</v>
      </c>
      <c r="E34" s="1">
        <v>24</v>
      </c>
      <c r="F34" s="1">
        <v>77</v>
      </c>
      <c r="G34" s="1">
        <v>145</v>
      </c>
      <c r="H34" s="1">
        <v>17</v>
      </c>
      <c r="I34" s="1">
        <v>90</v>
      </c>
      <c r="J34" s="1">
        <v>36</v>
      </c>
      <c r="K34" s="1">
        <v>18</v>
      </c>
      <c r="L34" s="1">
        <v>189</v>
      </c>
      <c r="M34" s="1">
        <v>12</v>
      </c>
      <c r="N34" s="1">
        <v>80</v>
      </c>
      <c r="O34" s="1">
        <v>15</v>
      </c>
      <c r="P34" s="1">
        <v>91</v>
      </c>
      <c r="Q34" s="1">
        <v>82</v>
      </c>
      <c r="R34" s="1">
        <v>48</v>
      </c>
      <c r="S34" s="1">
        <v>159</v>
      </c>
      <c r="T34" s="1">
        <v>32</v>
      </c>
      <c r="U34" s="1">
        <v>65</v>
      </c>
      <c r="V34" s="1">
        <v>49</v>
      </c>
      <c r="W34" s="1">
        <v>61</v>
      </c>
      <c r="X34" s="1">
        <v>55</v>
      </c>
      <c r="Y34" s="1">
        <v>110</v>
      </c>
      <c r="Z34" s="1">
        <v>38</v>
      </c>
      <c r="AA34" s="1">
        <v>21</v>
      </c>
      <c r="AB34" s="1">
        <v>116</v>
      </c>
      <c r="AC34" s="1">
        <v>25</v>
      </c>
      <c r="AD34" s="1">
        <v>26</v>
      </c>
      <c r="AE34" s="1">
        <v>41</v>
      </c>
      <c r="AF34" s="18">
        <f t="shared" si="0"/>
        <v>67.7</v>
      </c>
    </row>
    <row r="35" spans="1:32" x14ac:dyDescent="0.35">
      <c r="A35" s="1" t="s">
        <v>20</v>
      </c>
      <c r="B35" s="1">
        <v>12</v>
      </c>
      <c r="C35" s="1">
        <v>50</v>
      </c>
      <c r="D35" s="1">
        <v>17</v>
      </c>
      <c r="E35" s="1">
        <v>26</v>
      </c>
      <c r="F35" s="1">
        <v>131</v>
      </c>
      <c r="G35" s="1">
        <v>60</v>
      </c>
      <c r="H35" s="1">
        <v>29</v>
      </c>
      <c r="I35" s="1">
        <v>71</v>
      </c>
      <c r="J35" s="1">
        <v>58</v>
      </c>
      <c r="K35" s="1">
        <v>16</v>
      </c>
      <c r="L35" s="1">
        <v>81</v>
      </c>
      <c r="M35" s="1">
        <v>12</v>
      </c>
      <c r="N35" s="1">
        <v>26</v>
      </c>
      <c r="O35" s="1">
        <v>29</v>
      </c>
      <c r="P35" s="1">
        <v>135</v>
      </c>
      <c r="Q35" s="1">
        <v>35</v>
      </c>
      <c r="R35" s="1">
        <v>29</v>
      </c>
      <c r="S35" s="1">
        <v>89</v>
      </c>
      <c r="T35" s="1">
        <v>38</v>
      </c>
      <c r="U35" s="1">
        <v>112</v>
      </c>
      <c r="V35" s="1">
        <v>92</v>
      </c>
      <c r="W35" s="1">
        <v>38</v>
      </c>
      <c r="X35" s="1">
        <v>57</v>
      </c>
      <c r="Y35" s="1">
        <v>16</v>
      </c>
      <c r="Z35" s="1">
        <v>32</v>
      </c>
      <c r="AA35" s="1">
        <v>34</v>
      </c>
      <c r="AB35" s="1">
        <v>123</v>
      </c>
      <c r="AC35" s="1">
        <v>24</v>
      </c>
      <c r="AD35" s="1">
        <v>34</v>
      </c>
      <c r="AE35" s="1">
        <v>33</v>
      </c>
      <c r="AF35" s="18">
        <f t="shared" si="0"/>
        <v>51.3</v>
      </c>
    </row>
    <row r="36" spans="1:32" x14ac:dyDescent="0.35">
      <c r="A36" s="1" t="s">
        <v>21</v>
      </c>
      <c r="B36" s="1">
        <v>37</v>
      </c>
      <c r="C36" s="1">
        <v>20</v>
      </c>
      <c r="D36" s="1">
        <v>52</v>
      </c>
      <c r="E36" s="1">
        <v>105</v>
      </c>
      <c r="F36" s="1">
        <v>263</v>
      </c>
      <c r="G36" s="1">
        <v>86</v>
      </c>
      <c r="H36" s="1">
        <v>95</v>
      </c>
      <c r="I36" s="1">
        <v>53</v>
      </c>
      <c r="J36" s="1">
        <v>44</v>
      </c>
      <c r="K36" s="1">
        <v>27</v>
      </c>
      <c r="L36" s="1">
        <v>87</v>
      </c>
      <c r="M36" s="1">
        <v>28</v>
      </c>
      <c r="N36" s="1">
        <v>12</v>
      </c>
      <c r="O36" s="1">
        <v>76</v>
      </c>
      <c r="P36" s="1">
        <v>151</v>
      </c>
      <c r="Q36" s="1">
        <v>98</v>
      </c>
      <c r="R36" s="1">
        <v>24</v>
      </c>
      <c r="S36" s="1">
        <v>21</v>
      </c>
      <c r="T36" s="1">
        <v>38</v>
      </c>
      <c r="U36" s="1">
        <v>132</v>
      </c>
      <c r="V36" s="1">
        <v>112</v>
      </c>
      <c r="W36" s="1">
        <v>39</v>
      </c>
      <c r="X36" s="1">
        <v>13</v>
      </c>
      <c r="Y36" s="1">
        <v>21</v>
      </c>
      <c r="Z36" s="1">
        <v>108</v>
      </c>
      <c r="AA36" s="1">
        <v>50</v>
      </c>
      <c r="AB36" s="1">
        <v>69</v>
      </c>
      <c r="AC36" s="1">
        <v>14</v>
      </c>
      <c r="AD36" s="1">
        <v>47</v>
      </c>
      <c r="AE36" s="1">
        <v>37</v>
      </c>
      <c r="AF36" s="18">
        <f t="shared" si="0"/>
        <v>65.3</v>
      </c>
    </row>
    <row r="37" spans="1:32" x14ac:dyDescent="0.35">
      <c r="A37" s="1" t="s">
        <v>22</v>
      </c>
      <c r="B37" s="1">
        <v>23</v>
      </c>
      <c r="C37" s="1">
        <v>35</v>
      </c>
      <c r="D37" s="1">
        <v>37</v>
      </c>
      <c r="E37" s="1">
        <v>30</v>
      </c>
      <c r="F37" s="1">
        <v>22</v>
      </c>
      <c r="G37" s="1">
        <v>42</v>
      </c>
      <c r="H37" s="1">
        <v>37</v>
      </c>
      <c r="I37" s="1">
        <v>20</v>
      </c>
      <c r="J37" s="1">
        <v>29</v>
      </c>
      <c r="K37" s="1">
        <v>35</v>
      </c>
      <c r="L37" s="1">
        <v>12</v>
      </c>
      <c r="M37" s="1">
        <v>20</v>
      </c>
      <c r="N37" s="1">
        <v>46</v>
      </c>
      <c r="O37" s="1">
        <v>29</v>
      </c>
      <c r="P37" s="1">
        <v>17</v>
      </c>
      <c r="Q37" s="1">
        <v>22</v>
      </c>
      <c r="R37" s="1">
        <v>114</v>
      </c>
      <c r="S37" s="1">
        <v>167</v>
      </c>
      <c r="T37" s="1">
        <v>41</v>
      </c>
      <c r="U37" s="1">
        <v>12</v>
      </c>
      <c r="V37" s="1">
        <v>27</v>
      </c>
      <c r="W37" s="1">
        <v>105</v>
      </c>
      <c r="X37" s="1">
        <v>38</v>
      </c>
      <c r="Y37" s="1">
        <v>36</v>
      </c>
      <c r="Z37" s="1">
        <v>41</v>
      </c>
      <c r="AA37" s="1">
        <v>115</v>
      </c>
      <c r="AB37" s="1">
        <v>57</v>
      </c>
      <c r="AC37" s="1">
        <v>65</v>
      </c>
      <c r="AD37" s="1">
        <v>90</v>
      </c>
      <c r="AE37" s="1">
        <v>51</v>
      </c>
      <c r="AF37" s="18">
        <f t="shared" si="0"/>
        <v>47.166666666666664</v>
      </c>
    </row>
    <row r="38" spans="1:32" x14ac:dyDescent="0.35">
      <c r="A38" s="1" t="s">
        <v>23</v>
      </c>
      <c r="B38" s="1">
        <v>132</v>
      </c>
      <c r="C38" s="1">
        <v>71</v>
      </c>
      <c r="D38" s="1">
        <v>87</v>
      </c>
      <c r="E38" s="1">
        <v>105</v>
      </c>
      <c r="F38" s="1">
        <v>60</v>
      </c>
      <c r="G38" s="1">
        <v>86</v>
      </c>
      <c r="H38" s="1">
        <v>97</v>
      </c>
      <c r="I38" s="1">
        <v>40</v>
      </c>
      <c r="J38" s="1">
        <v>25</v>
      </c>
      <c r="K38" s="1">
        <v>114</v>
      </c>
      <c r="L38" s="1">
        <v>196</v>
      </c>
      <c r="M38" s="1">
        <v>55</v>
      </c>
      <c r="N38" s="1">
        <v>52</v>
      </c>
      <c r="O38" s="1">
        <v>59</v>
      </c>
      <c r="P38" s="1">
        <v>48</v>
      </c>
      <c r="Q38" s="1">
        <v>18</v>
      </c>
      <c r="R38" s="1">
        <v>32</v>
      </c>
      <c r="S38" s="1">
        <v>54</v>
      </c>
      <c r="T38" s="1">
        <v>101</v>
      </c>
      <c r="U38" s="1">
        <v>19</v>
      </c>
      <c r="V38" s="1">
        <v>57</v>
      </c>
      <c r="W38" s="1">
        <v>38</v>
      </c>
      <c r="X38" s="1">
        <v>54</v>
      </c>
      <c r="Y38" s="1">
        <v>16</v>
      </c>
      <c r="Z38" s="1">
        <v>118</v>
      </c>
      <c r="AA38" s="1">
        <v>12</v>
      </c>
      <c r="AB38" s="1">
        <v>19</v>
      </c>
      <c r="AC38" s="1">
        <v>83</v>
      </c>
      <c r="AD38" s="1">
        <v>30</v>
      </c>
      <c r="AE38" s="1">
        <v>57</v>
      </c>
      <c r="AF38" s="18">
        <f t="shared" si="0"/>
        <v>64.5</v>
      </c>
    </row>
    <row r="39" spans="1:32" x14ac:dyDescent="0.35">
      <c r="A39" s="1" t="s">
        <v>24</v>
      </c>
      <c r="B39" s="1">
        <v>59</v>
      </c>
      <c r="C39" s="1">
        <v>29</v>
      </c>
      <c r="D39" s="1">
        <v>124</v>
      </c>
      <c r="E39" s="1">
        <v>25</v>
      </c>
      <c r="F39" s="1">
        <v>22</v>
      </c>
      <c r="G39" s="1">
        <v>24</v>
      </c>
      <c r="H39" s="1">
        <v>24</v>
      </c>
      <c r="I39" s="1">
        <v>22</v>
      </c>
      <c r="J39" s="1">
        <v>127</v>
      </c>
      <c r="K39" s="1">
        <v>155</v>
      </c>
      <c r="L39" s="1">
        <v>17</v>
      </c>
      <c r="M39" s="1">
        <v>82</v>
      </c>
      <c r="N39" s="1">
        <v>83</v>
      </c>
      <c r="O39" s="1">
        <v>29</v>
      </c>
      <c r="P39" s="1">
        <v>48</v>
      </c>
      <c r="Q39" s="1">
        <v>84</v>
      </c>
      <c r="R39" s="1">
        <v>86</v>
      </c>
      <c r="S39" s="1">
        <v>28</v>
      </c>
      <c r="T39" s="1">
        <v>99</v>
      </c>
      <c r="U39" s="1">
        <v>49</v>
      </c>
      <c r="V39" s="1">
        <v>118</v>
      </c>
      <c r="W39" s="1">
        <v>57</v>
      </c>
      <c r="X39" s="1">
        <v>150</v>
      </c>
      <c r="Y39" s="1">
        <v>53</v>
      </c>
      <c r="Z39" s="1">
        <v>17</v>
      </c>
      <c r="AA39" s="1">
        <v>19</v>
      </c>
      <c r="AB39" s="1">
        <v>111</v>
      </c>
      <c r="AC39" s="1">
        <v>23</v>
      </c>
      <c r="AD39" s="1">
        <v>198</v>
      </c>
      <c r="AE39" s="1">
        <v>13</v>
      </c>
      <c r="AF39" s="18">
        <f t="shared" si="0"/>
        <v>65.833333333333329</v>
      </c>
    </row>
    <row r="40" spans="1:32" x14ac:dyDescent="0.35">
      <c r="A40" s="1" t="s">
        <v>25</v>
      </c>
      <c r="B40" s="1">
        <v>160</v>
      </c>
      <c r="C40" s="1">
        <v>80</v>
      </c>
      <c r="D40" s="1">
        <v>36</v>
      </c>
      <c r="E40" s="1">
        <v>20</v>
      </c>
      <c r="F40" s="1">
        <v>16</v>
      </c>
      <c r="G40" s="1">
        <v>21</v>
      </c>
      <c r="H40" s="1">
        <v>47</v>
      </c>
      <c r="I40" s="1">
        <v>105</v>
      </c>
      <c r="J40" s="1">
        <v>46</v>
      </c>
      <c r="K40" s="1">
        <v>42</v>
      </c>
      <c r="L40" s="1">
        <v>15</v>
      </c>
      <c r="M40" s="1">
        <v>14</v>
      </c>
      <c r="N40" s="1">
        <v>43</v>
      </c>
      <c r="O40" s="1">
        <v>59</v>
      </c>
      <c r="P40" s="1">
        <v>64</v>
      </c>
      <c r="Q40" s="1">
        <v>33</v>
      </c>
      <c r="R40" s="1">
        <v>82</v>
      </c>
      <c r="S40" s="1">
        <v>53</v>
      </c>
      <c r="T40" s="1">
        <v>14</v>
      </c>
      <c r="U40" s="1">
        <v>28</v>
      </c>
      <c r="V40" s="1">
        <v>45</v>
      </c>
      <c r="W40" s="1">
        <v>39</v>
      </c>
      <c r="X40" s="1">
        <v>36</v>
      </c>
      <c r="Y40" s="1">
        <v>46</v>
      </c>
      <c r="Z40" s="1">
        <v>42</v>
      </c>
      <c r="AA40" s="1">
        <v>88</v>
      </c>
      <c r="AB40" s="1">
        <v>15</v>
      </c>
      <c r="AC40" s="1">
        <v>31</v>
      </c>
      <c r="AD40" s="1">
        <v>25</v>
      </c>
      <c r="AE40" s="1">
        <v>194</v>
      </c>
      <c r="AF40" s="18">
        <f t="shared" si="0"/>
        <v>51.3</v>
      </c>
    </row>
    <row r="41" spans="1:32" x14ac:dyDescent="0.35">
      <c r="A41" s="1" t="s">
        <v>26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8">
        <f t="shared" si="0"/>
        <v>0</v>
      </c>
    </row>
    <row r="42" spans="1:32" x14ac:dyDescent="0.35">
      <c r="A42" s="1" t="s">
        <v>27</v>
      </c>
      <c r="B42" s="1">
        <v>70</v>
      </c>
      <c r="C42" s="1">
        <v>78</v>
      </c>
      <c r="D42" s="1">
        <v>16</v>
      </c>
      <c r="E42" s="1">
        <v>46</v>
      </c>
      <c r="F42" s="1">
        <v>24</v>
      </c>
      <c r="G42" s="1">
        <v>77</v>
      </c>
      <c r="H42" s="1">
        <v>105</v>
      </c>
      <c r="I42" s="1">
        <v>62</v>
      </c>
      <c r="J42" s="1">
        <v>25</v>
      </c>
      <c r="K42" s="1">
        <v>27</v>
      </c>
      <c r="L42" s="1">
        <v>38</v>
      </c>
      <c r="M42" s="1">
        <v>38</v>
      </c>
      <c r="N42" s="1">
        <v>32</v>
      </c>
      <c r="O42" s="1">
        <v>14</v>
      </c>
      <c r="P42" s="1">
        <v>34</v>
      </c>
      <c r="Q42" s="1">
        <v>31</v>
      </c>
      <c r="R42" s="1">
        <v>16</v>
      </c>
      <c r="S42" s="1">
        <v>16</v>
      </c>
      <c r="T42" s="1">
        <v>44</v>
      </c>
      <c r="U42" s="1">
        <v>25</v>
      </c>
      <c r="V42" s="1">
        <v>29</v>
      </c>
      <c r="W42" s="1">
        <v>28</v>
      </c>
      <c r="X42" s="1">
        <v>44</v>
      </c>
      <c r="Y42" s="1">
        <v>24</v>
      </c>
      <c r="Z42" s="1">
        <v>17</v>
      </c>
      <c r="AA42" s="1">
        <v>38</v>
      </c>
      <c r="AB42" s="1">
        <v>13</v>
      </c>
      <c r="AC42" s="1">
        <v>23</v>
      </c>
      <c r="AD42" s="1">
        <v>141</v>
      </c>
      <c r="AE42" s="1">
        <v>47</v>
      </c>
      <c r="AF42" s="18">
        <f t="shared" si="0"/>
        <v>40.733333333333334</v>
      </c>
    </row>
    <row r="43" spans="1:32" x14ac:dyDescent="0.35">
      <c r="A43" s="1" t="s">
        <v>164</v>
      </c>
      <c r="B43" s="1">
        <v>94</v>
      </c>
      <c r="C43" s="1">
        <v>47</v>
      </c>
      <c r="D43" s="1">
        <v>127</v>
      </c>
      <c r="E43" s="1">
        <v>28</v>
      </c>
      <c r="F43" s="1">
        <v>99</v>
      </c>
      <c r="G43" s="1">
        <v>124</v>
      </c>
      <c r="H43" s="1">
        <v>31</v>
      </c>
      <c r="I43" s="1">
        <v>13</v>
      </c>
      <c r="J43" s="1">
        <v>83</v>
      </c>
      <c r="K43" s="1">
        <v>170</v>
      </c>
      <c r="L43" s="1">
        <v>44</v>
      </c>
      <c r="M43" s="1">
        <v>34</v>
      </c>
      <c r="N43" s="1">
        <v>75</v>
      </c>
      <c r="O43" s="1">
        <v>52</v>
      </c>
      <c r="P43" s="1">
        <v>42</v>
      </c>
      <c r="Q43" s="1">
        <v>115</v>
      </c>
      <c r="R43" s="1">
        <v>156</v>
      </c>
      <c r="S43" s="1">
        <v>38</v>
      </c>
      <c r="T43" s="1">
        <v>18</v>
      </c>
      <c r="U43" s="1">
        <v>21</v>
      </c>
      <c r="V43" s="1">
        <v>35</v>
      </c>
      <c r="W43" s="1">
        <v>96</v>
      </c>
      <c r="X43" s="1">
        <v>125</v>
      </c>
      <c r="Y43" s="1">
        <v>19</v>
      </c>
      <c r="Z43" s="1">
        <v>92</v>
      </c>
      <c r="AA43" s="1">
        <v>31</v>
      </c>
      <c r="AB43" s="1">
        <v>71</v>
      </c>
      <c r="AC43" s="1">
        <v>18</v>
      </c>
      <c r="AD43" s="1">
        <v>20</v>
      </c>
      <c r="AE43" s="1">
        <v>81</v>
      </c>
      <c r="AF43" s="18">
        <f t="shared" si="0"/>
        <v>66.63333333333334</v>
      </c>
    </row>
    <row r="44" spans="1:32" x14ac:dyDescent="0.35">
      <c r="A44" s="1" t="s">
        <v>28</v>
      </c>
      <c r="B44" s="1">
        <v>133</v>
      </c>
      <c r="C44" s="1">
        <v>300</v>
      </c>
      <c r="D44" s="1">
        <v>25</v>
      </c>
      <c r="E44" s="1">
        <v>24</v>
      </c>
      <c r="F44" s="1">
        <v>22</v>
      </c>
      <c r="G44" s="1">
        <v>102</v>
      </c>
      <c r="H44" s="1">
        <v>19</v>
      </c>
      <c r="I44" s="1">
        <v>92</v>
      </c>
      <c r="J44" s="1">
        <v>37</v>
      </c>
      <c r="K44" s="1">
        <v>74</v>
      </c>
      <c r="L44" s="1">
        <v>21</v>
      </c>
      <c r="M44" s="1">
        <v>40</v>
      </c>
      <c r="N44" s="1">
        <v>13</v>
      </c>
      <c r="O44" s="1">
        <v>39</v>
      </c>
      <c r="P44" s="1">
        <v>15</v>
      </c>
      <c r="Q44" s="1">
        <v>124</v>
      </c>
      <c r="R44" s="1">
        <v>121</v>
      </c>
      <c r="S44" s="1">
        <v>86</v>
      </c>
      <c r="T44" s="1">
        <v>29</v>
      </c>
      <c r="U44" s="1">
        <v>23</v>
      </c>
      <c r="V44" s="1">
        <v>65</v>
      </c>
      <c r="W44" s="1">
        <v>42</v>
      </c>
      <c r="X44" s="1">
        <v>13</v>
      </c>
      <c r="Y44" s="1">
        <v>75</v>
      </c>
      <c r="Z44" s="1">
        <v>50</v>
      </c>
      <c r="AA44" s="1">
        <v>20</v>
      </c>
      <c r="AB44" s="1">
        <v>105</v>
      </c>
      <c r="AC44" s="1">
        <v>40</v>
      </c>
      <c r="AD44" s="1">
        <v>119</v>
      </c>
      <c r="AE44" s="1">
        <v>40</v>
      </c>
      <c r="AF44" s="18">
        <f t="shared" si="0"/>
        <v>63.6</v>
      </c>
    </row>
    <row r="45" spans="1:32" x14ac:dyDescent="0.35">
      <c r="A45" s="1" t="s">
        <v>29</v>
      </c>
      <c r="B45" s="1">
        <v>19</v>
      </c>
      <c r="C45" s="1">
        <v>121</v>
      </c>
      <c r="D45" s="1">
        <v>56</v>
      </c>
      <c r="E45" s="1">
        <v>80</v>
      </c>
      <c r="F45" s="1">
        <v>130</v>
      </c>
      <c r="G45" s="1">
        <v>12</v>
      </c>
      <c r="H45" s="1">
        <v>78</v>
      </c>
      <c r="I45" s="1">
        <v>60</v>
      </c>
      <c r="J45" s="1">
        <v>26</v>
      </c>
      <c r="K45" s="1">
        <v>15</v>
      </c>
      <c r="L45" s="1">
        <v>15</v>
      </c>
      <c r="M45" s="1">
        <v>15</v>
      </c>
      <c r="N45" s="1">
        <v>59</v>
      </c>
      <c r="O45" s="1">
        <v>16</v>
      </c>
      <c r="P45" s="1">
        <v>24</v>
      </c>
      <c r="Q45" s="1">
        <v>29</v>
      </c>
      <c r="R45" s="1">
        <v>77</v>
      </c>
      <c r="S45" s="1">
        <v>37</v>
      </c>
      <c r="T45" s="1">
        <v>31</v>
      </c>
      <c r="U45" s="1">
        <v>31</v>
      </c>
      <c r="V45" s="1">
        <v>28</v>
      </c>
      <c r="W45" s="1">
        <v>117</v>
      </c>
      <c r="X45" s="1">
        <v>67</v>
      </c>
      <c r="Y45" s="1">
        <v>44</v>
      </c>
      <c r="Z45" s="1">
        <v>31</v>
      </c>
      <c r="AA45" s="1">
        <v>111</v>
      </c>
      <c r="AB45" s="1">
        <v>40</v>
      </c>
      <c r="AC45" s="1">
        <v>40</v>
      </c>
      <c r="AD45" s="1">
        <v>36</v>
      </c>
      <c r="AE45" s="1">
        <v>43</v>
      </c>
      <c r="AF45" s="18">
        <f t="shared" si="0"/>
        <v>49.6</v>
      </c>
    </row>
    <row r="46" spans="1:32" x14ac:dyDescent="0.35">
      <c r="A46" s="1" t="s">
        <v>30</v>
      </c>
      <c r="B46" s="1">
        <v>29</v>
      </c>
      <c r="C46" s="1">
        <v>80</v>
      </c>
      <c r="D46" s="1">
        <v>24</v>
      </c>
      <c r="E46" s="1">
        <v>42</v>
      </c>
      <c r="F46" s="1">
        <v>33</v>
      </c>
      <c r="G46" s="1">
        <v>54</v>
      </c>
      <c r="H46" s="1">
        <v>28</v>
      </c>
      <c r="I46" s="1">
        <v>71</v>
      </c>
      <c r="J46" s="1">
        <v>16</v>
      </c>
      <c r="K46" s="1">
        <v>24</v>
      </c>
      <c r="L46" s="1">
        <v>69</v>
      </c>
      <c r="M46" s="1">
        <v>50</v>
      </c>
      <c r="N46" s="1">
        <v>41</v>
      </c>
      <c r="O46" s="1">
        <v>64</v>
      </c>
      <c r="P46" s="1">
        <v>43</v>
      </c>
      <c r="Q46" s="1">
        <v>50</v>
      </c>
      <c r="R46" s="1">
        <v>19</v>
      </c>
      <c r="S46" s="1">
        <v>17</v>
      </c>
      <c r="T46" s="1">
        <v>15</v>
      </c>
      <c r="U46" s="1">
        <v>18</v>
      </c>
      <c r="V46" s="1">
        <v>40</v>
      </c>
      <c r="W46" s="1">
        <v>18</v>
      </c>
      <c r="X46" s="1">
        <v>65</v>
      </c>
      <c r="Y46" s="1">
        <v>66</v>
      </c>
      <c r="Z46" s="1">
        <v>25</v>
      </c>
      <c r="AA46" s="1">
        <v>53</v>
      </c>
      <c r="AB46" s="1">
        <v>39</v>
      </c>
      <c r="AC46" s="1">
        <v>32</v>
      </c>
      <c r="AD46" s="1">
        <v>20</v>
      </c>
      <c r="AE46" s="1">
        <v>41</v>
      </c>
      <c r="AF46" s="18">
        <f t="shared" si="0"/>
        <v>39.533333333333331</v>
      </c>
    </row>
    <row r="47" spans="1:32" x14ac:dyDescent="0.35">
      <c r="A47" s="1" t="s">
        <v>175</v>
      </c>
      <c r="B47" s="1">
        <v>26</v>
      </c>
      <c r="C47" s="1">
        <v>41</v>
      </c>
      <c r="D47" s="1">
        <v>55</v>
      </c>
      <c r="E47" s="1">
        <v>17</v>
      </c>
      <c r="F47" s="1">
        <v>62</v>
      </c>
      <c r="G47" s="1">
        <v>43</v>
      </c>
      <c r="H47" s="1">
        <v>66</v>
      </c>
      <c r="I47" s="1">
        <v>14</v>
      </c>
      <c r="J47" s="1">
        <v>31</v>
      </c>
      <c r="K47" s="1">
        <v>17</v>
      </c>
      <c r="L47" s="1">
        <v>24</v>
      </c>
      <c r="M47" s="1">
        <v>22</v>
      </c>
      <c r="N47" s="1">
        <v>33</v>
      </c>
      <c r="O47" s="1">
        <v>37</v>
      </c>
      <c r="P47" s="1">
        <v>21</v>
      </c>
      <c r="Q47" s="1">
        <v>34</v>
      </c>
      <c r="R47" s="1">
        <v>82</v>
      </c>
      <c r="S47" s="1">
        <v>79</v>
      </c>
      <c r="T47" s="1">
        <v>40</v>
      </c>
      <c r="U47" s="1">
        <v>51</v>
      </c>
      <c r="V47" s="1">
        <v>38</v>
      </c>
      <c r="W47" s="1">
        <v>22</v>
      </c>
      <c r="X47" s="1">
        <v>17</v>
      </c>
      <c r="Y47" s="1">
        <v>48</v>
      </c>
      <c r="Z47" s="1">
        <v>56</v>
      </c>
      <c r="AA47" s="1">
        <v>15</v>
      </c>
      <c r="AB47" s="1">
        <v>19</v>
      </c>
      <c r="AC47" s="1">
        <v>17</v>
      </c>
      <c r="AD47" s="1">
        <v>75</v>
      </c>
      <c r="AE47" s="1">
        <v>114</v>
      </c>
      <c r="AF47" s="18">
        <f t="shared" si="0"/>
        <v>40.533333333333331</v>
      </c>
    </row>
    <row r="48" spans="1:32" x14ac:dyDescent="0.35">
      <c r="A48" s="1" t="s">
        <v>31</v>
      </c>
      <c r="B48" s="1">
        <v>39</v>
      </c>
      <c r="C48" s="1">
        <v>58</v>
      </c>
      <c r="D48" s="1">
        <v>36</v>
      </c>
      <c r="E48" s="1">
        <v>17</v>
      </c>
      <c r="F48" s="1">
        <v>17</v>
      </c>
      <c r="G48" s="1">
        <v>24</v>
      </c>
      <c r="H48" s="1">
        <v>47</v>
      </c>
      <c r="I48" s="1">
        <v>35</v>
      </c>
      <c r="J48" s="1">
        <v>16</v>
      </c>
      <c r="K48" s="1">
        <v>33</v>
      </c>
      <c r="L48" s="1">
        <v>14</v>
      </c>
      <c r="M48" s="1">
        <v>94</v>
      </c>
      <c r="N48" s="1">
        <v>18</v>
      </c>
      <c r="O48" s="1">
        <v>41</v>
      </c>
      <c r="P48" s="1">
        <v>102</v>
      </c>
      <c r="Q48" s="1">
        <v>56</v>
      </c>
      <c r="R48" s="1">
        <v>31</v>
      </c>
      <c r="S48" s="1">
        <v>38</v>
      </c>
      <c r="T48" s="1">
        <v>49</v>
      </c>
      <c r="U48" s="1">
        <v>59</v>
      </c>
      <c r="V48" s="1">
        <v>61</v>
      </c>
      <c r="W48" s="1">
        <v>17</v>
      </c>
      <c r="X48" s="1">
        <v>22</v>
      </c>
      <c r="Y48" s="1">
        <v>22</v>
      </c>
      <c r="Z48" s="1">
        <v>49</v>
      </c>
      <c r="AA48" s="1">
        <v>74</v>
      </c>
      <c r="AB48" s="1">
        <v>18</v>
      </c>
      <c r="AC48" s="1">
        <v>55</v>
      </c>
      <c r="AD48" s="1">
        <v>25</v>
      </c>
      <c r="AE48" s="1">
        <v>16</v>
      </c>
      <c r="AF48" s="18">
        <f t="shared" si="0"/>
        <v>39.43333333333333</v>
      </c>
    </row>
    <row r="49" spans="1:32" x14ac:dyDescent="0.35">
      <c r="A49" s="1" t="s">
        <v>32</v>
      </c>
      <c r="B49" s="1">
        <v>21</v>
      </c>
      <c r="C49" s="1">
        <v>186</v>
      </c>
      <c r="D49" s="1">
        <v>26</v>
      </c>
      <c r="E49" s="1">
        <v>62</v>
      </c>
      <c r="F49" s="1">
        <v>46</v>
      </c>
      <c r="G49" s="1">
        <v>106</v>
      </c>
      <c r="H49" s="1">
        <v>17</v>
      </c>
      <c r="I49" s="1">
        <v>15</v>
      </c>
      <c r="J49" s="1">
        <v>65</v>
      </c>
      <c r="K49" s="1">
        <v>119</v>
      </c>
      <c r="L49" s="1">
        <v>46</v>
      </c>
      <c r="M49" s="1">
        <v>276</v>
      </c>
      <c r="N49" s="1">
        <v>110</v>
      </c>
      <c r="O49" s="1">
        <v>16</v>
      </c>
      <c r="P49" s="1">
        <v>107</v>
      </c>
      <c r="Q49" s="1">
        <v>73</v>
      </c>
      <c r="R49" s="1">
        <v>18</v>
      </c>
      <c r="S49" s="1">
        <v>154</v>
      </c>
      <c r="T49" s="1">
        <v>43</v>
      </c>
      <c r="U49" s="1">
        <v>45</v>
      </c>
      <c r="V49" s="1">
        <v>35</v>
      </c>
      <c r="W49" s="1">
        <v>13</v>
      </c>
      <c r="X49" s="1">
        <v>48</v>
      </c>
      <c r="Y49" s="1">
        <v>74</v>
      </c>
      <c r="Z49" s="1">
        <v>24</v>
      </c>
      <c r="AA49" s="1">
        <v>31</v>
      </c>
      <c r="AB49" s="1">
        <v>163</v>
      </c>
      <c r="AC49" s="1">
        <v>24</v>
      </c>
      <c r="AD49" s="1">
        <v>127</v>
      </c>
      <c r="AE49" s="1">
        <v>50</v>
      </c>
      <c r="AF49" s="18">
        <f t="shared" si="0"/>
        <v>71.333333333333329</v>
      </c>
    </row>
    <row r="50" spans="1:32" x14ac:dyDescent="0.35">
      <c r="A50" s="1" t="s">
        <v>33</v>
      </c>
      <c r="B50" s="1">
        <v>237</v>
      </c>
      <c r="C50" s="1">
        <v>30</v>
      </c>
      <c r="D50" s="1">
        <v>50</v>
      </c>
      <c r="E50" s="1">
        <v>72</v>
      </c>
      <c r="F50" s="1">
        <v>58</v>
      </c>
      <c r="G50" s="1">
        <v>81</v>
      </c>
      <c r="H50" s="1">
        <v>122</v>
      </c>
      <c r="I50" s="1">
        <v>34</v>
      </c>
      <c r="J50" s="1">
        <v>18</v>
      </c>
      <c r="K50" s="1">
        <v>48</v>
      </c>
      <c r="L50" s="1">
        <v>63</v>
      </c>
      <c r="M50" s="1">
        <v>12</v>
      </c>
      <c r="N50" s="1">
        <v>23</v>
      </c>
      <c r="O50" s="1">
        <v>147</v>
      </c>
      <c r="P50" s="1">
        <v>39</v>
      </c>
      <c r="Q50" s="1">
        <v>79</v>
      </c>
      <c r="R50" s="1">
        <v>26</v>
      </c>
      <c r="S50" s="1">
        <v>17</v>
      </c>
      <c r="T50" s="1">
        <v>19</v>
      </c>
      <c r="U50" s="1">
        <v>46</v>
      </c>
      <c r="V50" s="1">
        <v>111</v>
      </c>
      <c r="W50" s="1">
        <v>31</v>
      </c>
      <c r="X50" s="1">
        <v>46</v>
      </c>
      <c r="Y50" s="1">
        <v>25</v>
      </c>
      <c r="Z50" s="1">
        <v>99</v>
      </c>
      <c r="AA50" s="1">
        <v>63</v>
      </c>
      <c r="AB50" s="1">
        <v>32</v>
      </c>
      <c r="AC50" s="1">
        <v>23</v>
      </c>
      <c r="AD50" s="1">
        <v>37</v>
      </c>
      <c r="AE50" s="1">
        <v>27</v>
      </c>
      <c r="AF50" s="18">
        <f t="shared" si="0"/>
        <v>57.166666666666664</v>
      </c>
    </row>
    <row r="51" spans="1:32" x14ac:dyDescent="0.35">
      <c r="A51" s="1" t="s">
        <v>34</v>
      </c>
      <c r="B51" s="1">
        <v>40</v>
      </c>
      <c r="C51" s="1">
        <v>30</v>
      </c>
      <c r="D51" s="1">
        <v>33</v>
      </c>
      <c r="E51" s="1">
        <v>66</v>
      </c>
      <c r="F51" s="1">
        <v>72</v>
      </c>
      <c r="G51" s="1">
        <v>75</v>
      </c>
      <c r="H51" s="1">
        <v>25</v>
      </c>
      <c r="I51" s="1">
        <v>31</v>
      </c>
      <c r="J51" s="1">
        <v>56</v>
      </c>
      <c r="K51" s="1">
        <v>51</v>
      </c>
      <c r="L51" s="1">
        <v>26</v>
      </c>
      <c r="M51" s="1">
        <v>13</v>
      </c>
      <c r="N51" s="1">
        <v>16</v>
      </c>
      <c r="O51" s="1">
        <v>16</v>
      </c>
      <c r="P51" s="1">
        <v>19</v>
      </c>
      <c r="Q51" s="1">
        <v>44</v>
      </c>
      <c r="R51" s="1">
        <v>25</v>
      </c>
      <c r="S51" s="1">
        <v>107</v>
      </c>
      <c r="T51" s="1">
        <v>26</v>
      </c>
      <c r="U51" s="1">
        <v>109</v>
      </c>
      <c r="V51" s="1">
        <v>29</v>
      </c>
      <c r="W51" s="1">
        <v>78</v>
      </c>
      <c r="X51" s="1">
        <v>26</v>
      </c>
      <c r="Y51" s="1">
        <v>27</v>
      </c>
      <c r="Z51" s="1">
        <v>87</v>
      </c>
      <c r="AA51" s="1">
        <v>35</v>
      </c>
      <c r="AB51" s="1">
        <v>83</v>
      </c>
      <c r="AC51" s="1">
        <v>47</v>
      </c>
      <c r="AD51" s="1">
        <v>16</v>
      </c>
      <c r="AE51" s="1">
        <v>25</v>
      </c>
      <c r="AF51" s="18">
        <f t="shared" si="0"/>
        <v>44.43333333333333</v>
      </c>
    </row>
    <row r="52" spans="1:32" x14ac:dyDescent="0.35">
      <c r="A52" s="1" t="s">
        <v>35</v>
      </c>
      <c r="B52" s="1">
        <v>118</v>
      </c>
      <c r="C52" s="1">
        <v>83</v>
      </c>
      <c r="D52" s="1">
        <v>157</v>
      </c>
      <c r="E52" s="1">
        <v>30</v>
      </c>
      <c r="F52" s="1">
        <v>59</v>
      </c>
      <c r="G52" s="1">
        <v>77</v>
      </c>
      <c r="H52" s="1">
        <v>16</v>
      </c>
      <c r="I52" s="1">
        <v>68</v>
      </c>
      <c r="J52" s="1">
        <v>36</v>
      </c>
      <c r="K52" s="1">
        <v>58</v>
      </c>
      <c r="L52" s="1">
        <v>78</v>
      </c>
      <c r="M52" s="1">
        <v>14</v>
      </c>
      <c r="N52" s="1">
        <v>128</v>
      </c>
      <c r="O52" s="1">
        <v>89</v>
      </c>
      <c r="P52" s="1">
        <v>15</v>
      </c>
      <c r="Q52" s="1">
        <v>122</v>
      </c>
      <c r="R52" s="1">
        <v>40</v>
      </c>
      <c r="S52" s="1">
        <v>31</v>
      </c>
      <c r="T52" s="1">
        <v>153</v>
      </c>
      <c r="U52" s="1">
        <v>147</v>
      </c>
      <c r="V52" s="1">
        <v>16</v>
      </c>
      <c r="W52" s="1">
        <v>90</v>
      </c>
      <c r="X52" s="1">
        <v>113</v>
      </c>
      <c r="Y52" s="1">
        <v>39</v>
      </c>
      <c r="Z52" s="1">
        <v>71</v>
      </c>
      <c r="AA52" s="1">
        <v>13</v>
      </c>
      <c r="AB52" s="1">
        <v>75</v>
      </c>
      <c r="AC52" s="1">
        <v>52</v>
      </c>
      <c r="AD52" s="1">
        <v>23</v>
      </c>
      <c r="AE52" s="1">
        <v>28</v>
      </c>
      <c r="AF52" s="18">
        <f t="shared" si="0"/>
        <v>67.966666666666669</v>
      </c>
    </row>
    <row r="53" spans="1:32" x14ac:dyDescent="0.35">
      <c r="A53" s="1" t="s">
        <v>36</v>
      </c>
      <c r="B53" s="1">
        <v>35</v>
      </c>
      <c r="C53" s="1">
        <v>31</v>
      </c>
      <c r="D53" s="1">
        <v>108</v>
      </c>
      <c r="E53" s="1">
        <v>188</v>
      </c>
      <c r="F53" s="1">
        <v>84</v>
      </c>
      <c r="G53" s="1">
        <v>76</v>
      </c>
      <c r="H53" s="1">
        <v>42</v>
      </c>
      <c r="I53" s="1">
        <v>54</v>
      </c>
      <c r="J53" s="1">
        <v>61</v>
      </c>
      <c r="K53" s="1">
        <v>39</v>
      </c>
      <c r="L53" s="1">
        <v>40</v>
      </c>
      <c r="M53" s="1">
        <v>22</v>
      </c>
      <c r="N53" s="1">
        <v>22</v>
      </c>
      <c r="O53" s="1">
        <v>45</v>
      </c>
      <c r="P53" s="1">
        <v>51</v>
      </c>
      <c r="Q53" s="1">
        <v>14</v>
      </c>
      <c r="R53" s="1">
        <v>318</v>
      </c>
      <c r="S53" s="1">
        <v>13</v>
      </c>
      <c r="T53" s="1">
        <v>16</v>
      </c>
      <c r="U53" s="1">
        <v>27</v>
      </c>
      <c r="V53" s="1">
        <v>53</v>
      </c>
      <c r="W53" s="1">
        <v>12</v>
      </c>
      <c r="X53" s="1">
        <v>73</v>
      </c>
      <c r="Y53" s="1">
        <v>55</v>
      </c>
      <c r="Z53" s="1">
        <v>59</v>
      </c>
      <c r="AA53" s="1">
        <v>61</v>
      </c>
      <c r="AB53" s="1">
        <v>33</v>
      </c>
      <c r="AC53" s="1">
        <v>37</v>
      </c>
      <c r="AD53" s="1">
        <v>64</v>
      </c>
      <c r="AE53" s="1">
        <v>18</v>
      </c>
      <c r="AF53" s="18">
        <f t="shared" si="0"/>
        <v>58.366666666666667</v>
      </c>
    </row>
    <row r="54" spans="1:32" x14ac:dyDescent="0.35">
      <c r="A54" s="1" t="s">
        <v>37</v>
      </c>
      <c r="B54" s="1">
        <v>56</v>
      </c>
      <c r="C54" s="1">
        <v>14</v>
      </c>
      <c r="D54" s="1">
        <v>29</v>
      </c>
      <c r="E54" s="1">
        <v>32</v>
      </c>
      <c r="F54" s="1">
        <v>62</v>
      </c>
      <c r="G54" s="1">
        <v>26</v>
      </c>
      <c r="H54" s="1">
        <v>193</v>
      </c>
      <c r="I54" s="1">
        <v>148</v>
      </c>
      <c r="J54" s="1">
        <v>14</v>
      </c>
      <c r="K54" s="1">
        <v>57</v>
      </c>
      <c r="L54" s="1">
        <v>94</v>
      </c>
      <c r="M54" s="1">
        <v>30</v>
      </c>
      <c r="N54" s="1">
        <v>57</v>
      </c>
      <c r="O54" s="1">
        <v>12</v>
      </c>
      <c r="P54" s="1">
        <v>41</v>
      </c>
      <c r="Q54" s="1">
        <v>22</v>
      </c>
      <c r="R54" s="1">
        <v>111</v>
      </c>
      <c r="S54" s="1">
        <v>15</v>
      </c>
      <c r="T54" s="1">
        <v>29</v>
      </c>
      <c r="U54" s="1">
        <v>47</v>
      </c>
      <c r="V54" s="1">
        <v>31</v>
      </c>
      <c r="W54" s="1">
        <v>63</v>
      </c>
      <c r="X54" s="1">
        <v>147</v>
      </c>
      <c r="Y54" s="1">
        <v>44</v>
      </c>
      <c r="Z54" s="1">
        <v>83</v>
      </c>
      <c r="AA54" s="1">
        <v>29</v>
      </c>
      <c r="AB54" s="1">
        <v>54</v>
      </c>
      <c r="AC54" s="1">
        <v>37</v>
      </c>
      <c r="AD54" s="1">
        <v>24</v>
      </c>
      <c r="AE54" s="1">
        <v>18</v>
      </c>
      <c r="AF54" s="18">
        <f t="shared" si="0"/>
        <v>53.966666666666669</v>
      </c>
    </row>
    <row r="55" spans="1:32" x14ac:dyDescent="0.35">
      <c r="A55" s="1" t="s">
        <v>38</v>
      </c>
      <c r="B55" s="1">
        <v>17</v>
      </c>
      <c r="C55" s="1">
        <v>28</v>
      </c>
      <c r="D55" s="1">
        <v>30</v>
      </c>
      <c r="E55" s="1">
        <v>14</v>
      </c>
      <c r="F55" s="1">
        <v>13</v>
      </c>
      <c r="G55" s="1">
        <v>66</v>
      </c>
      <c r="H55" s="1">
        <v>15</v>
      </c>
      <c r="I55" s="1">
        <v>58</v>
      </c>
      <c r="J55" s="1">
        <v>36</v>
      </c>
      <c r="K55" s="1">
        <v>46</v>
      </c>
      <c r="L55" s="1">
        <v>94</v>
      </c>
      <c r="M55" s="1">
        <v>23</v>
      </c>
      <c r="N55" s="1">
        <v>112</v>
      </c>
      <c r="O55" s="1">
        <v>19</v>
      </c>
      <c r="P55" s="1">
        <v>99</v>
      </c>
      <c r="Q55" s="1">
        <v>39</v>
      </c>
      <c r="R55" s="1">
        <v>43</v>
      </c>
      <c r="S55" s="1">
        <v>27</v>
      </c>
      <c r="T55" s="1">
        <v>65</v>
      </c>
      <c r="U55" s="1">
        <v>54</v>
      </c>
      <c r="V55" s="1">
        <v>32</v>
      </c>
      <c r="W55" s="1">
        <v>60</v>
      </c>
      <c r="X55" s="1">
        <v>14</v>
      </c>
      <c r="Y55" s="1">
        <v>78</v>
      </c>
      <c r="Z55" s="1">
        <v>12</v>
      </c>
      <c r="AA55" s="1">
        <v>26</v>
      </c>
      <c r="AB55" s="1">
        <v>36</v>
      </c>
      <c r="AC55" s="1">
        <v>32</v>
      </c>
      <c r="AD55" s="1">
        <v>106</v>
      </c>
      <c r="AE55" s="1">
        <v>19</v>
      </c>
      <c r="AF55" s="18">
        <f t="shared" si="0"/>
        <v>43.766666666666666</v>
      </c>
    </row>
    <row r="56" spans="1:32" x14ac:dyDescent="0.35">
      <c r="A56" s="1" t="s">
        <v>39</v>
      </c>
      <c r="B56" s="1">
        <v>81</v>
      </c>
      <c r="C56" s="1">
        <v>24</v>
      </c>
      <c r="D56" s="1">
        <v>50</v>
      </c>
      <c r="E56" s="1">
        <v>18</v>
      </c>
      <c r="F56" s="1">
        <v>85</v>
      </c>
      <c r="G56" s="1">
        <v>28</v>
      </c>
      <c r="H56" s="1">
        <v>26</v>
      </c>
      <c r="I56" s="1">
        <v>139</v>
      </c>
      <c r="J56" s="1">
        <v>63</v>
      </c>
      <c r="K56" s="1">
        <v>16</v>
      </c>
      <c r="L56" s="1">
        <v>25</v>
      </c>
      <c r="M56" s="1">
        <v>125</v>
      </c>
      <c r="N56" s="1">
        <v>56</v>
      </c>
      <c r="O56" s="1">
        <v>99</v>
      </c>
      <c r="P56" s="1">
        <v>27</v>
      </c>
      <c r="Q56" s="1">
        <v>56</v>
      </c>
      <c r="R56" s="1">
        <v>142</v>
      </c>
      <c r="S56" s="1">
        <v>146</v>
      </c>
      <c r="T56" s="1">
        <v>20</v>
      </c>
      <c r="U56" s="1">
        <v>97</v>
      </c>
      <c r="V56" s="1">
        <v>104</v>
      </c>
      <c r="W56" s="1">
        <v>29</v>
      </c>
      <c r="X56" s="1">
        <v>26</v>
      </c>
      <c r="Y56" s="1">
        <v>13</v>
      </c>
      <c r="Z56" s="1">
        <v>30</v>
      </c>
      <c r="AA56" s="1">
        <v>59</v>
      </c>
      <c r="AB56" s="1">
        <v>38</v>
      </c>
      <c r="AC56" s="1">
        <v>14</v>
      </c>
      <c r="AD56" s="1">
        <v>134</v>
      </c>
      <c r="AE56" s="1">
        <v>26</v>
      </c>
      <c r="AF56" s="18">
        <f t="shared" si="0"/>
        <v>59.866666666666667</v>
      </c>
    </row>
    <row r="57" spans="1:32" x14ac:dyDescent="0.35">
      <c r="A57" s="1" t="s">
        <v>176</v>
      </c>
      <c r="B57" s="1">
        <v>19</v>
      </c>
      <c r="C57" s="1">
        <v>19</v>
      </c>
      <c r="D57" s="1">
        <v>44</v>
      </c>
      <c r="E57" s="1">
        <v>109</v>
      </c>
      <c r="F57" s="1">
        <v>18</v>
      </c>
      <c r="G57" s="1">
        <v>111</v>
      </c>
      <c r="H57" s="1">
        <v>24</v>
      </c>
      <c r="I57" s="1">
        <v>37</v>
      </c>
      <c r="J57" s="1">
        <v>40</v>
      </c>
      <c r="K57" s="1">
        <v>71</v>
      </c>
      <c r="L57" s="1">
        <v>12</v>
      </c>
      <c r="M57" s="1">
        <v>55</v>
      </c>
      <c r="N57" s="1">
        <v>39</v>
      </c>
      <c r="O57" s="1">
        <v>14</v>
      </c>
      <c r="P57" s="1">
        <v>51</v>
      </c>
      <c r="Q57" s="1">
        <v>120</v>
      </c>
      <c r="R57" s="1">
        <v>35</v>
      </c>
      <c r="S57" s="1">
        <v>33</v>
      </c>
      <c r="T57" s="1">
        <v>15</v>
      </c>
      <c r="U57" s="1">
        <v>62</v>
      </c>
      <c r="V57" s="1">
        <v>15</v>
      </c>
      <c r="W57" s="1">
        <v>36</v>
      </c>
      <c r="X57" s="1">
        <v>54</v>
      </c>
      <c r="Y57" s="1">
        <v>108</v>
      </c>
      <c r="Z57" s="1">
        <v>95</v>
      </c>
      <c r="AA57" s="1">
        <v>80</v>
      </c>
      <c r="AB57" s="1">
        <v>20</v>
      </c>
      <c r="AC57" s="1">
        <v>28</v>
      </c>
      <c r="AD57" s="1">
        <v>73</v>
      </c>
      <c r="AE57" s="1">
        <v>47</v>
      </c>
      <c r="AF57" s="18">
        <f t="shared" si="0"/>
        <v>49.466666666666669</v>
      </c>
    </row>
    <row r="58" spans="1:32" x14ac:dyDescent="0.35">
      <c r="A58" s="1" t="s">
        <v>40</v>
      </c>
      <c r="B58" s="1">
        <v>18</v>
      </c>
      <c r="C58" s="1">
        <v>56</v>
      </c>
      <c r="D58" s="1">
        <v>43</v>
      </c>
      <c r="E58" s="1">
        <v>164</v>
      </c>
      <c r="F58" s="1">
        <v>74</v>
      </c>
      <c r="G58" s="1">
        <v>31</v>
      </c>
      <c r="H58" s="1">
        <v>122</v>
      </c>
      <c r="I58" s="1">
        <v>119</v>
      </c>
      <c r="J58" s="1">
        <v>102</v>
      </c>
      <c r="K58" s="1">
        <v>33</v>
      </c>
      <c r="L58" s="1">
        <v>36</v>
      </c>
      <c r="M58" s="1">
        <v>55</v>
      </c>
      <c r="N58" s="1">
        <v>77</v>
      </c>
      <c r="O58" s="1">
        <v>15</v>
      </c>
      <c r="P58" s="1">
        <v>144</v>
      </c>
      <c r="Q58" s="1">
        <v>32</v>
      </c>
      <c r="R58" s="1">
        <v>42</v>
      </c>
      <c r="S58" s="1">
        <v>13</v>
      </c>
      <c r="T58" s="1">
        <v>98</v>
      </c>
      <c r="U58" s="1">
        <v>37</v>
      </c>
      <c r="V58" s="1">
        <v>30</v>
      </c>
      <c r="W58" s="1">
        <v>95</v>
      </c>
      <c r="X58" s="1">
        <v>15</v>
      </c>
      <c r="Y58" s="1">
        <v>46</v>
      </c>
      <c r="Z58" s="1">
        <v>44</v>
      </c>
      <c r="AA58" s="1">
        <v>46</v>
      </c>
      <c r="AB58" s="1">
        <v>26</v>
      </c>
      <c r="AC58" s="1">
        <v>21</v>
      </c>
      <c r="AD58" s="1">
        <v>21</v>
      </c>
      <c r="AE58" s="1">
        <v>58</v>
      </c>
      <c r="AF58" s="18">
        <f t="shared" si="0"/>
        <v>57.1</v>
      </c>
    </row>
    <row r="59" spans="1:32" x14ac:dyDescent="0.35">
      <c r="A59" s="1" t="s">
        <v>41</v>
      </c>
      <c r="B59" s="1">
        <v>40</v>
      </c>
      <c r="C59" s="1">
        <v>127</v>
      </c>
      <c r="D59" s="1">
        <v>18</v>
      </c>
      <c r="E59" s="1">
        <v>12</v>
      </c>
      <c r="F59" s="1">
        <v>119</v>
      </c>
      <c r="G59" s="1">
        <v>15</v>
      </c>
      <c r="H59" s="1">
        <v>85</v>
      </c>
      <c r="I59" s="1">
        <v>73</v>
      </c>
      <c r="J59" s="1">
        <v>45</v>
      </c>
      <c r="K59" s="1">
        <v>25</v>
      </c>
      <c r="L59" s="1">
        <v>18</v>
      </c>
      <c r="M59" s="1">
        <v>30</v>
      </c>
      <c r="N59" s="1">
        <v>29</v>
      </c>
      <c r="O59" s="1">
        <v>31</v>
      </c>
      <c r="P59" s="1">
        <v>74</v>
      </c>
      <c r="Q59" s="1">
        <v>15</v>
      </c>
      <c r="R59" s="1">
        <v>80</v>
      </c>
      <c r="S59" s="1">
        <v>50</v>
      </c>
      <c r="T59" s="1">
        <v>31</v>
      </c>
      <c r="U59" s="1">
        <v>15</v>
      </c>
      <c r="V59" s="1">
        <v>225</v>
      </c>
      <c r="W59" s="1">
        <v>14</v>
      </c>
      <c r="X59" s="1">
        <v>22</v>
      </c>
      <c r="Y59" s="1">
        <v>27</v>
      </c>
      <c r="Z59" s="1">
        <v>27</v>
      </c>
      <c r="AA59" s="1">
        <v>127</v>
      </c>
      <c r="AB59" s="1">
        <v>98</v>
      </c>
      <c r="AC59" s="1">
        <v>75</v>
      </c>
      <c r="AD59" s="1">
        <v>78</v>
      </c>
      <c r="AE59" s="1">
        <v>15</v>
      </c>
      <c r="AF59" s="18">
        <f t="shared" si="0"/>
        <v>54.666666666666664</v>
      </c>
    </row>
    <row r="60" spans="1:32" x14ac:dyDescent="0.35">
      <c r="A60" s="1" t="s">
        <v>42</v>
      </c>
      <c r="B60" s="1">
        <v>106</v>
      </c>
      <c r="C60" s="1">
        <v>20</v>
      </c>
      <c r="D60" s="1">
        <v>20</v>
      </c>
      <c r="E60" s="1">
        <v>75</v>
      </c>
      <c r="F60" s="1">
        <v>31</v>
      </c>
      <c r="G60" s="1">
        <v>27</v>
      </c>
      <c r="H60" s="1">
        <v>167</v>
      </c>
      <c r="I60" s="1">
        <v>125</v>
      </c>
      <c r="J60" s="1">
        <v>43</v>
      </c>
      <c r="K60" s="1">
        <v>14</v>
      </c>
      <c r="L60" s="1">
        <v>52</v>
      </c>
      <c r="M60" s="1">
        <v>12</v>
      </c>
      <c r="N60" s="1">
        <v>108</v>
      </c>
      <c r="O60" s="1">
        <v>13</v>
      </c>
      <c r="P60" s="1">
        <v>48</v>
      </c>
      <c r="Q60" s="1">
        <v>37</v>
      </c>
      <c r="R60" s="1">
        <v>93</v>
      </c>
      <c r="S60" s="1">
        <v>66</v>
      </c>
      <c r="T60" s="1">
        <v>16</v>
      </c>
      <c r="U60" s="1">
        <v>19</v>
      </c>
      <c r="V60" s="1">
        <v>142</v>
      </c>
      <c r="W60" s="1">
        <v>12</v>
      </c>
      <c r="X60" s="1">
        <v>18</v>
      </c>
      <c r="Y60" s="1">
        <v>68</v>
      </c>
      <c r="Z60" s="1">
        <v>38</v>
      </c>
      <c r="AA60" s="1">
        <v>25</v>
      </c>
      <c r="AB60" s="1">
        <v>114</v>
      </c>
      <c r="AC60" s="1">
        <v>187</v>
      </c>
      <c r="AD60" s="1">
        <v>28</v>
      </c>
      <c r="AE60" s="1">
        <v>26</v>
      </c>
      <c r="AF60" s="18">
        <f t="shared" si="0"/>
        <v>58.333333333333336</v>
      </c>
    </row>
    <row r="61" spans="1:32" x14ac:dyDescent="0.35">
      <c r="A61" s="1" t="s">
        <v>43</v>
      </c>
      <c r="B61" s="1">
        <v>47</v>
      </c>
      <c r="C61" s="1">
        <v>21</v>
      </c>
      <c r="D61" s="1">
        <v>139</v>
      </c>
      <c r="E61" s="1">
        <v>80</v>
      </c>
      <c r="F61" s="1">
        <v>56</v>
      </c>
      <c r="G61" s="1">
        <v>15</v>
      </c>
      <c r="H61" s="1">
        <v>16</v>
      </c>
      <c r="I61" s="1">
        <v>75</v>
      </c>
      <c r="J61" s="1">
        <v>60</v>
      </c>
      <c r="K61" s="1">
        <v>220</v>
      </c>
      <c r="L61" s="1">
        <v>115</v>
      </c>
      <c r="M61" s="1">
        <v>194</v>
      </c>
      <c r="N61" s="1">
        <v>39</v>
      </c>
      <c r="O61" s="1">
        <v>57</v>
      </c>
      <c r="P61" s="1">
        <v>132</v>
      </c>
      <c r="Q61" s="1">
        <v>70</v>
      </c>
      <c r="R61" s="1">
        <v>36</v>
      </c>
      <c r="S61" s="1">
        <v>12</v>
      </c>
      <c r="T61" s="1">
        <v>21</v>
      </c>
      <c r="U61" s="1">
        <v>59</v>
      </c>
      <c r="V61" s="1">
        <v>63</v>
      </c>
      <c r="W61" s="1">
        <v>40</v>
      </c>
      <c r="X61" s="1">
        <v>63</v>
      </c>
      <c r="Y61" s="1">
        <v>171</v>
      </c>
      <c r="Z61" s="1">
        <v>68</v>
      </c>
      <c r="AA61" s="1">
        <v>69</v>
      </c>
      <c r="AB61" s="1">
        <v>41</v>
      </c>
      <c r="AC61" s="1">
        <v>47</v>
      </c>
      <c r="AD61" s="1">
        <v>26</v>
      </c>
      <c r="AE61" s="1">
        <v>38</v>
      </c>
      <c r="AF61" s="18">
        <f t="shared" si="0"/>
        <v>69.666666666666671</v>
      </c>
    </row>
    <row r="62" spans="1:32" x14ac:dyDescent="0.35">
      <c r="A62" s="1" t="s">
        <v>44</v>
      </c>
      <c r="B62" s="1">
        <v>58</v>
      </c>
      <c r="C62" s="1">
        <v>132</v>
      </c>
      <c r="D62" s="1">
        <v>38</v>
      </c>
      <c r="E62" s="1">
        <v>28</v>
      </c>
      <c r="F62" s="1">
        <v>104</v>
      </c>
      <c r="G62" s="1">
        <v>25</v>
      </c>
      <c r="H62" s="1">
        <v>79</v>
      </c>
      <c r="I62" s="1">
        <v>31</v>
      </c>
      <c r="J62" s="1">
        <v>34</v>
      </c>
      <c r="K62" s="1">
        <v>173</v>
      </c>
      <c r="L62" s="1">
        <v>31</v>
      </c>
      <c r="M62" s="1">
        <v>71</v>
      </c>
      <c r="N62" s="1">
        <v>159</v>
      </c>
      <c r="O62" s="1">
        <v>141</v>
      </c>
      <c r="P62" s="1">
        <v>270</v>
      </c>
      <c r="Q62" s="1">
        <v>59</v>
      </c>
      <c r="R62" s="1">
        <v>58</v>
      </c>
      <c r="S62" s="1">
        <v>19</v>
      </c>
      <c r="T62" s="1">
        <v>68</v>
      </c>
      <c r="U62" s="1">
        <v>170</v>
      </c>
      <c r="V62" s="1">
        <v>31</v>
      </c>
      <c r="W62" s="1">
        <v>49</v>
      </c>
      <c r="X62" s="1">
        <v>48</v>
      </c>
      <c r="Y62" s="1">
        <v>99</v>
      </c>
      <c r="Z62" s="1">
        <v>36</v>
      </c>
      <c r="AA62" s="1">
        <v>110</v>
      </c>
      <c r="AB62" s="1">
        <v>14</v>
      </c>
      <c r="AC62" s="1">
        <v>67</v>
      </c>
      <c r="AD62" s="1">
        <v>164</v>
      </c>
      <c r="AE62" s="1">
        <v>34</v>
      </c>
      <c r="AF62" s="18">
        <f t="shared" si="0"/>
        <v>80</v>
      </c>
    </row>
    <row r="63" spans="1:32" x14ac:dyDescent="0.35">
      <c r="A63" s="1" t="s">
        <v>177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8">
        <f t="shared" si="0"/>
        <v>0</v>
      </c>
    </row>
    <row r="64" spans="1:32" x14ac:dyDescent="0.35">
      <c r="A64" s="1" t="s">
        <v>178</v>
      </c>
      <c r="B64" s="1">
        <v>81</v>
      </c>
      <c r="C64" s="1">
        <v>64</v>
      </c>
      <c r="D64" s="1">
        <v>16</v>
      </c>
      <c r="E64" s="1">
        <v>18</v>
      </c>
      <c r="F64" s="1">
        <v>53</v>
      </c>
      <c r="G64" s="1">
        <v>154</v>
      </c>
      <c r="H64" s="1">
        <v>130</v>
      </c>
      <c r="I64" s="1">
        <v>60</v>
      </c>
      <c r="J64" s="1">
        <v>53</v>
      </c>
      <c r="K64" s="1">
        <v>149</v>
      </c>
      <c r="L64" s="1">
        <v>77</v>
      </c>
      <c r="M64" s="1">
        <v>134</v>
      </c>
      <c r="N64" s="1">
        <v>68</v>
      </c>
      <c r="O64" s="1">
        <v>15</v>
      </c>
      <c r="P64" s="1">
        <v>62</v>
      </c>
      <c r="Q64" s="1">
        <v>55</v>
      </c>
      <c r="R64" s="1">
        <v>177</v>
      </c>
      <c r="S64" s="1">
        <v>196</v>
      </c>
      <c r="T64" s="1">
        <v>126</v>
      </c>
      <c r="U64" s="1">
        <v>17</v>
      </c>
      <c r="V64" s="1">
        <v>36</v>
      </c>
      <c r="W64" s="1">
        <v>84</v>
      </c>
      <c r="X64" s="1">
        <v>21</v>
      </c>
      <c r="Y64" s="1">
        <v>103</v>
      </c>
      <c r="Z64" s="1">
        <v>14</v>
      </c>
      <c r="AA64" s="1">
        <v>52</v>
      </c>
      <c r="AB64" s="1">
        <v>92</v>
      </c>
      <c r="AC64" s="1">
        <v>45</v>
      </c>
      <c r="AD64" s="1">
        <v>85</v>
      </c>
      <c r="AE64" s="1">
        <v>73</v>
      </c>
      <c r="AF64" s="18">
        <f t="shared" si="0"/>
        <v>77</v>
      </c>
    </row>
    <row r="65" spans="1:32" x14ac:dyDescent="0.35">
      <c r="A65" s="1" t="s">
        <v>45</v>
      </c>
      <c r="B65" s="1">
        <v>26</v>
      </c>
      <c r="C65" s="1">
        <v>30</v>
      </c>
      <c r="D65" s="1">
        <v>65</v>
      </c>
      <c r="E65" s="1">
        <v>14</v>
      </c>
      <c r="F65" s="1">
        <v>37</v>
      </c>
      <c r="G65" s="1">
        <v>58</v>
      </c>
      <c r="H65" s="1">
        <v>75</v>
      </c>
      <c r="I65" s="1">
        <v>28</v>
      </c>
      <c r="J65" s="1">
        <v>120</v>
      </c>
      <c r="K65" s="1">
        <v>110</v>
      </c>
      <c r="L65" s="1">
        <v>152</v>
      </c>
      <c r="M65" s="1">
        <v>39</v>
      </c>
      <c r="N65" s="1">
        <v>25</v>
      </c>
      <c r="O65" s="1">
        <v>20</v>
      </c>
      <c r="P65" s="1">
        <v>67</v>
      </c>
      <c r="Q65" s="1">
        <v>18</v>
      </c>
      <c r="R65" s="1">
        <v>61</v>
      </c>
      <c r="S65" s="1">
        <v>29</v>
      </c>
      <c r="T65" s="1">
        <v>67</v>
      </c>
      <c r="U65" s="1">
        <v>25</v>
      </c>
      <c r="V65" s="1">
        <v>125</v>
      </c>
      <c r="W65" s="1">
        <v>32</v>
      </c>
      <c r="X65" s="1">
        <v>13</v>
      </c>
      <c r="Y65" s="1">
        <v>12</v>
      </c>
      <c r="Z65" s="1">
        <v>67</v>
      </c>
      <c r="AA65" s="1">
        <v>43</v>
      </c>
      <c r="AB65" s="1">
        <v>16</v>
      </c>
      <c r="AC65" s="1">
        <v>28</v>
      </c>
      <c r="AD65" s="1">
        <v>167</v>
      </c>
      <c r="AE65" s="1">
        <v>22</v>
      </c>
      <c r="AF65" s="18">
        <f t="shared" si="0"/>
        <v>53.033333333333331</v>
      </c>
    </row>
    <row r="66" spans="1:32" x14ac:dyDescent="0.35">
      <c r="A66" s="1" t="s">
        <v>46</v>
      </c>
      <c r="B66" s="1">
        <v>19</v>
      </c>
      <c r="C66" s="1">
        <v>16</v>
      </c>
      <c r="D66" s="1">
        <v>46</v>
      </c>
      <c r="E66" s="1">
        <v>43</v>
      </c>
      <c r="F66" s="1">
        <v>122</v>
      </c>
      <c r="G66" s="1">
        <v>65</v>
      </c>
      <c r="H66" s="1">
        <v>25</v>
      </c>
      <c r="I66" s="1">
        <v>74</v>
      </c>
      <c r="J66" s="1">
        <v>57</v>
      </c>
      <c r="K66" s="1">
        <v>16</v>
      </c>
      <c r="L66" s="1">
        <v>61</v>
      </c>
      <c r="M66" s="1">
        <v>64</v>
      </c>
      <c r="N66" s="1">
        <v>57</v>
      </c>
      <c r="O66" s="1">
        <v>68</v>
      </c>
      <c r="P66" s="1">
        <v>45</v>
      </c>
      <c r="Q66" s="1">
        <v>50</v>
      </c>
      <c r="R66" s="1">
        <v>58</v>
      </c>
      <c r="S66" s="1">
        <v>89</v>
      </c>
      <c r="T66" s="1">
        <v>75</v>
      </c>
      <c r="U66" s="1">
        <v>44</v>
      </c>
      <c r="V66" s="1">
        <v>238</v>
      </c>
      <c r="W66" s="1">
        <v>33</v>
      </c>
      <c r="X66" s="1">
        <v>31</v>
      </c>
      <c r="Y66" s="1">
        <v>31</v>
      </c>
      <c r="Z66" s="1">
        <v>89</v>
      </c>
      <c r="AA66" s="1">
        <v>228</v>
      </c>
      <c r="AB66" s="1">
        <v>19</v>
      </c>
      <c r="AC66" s="1">
        <v>74</v>
      </c>
      <c r="AD66" s="1">
        <v>71</v>
      </c>
      <c r="AE66" s="1">
        <v>46</v>
      </c>
      <c r="AF66" s="18">
        <f t="shared" si="0"/>
        <v>65.13333333333334</v>
      </c>
    </row>
    <row r="67" spans="1:32" x14ac:dyDescent="0.35">
      <c r="A67" s="1" t="s">
        <v>47</v>
      </c>
      <c r="B67" s="1">
        <v>26</v>
      </c>
      <c r="C67" s="1">
        <v>43</v>
      </c>
      <c r="D67" s="1">
        <v>143</v>
      </c>
      <c r="E67" s="1">
        <v>56</v>
      </c>
      <c r="F67" s="1">
        <v>23</v>
      </c>
      <c r="G67" s="1">
        <v>58</v>
      </c>
      <c r="H67" s="1">
        <v>19</v>
      </c>
      <c r="I67" s="1">
        <v>52</v>
      </c>
      <c r="J67" s="1">
        <v>92</v>
      </c>
      <c r="K67" s="1">
        <v>40</v>
      </c>
      <c r="L67" s="1">
        <v>34</v>
      </c>
      <c r="M67" s="1">
        <v>17</v>
      </c>
      <c r="N67" s="1">
        <v>13</v>
      </c>
      <c r="O67" s="1">
        <v>31</v>
      </c>
      <c r="P67" s="1">
        <v>36</v>
      </c>
      <c r="Q67" s="1">
        <v>41</v>
      </c>
      <c r="R67" s="1">
        <v>21</v>
      </c>
      <c r="S67" s="1">
        <v>98</v>
      </c>
      <c r="T67" s="1">
        <v>28</v>
      </c>
      <c r="U67" s="1">
        <v>40</v>
      </c>
      <c r="V67" s="1">
        <v>63</v>
      </c>
      <c r="W67" s="1">
        <v>69</v>
      </c>
      <c r="X67" s="1">
        <v>23</v>
      </c>
      <c r="Y67" s="1">
        <v>46</v>
      </c>
      <c r="Z67" s="1">
        <v>78</v>
      </c>
      <c r="AA67" s="1">
        <v>33</v>
      </c>
      <c r="AB67" s="1">
        <v>107</v>
      </c>
      <c r="AC67" s="1">
        <v>60</v>
      </c>
      <c r="AD67" s="1">
        <v>62</v>
      </c>
      <c r="AE67" s="1">
        <v>38</v>
      </c>
      <c r="AF67" s="18">
        <f t="shared" si="0"/>
        <v>49.666666666666664</v>
      </c>
    </row>
    <row r="68" spans="1:32" x14ac:dyDescent="0.35">
      <c r="A68" s="1" t="s">
        <v>48</v>
      </c>
      <c r="B68" s="1">
        <v>20</v>
      </c>
      <c r="C68" s="1">
        <v>148</v>
      </c>
      <c r="D68" s="1">
        <v>262</v>
      </c>
      <c r="E68" s="1">
        <v>21</v>
      </c>
      <c r="F68" s="1">
        <v>40</v>
      </c>
      <c r="G68" s="1">
        <v>162</v>
      </c>
      <c r="H68" s="1">
        <v>373</v>
      </c>
      <c r="I68" s="1">
        <v>27</v>
      </c>
      <c r="J68" s="1">
        <v>49</v>
      </c>
      <c r="K68" s="1">
        <v>24</v>
      </c>
      <c r="L68" s="1">
        <v>149</v>
      </c>
      <c r="M68" s="1">
        <v>57</v>
      </c>
      <c r="N68" s="1">
        <v>163</v>
      </c>
      <c r="O68" s="1">
        <v>18</v>
      </c>
      <c r="P68" s="1">
        <v>17</v>
      </c>
      <c r="Q68" s="1">
        <v>53</v>
      </c>
      <c r="R68" s="1">
        <v>243</v>
      </c>
      <c r="S68" s="1">
        <v>109</v>
      </c>
      <c r="T68" s="1">
        <v>44</v>
      </c>
      <c r="U68" s="1">
        <v>130</v>
      </c>
      <c r="V68" s="1">
        <v>105</v>
      </c>
      <c r="W68" s="1">
        <v>55</v>
      </c>
      <c r="X68" s="1">
        <v>156</v>
      </c>
      <c r="Y68" s="1">
        <v>13</v>
      </c>
      <c r="Z68" s="1">
        <v>141</v>
      </c>
      <c r="AA68" s="1">
        <v>17</v>
      </c>
      <c r="AB68" s="1">
        <v>27</v>
      </c>
      <c r="AC68" s="1">
        <v>40</v>
      </c>
      <c r="AD68" s="1">
        <v>102</v>
      </c>
      <c r="AE68" s="1">
        <v>85</v>
      </c>
      <c r="AF68" s="18">
        <f t="shared" ref="AF68:AF131" si="1">AVERAGE(B68:AE68)</f>
        <v>95</v>
      </c>
    </row>
    <row r="69" spans="1:32" x14ac:dyDescent="0.35">
      <c r="A69" s="1" t="s">
        <v>179</v>
      </c>
      <c r="B69" s="1">
        <v>73</v>
      </c>
      <c r="C69" s="1">
        <v>18</v>
      </c>
      <c r="D69" s="1">
        <v>13</v>
      </c>
      <c r="E69" s="1">
        <v>108</v>
      </c>
      <c r="F69" s="1">
        <v>32</v>
      </c>
      <c r="G69" s="1">
        <v>37</v>
      </c>
      <c r="H69" s="1">
        <v>60</v>
      </c>
      <c r="I69" s="1">
        <v>20</v>
      </c>
      <c r="J69" s="1">
        <v>42</v>
      </c>
      <c r="K69" s="1">
        <v>42</v>
      </c>
      <c r="L69" s="1">
        <v>169</v>
      </c>
      <c r="M69" s="1">
        <v>29</v>
      </c>
      <c r="N69" s="1">
        <v>19</v>
      </c>
      <c r="O69" s="1">
        <v>69</v>
      </c>
      <c r="P69" s="1">
        <v>40</v>
      </c>
      <c r="Q69" s="1">
        <v>62</v>
      </c>
      <c r="R69" s="1">
        <v>24</v>
      </c>
      <c r="S69" s="1">
        <v>33</v>
      </c>
      <c r="T69" s="1">
        <v>129</v>
      </c>
      <c r="U69" s="1">
        <v>28</v>
      </c>
      <c r="V69" s="1">
        <v>81</v>
      </c>
      <c r="W69" s="1">
        <v>19</v>
      </c>
      <c r="X69" s="1">
        <v>50</v>
      </c>
      <c r="Y69" s="1">
        <v>61</v>
      </c>
      <c r="Z69" s="1">
        <v>82</v>
      </c>
      <c r="AA69" s="1">
        <v>94</v>
      </c>
      <c r="AB69" s="1">
        <v>42</v>
      </c>
      <c r="AC69" s="1">
        <v>13</v>
      </c>
      <c r="AD69" s="1">
        <v>42</v>
      </c>
      <c r="AE69" s="1">
        <v>76</v>
      </c>
      <c r="AF69" s="18">
        <f t="shared" si="1"/>
        <v>53.56666666666667</v>
      </c>
    </row>
    <row r="70" spans="1:32" x14ac:dyDescent="0.35">
      <c r="A70" s="1" t="s">
        <v>49</v>
      </c>
      <c r="B70" s="1">
        <v>21</v>
      </c>
      <c r="C70" s="1">
        <v>105</v>
      </c>
      <c r="D70" s="1">
        <v>232</v>
      </c>
      <c r="E70" s="1">
        <v>73</v>
      </c>
      <c r="F70" s="1">
        <v>17</v>
      </c>
      <c r="G70" s="1">
        <v>23</v>
      </c>
      <c r="H70" s="1">
        <v>158</v>
      </c>
      <c r="I70" s="1">
        <v>39</v>
      </c>
      <c r="J70" s="1">
        <v>20</v>
      </c>
      <c r="K70" s="1">
        <v>33</v>
      </c>
      <c r="L70" s="1">
        <v>32</v>
      </c>
      <c r="M70" s="1">
        <v>28</v>
      </c>
      <c r="N70" s="1">
        <v>42</v>
      </c>
      <c r="O70" s="1">
        <v>59</v>
      </c>
      <c r="P70" s="1">
        <v>12</v>
      </c>
      <c r="Q70" s="1">
        <v>29</v>
      </c>
      <c r="R70" s="1">
        <v>314</v>
      </c>
      <c r="S70" s="1">
        <v>61</v>
      </c>
      <c r="T70" s="1">
        <v>42</v>
      </c>
      <c r="U70" s="1">
        <v>129</v>
      </c>
      <c r="V70" s="1">
        <v>23</v>
      </c>
      <c r="W70" s="1">
        <v>88</v>
      </c>
      <c r="X70" s="1">
        <v>24</v>
      </c>
      <c r="Y70" s="1">
        <v>36</v>
      </c>
      <c r="Z70" s="1">
        <v>111</v>
      </c>
      <c r="AA70" s="1">
        <v>70</v>
      </c>
      <c r="AB70" s="1">
        <v>144</v>
      </c>
      <c r="AC70" s="1">
        <v>21</v>
      </c>
      <c r="AD70" s="1">
        <v>82</v>
      </c>
      <c r="AE70" s="1">
        <v>26</v>
      </c>
      <c r="AF70" s="18">
        <f t="shared" si="1"/>
        <v>69.8</v>
      </c>
    </row>
    <row r="71" spans="1:32" x14ac:dyDescent="0.35">
      <c r="A71" s="1" t="s">
        <v>50</v>
      </c>
      <c r="B71" s="1">
        <v>63</v>
      </c>
      <c r="C71" s="1">
        <v>22</v>
      </c>
      <c r="D71" s="1">
        <v>29</v>
      </c>
      <c r="E71" s="1">
        <v>17</v>
      </c>
      <c r="F71" s="1">
        <v>53</v>
      </c>
      <c r="G71" s="1">
        <v>29</v>
      </c>
      <c r="H71" s="1">
        <v>150</v>
      </c>
      <c r="I71" s="1">
        <v>27</v>
      </c>
      <c r="J71" s="1">
        <v>13</v>
      </c>
      <c r="K71" s="1">
        <v>38</v>
      </c>
      <c r="L71" s="1">
        <v>26</v>
      </c>
      <c r="M71" s="1">
        <v>32</v>
      </c>
      <c r="N71" s="1">
        <v>30</v>
      </c>
      <c r="O71" s="1">
        <v>30</v>
      </c>
      <c r="P71" s="1">
        <v>24</v>
      </c>
      <c r="Q71" s="1">
        <v>23</v>
      </c>
      <c r="R71" s="1">
        <v>66</v>
      </c>
      <c r="S71" s="1">
        <v>50</v>
      </c>
      <c r="T71" s="1">
        <v>21</v>
      </c>
      <c r="U71" s="1">
        <v>55</v>
      </c>
      <c r="V71" s="1">
        <v>35</v>
      </c>
      <c r="W71" s="1">
        <v>50</v>
      </c>
      <c r="X71" s="1">
        <v>80</v>
      </c>
      <c r="Y71" s="1">
        <v>44</v>
      </c>
      <c r="Z71" s="1">
        <v>44</v>
      </c>
      <c r="AA71" s="1">
        <v>17</v>
      </c>
      <c r="AB71" s="1">
        <v>32</v>
      </c>
      <c r="AC71" s="1">
        <v>14</v>
      </c>
      <c r="AD71" s="1">
        <v>29</v>
      </c>
      <c r="AE71" s="1">
        <v>34</v>
      </c>
      <c r="AF71" s="18">
        <f t="shared" si="1"/>
        <v>39.233333333333334</v>
      </c>
    </row>
    <row r="72" spans="1:32" x14ac:dyDescent="0.35">
      <c r="A72" s="1" t="s">
        <v>51</v>
      </c>
      <c r="B72" s="1">
        <v>98</v>
      </c>
      <c r="C72" s="1">
        <v>20</v>
      </c>
      <c r="D72" s="1">
        <v>143</v>
      </c>
      <c r="E72" s="1">
        <v>20</v>
      </c>
      <c r="F72" s="1">
        <v>159</v>
      </c>
      <c r="G72" s="1">
        <v>13</v>
      </c>
      <c r="H72" s="1">
        <v>115</v>
      </c>
      <c r="I72" s="1">
        <v>14</v>
      </c>
      <c r="J72" s="1">
        <v>20</v>
      </c>
      <c r="K72" s="1">
        <v>51</v>
      </c>
      <c r="L72" s="1">
        <v>90</v>
      </c>
      <c r="M72" s="1">
        <v>16</v>
      </c>
      <c r="N72" s="1">
        <v>141</v>
      </c>
      <c r="O72" s="1">
        <v>21</v>
      </c>
      <c r="P72" s="1">
        <v>215</v>
      </c>
      <c r="Q72" s="1">
        <v>112</v>
      </c>
      <c r="R72" s="1">
        <v>21</v>
      </c>
      <c r="S72" s="1">
        <v>48</v>
      </c>
      <c r="T72" s="1">
        <v>45</v>
      </c>
      <c r="U72" s="1">
        <v>14</v>
      </c>
      <c r="V72" s="1">
        <v>29</v>
      </c>
      <c r="W72" s="1">
        <v>92</v>
      </c>
      <c r="X72" s="1">
        <v>44</v>
      </c>
      <c r="Y72" s="1">
        <v>107</v>
      </c>
      <c r="Z72" s="1">
        <v>44</v>
      </c>
      <c r="AA72" s="1">
        <v>27</v>
      </c>
      <c r="AB72" s="1">
        <v>103</v>
      </c>
      <c r="AC72" s="1">
        <v>19</v>
      </c>
      <c r="AD72" s="1">
        <v>244</v>
      </c>
      <c r="AE72" s="1">
        <v>24</v>
      </c>
      <c r="AF72" s="18">
        <f t="shared" si="1"/>
        <v>70.3</v>
      </c>
    </row>
    <row r="73" spans="1:32" x14ac:dyDescent="0.35">
      <c r="A73" s="1" t="s">
        <v>52</v>
      </c>
      <c r="B73" s="1">
        <v>30</v>
      </c>
      <c r="C73" s="1">
        <v>90</v>
      </c>
      <c r="D73" s="1">
        <v>70</v>
      </c>
      <c r="E73" s="1">
        <v>12</v>
      </c>
      <c r="F73" s="1">
        <v>40</v>
      </c>
      <c r="G73" s="1">
        <v>51</v>
      </c>
      <c r="H73" s="1">
        <v>32</v>
      </c>
      <c r="I73" s="1">
        <v>183</v>
      </c>
      <c r="J73" s="1">
        <v>165</v>
      </c>
      <c r="K73" s="1">
        <v>13</v>
      </c>
      <c r="L73" s="1">
        <v>70</v>
      </c>
      <c r="M73" s="1">
        <v>74</v>
      </c>
      <c r="N73" s="1">
        <v>15</v>
      </c>
      <c r="O73" s="1">
        <v>77</v>
      </c>
      <c r="P73" s="1">
        <v>126</v>
      </c>
      <c r="Q73" s="1">
        <v>14</v>
      </c>
      <c r="R73" s="1">
        <v>112</v>
      </c>
      <c r="S73" s="1">
        <v>51</v>
      </c>
      <c r="T73" s="1">
        <v>34</v>
      </c>
      <c r="U73" s="1">
        <v>54</v>
      </c>
      <c r="V73" s="1">
        <v>122</v>
      </c>
      <c r="W73" s="1">
        <v>35</v>
      </c>
      <c r="X73" s="1">
        <v>57</v>
      </c>
      <c r="Y73" s="1">
        <v>21</v>
      </c>
      <c r="Z73" s="1">
        <v>62</v>
      </c>
      <c r="AA73" s="1">
        <v>35</v>
      </c>
      <c r="AB73" s="1">
        <v>24</v>
      </c>
      <c r="AC73" s="1">
        <v>63</v>
      </c>
      <c r="AD73" s="1">
        <v>51</v>
      </c>
      <c r="AE73" s="1">
        <v>69</v>
      </c>
      <c r="AF73" s="18">
        <f t="shared" si="1"/>
        <v>61.733333333333334</v>
      </c>
    </row>
    <row r="74" spans="1:32" x14ac:dyDescent="0.35">
      <c r="A74" s="1" t="s">
        <v>53</v>
      </c>
      <c r="B74" s="1">
        <v>26</v>
      </c>
      <c r="C74" s="1">
        <v>61</v>
      </c>
      <c r="D74" s="1">
        <v>22</v>
      </c>
      <c r="E74" s="1">
        <v>65</v>
      </c>
      <c r="F74" s="1">
        <v>59</v>
      </c>
      <c r="G74" s="1">
        <v>85</v>
      </c>
      <c r="H74" s="1">
        <v>40</v>
      </c>
      <c r="I74" s="1">
        <v>13</v>
      </c>
      <c r="J74" s="1">
        <v>22</v>
      </c>
      <c r="K74" s="1">
        <v>81</v>
      </c>
      <c r="L74" s="1">
        <v>28</v>
      </c>
      <c r="M74" s="1">
        <v>17</v>
      </c>
      <c r="N74" s="1">
        <v>29</v>
      </c>
      <c r="O74" s="1">
        <v>73</v>
      </c>
      <c r="P74" s="1">
        <v>79</v>
      </c>
      <c r="Q74" s="1">
        <v>78</v>
      </c>
      <c r="R74" s="1">
        <v>15</v>
      </c>
      <c r="S74" s="1">
        <v>19</v>
      </c>
      <c r="T74" s="1">
        <v>27</v>
      </c>
      <c r="U74" s="1">
        <v>33</v>
      </c>
      <c r="V74" s="1">
        <v>44</v>
      </c>
      <c r="W74" s="1">
        <v>33</v>
      </c>
      <c r="X74" s="1">
        <v>18</v>
      </c>
      <c r="Y74" s="1">
        <v>35</v>
      </c>
      <c r="Z74" s="1">
        <v>23</v>
      </c>
      <c r="AA74" s="1">
        <v>34</v>
      </c>
      <c r="AB74" s="1">
        <v>13</v>
      </c>
      <c r="AC74" s="1">
        <v>149</v>
      </c>
      <c r="AD74" s="1">
        <v>72</v>
      </c>
      <c r="AE74" s="1">
        <v>21</v>
      </c>
      <c r="AF74" s="18">
        <f t="shared" si="1"/>
        <v>43.8</v>
      </c>
    </row>
    <row r="75" spans="1:32" x14ac:dyDescent="0.35">
      <c r="A75" s="1" t="s">
        <v>54</v>
      </c>
      <c r="B75" s="1">
        <v>15</v>
      </c>
      <c r="C75" s="1">
        <v>44</v>
      </c>
      <c r="D75" s="1">
        <v>61</v>
      </c>
      <c r="E75" s="1">
        <v>55</v>
      </c>
      <c r="F75" s="1">
        <v>35</v>
      </c>
      <c r="G75" s="1">
        <v>94</v>
      </c>
      <c r="H75" s="1">
        <v>163</v>
      </c>
      <c r="I75" s="1">
        <v>20</v>
      </c>
      <c r="J75" s="1">
        <v>118</v>
      </c>
      <c r="K75" s="1">
        <v>30</v>
      </c>
      <c r="L75" s="1">
        <v>86</v>
      </c>
      <c r="M75" s="1">
        <v>51</v>
      </c>
      <c r="N75" s="1">
        <v>12</v>
      </c>
      <c r="O75" s="1">
        <v>37</v>
      </c>
      <c r="P75" s="1">
        <v>26</v>
      </c>
      <c r="Q75" s="1">
        <v>36</v>
      </c>
      <c r="R75" s="1">
        <v>15</v>
      </c>
      <c r="S75" s="1">
        <v>15</v>
      </c>
      <c r="T75" s="1">
        <v>50</v>
      </c>
      <c r="U75" s="1">
        <v>85</v>
      </c>
      <c r="V75" s="1">
        <v>51</v>
      </c>
      <c r="W75" s="1">
        <v>34</v>
      </c>
      <c r="X75" s="1">
        <v>36</v>
      </c>
      <c r="Y75" s="1">
        <v>22</v>
      </c>
      <c r="Z75" s="1">
        <v>44</v>
      </c>
      <c r="AA75" s="1">
        <v>111</v>
      </c>
      <c r="AB75" s="1">
        <v>24</v>
      </c>
      <c r="AC75" s="1">
        <v>16</v>
      </c>
      <c r="AD75" s="1">
        <v>32</v>
      </c>
      <c r="AE75" s="1">
        <v>35</v>
      </c>
      <c r="AF75" s="18">
        <f t="shared" si="1"/>
        <v>48.43333333333333</v>
      </c>
    </row>
    <row r="76" spans="1:32" x14ac:dyDescent="0.35">
      <c r="A76" s="1" t="s">
        <v>180</v>
      </c>
      <c r="B76" s="1">
        <v>61</v>
      </c>
      <c r="C76" s="1">
        <v>33</v>
      </c>
      <c r="D76" s="1">
        <v>106</v>
      </c>
      <c r="E76" s="1">
        <v>30</v>
      </c>
      <c r="F76" s="1">
        <v>21</v>
      </c>
      <c r="G76" s="1">
        <v>31</v>
      </c>
      <c r="H76" s="1">
        <v>84</v>
      </c>
      <c r="I76" s="1">
        <v>35</v>
      </c>
      <c r="J76" s="1">
        <v>30</v>
      </c>
      <c r="K76" s="1">
        <v>58</v>
      </c>
      <c r="L76" s="1">
        <v>126</v>
      </c>
      <c r="M76" s="1">
        <v>28</v>
      </c>
      <c r="N76" s="1">
        <v>15</v>
      </c>
      <c r="O76" s="1">
        <v>107</v>
      </c>
      <c r="P76" s="1">
        <v>18</v>
      </c>
      <c r="Q76" s="1">
        <v>28</v>
      </c>
      <c r="R76" s="1">
        <v>113</v>
      </c>
      <c r="S76" s="1">
        <v>27</v>
      </c>
      <c r="T76" s="1">
        <v>19</v>
      </c>
      <c r="U76" s="1">
        <v>80</v>
      </c>
      <c r="V76" s="1">
        <v>18</v>
      </c>
      <c r="W76" s="1">
        <v>30</v>
      </c>
      <c r="X76" s="1">
        <v>95</v>
      </c>
      <c r="Y76" s="1">
        <v>40</v>
      </c>
      <c r="Z76" s="1">
        <v>27</v>
      </c>
      <c r="AA76" s="1">
        <v>23</v>
      </c>
      <c r="AB76" s="1">
        <v>75</v>
      </c>
      <c r="AC76" s="1">
        <v>27</v>
      </c>
      <c r="AD76" s="1">
        <v>39</v>
      </c>
      <c r="AE76" s="1">
        <v>26</v>
      </c>
      <c r="AF76" s="18">
        <f t="shared" si="1"/>
        <v>48.333333333333336</v>
      </c>
    </row>
    <row r="77" spans="1:32" x14ac:dyDescent="0.35">
      <c r="A77" s="1" t="s">
        <v>55</v>
      </c>
      <c r="B77" s="1">
        <v>14</v>
      </c>
      <c r="C77" s="1">
        <v>13</v>
      </c>
      <c r="D77" s="1">
        <v>157</v>
      </c>
      <c r="E77" s="1">
        <v>13</v>
      </c>
      <c r="F77" s="1">
        <v>34</v>
      </c>
      <c r="G77" s="1">
        <v>71</v>
      </c>
      <c r="H77" s="1">
        <v>147</v>
      </c>
      <c r="I77" s="1">
        <v>143</v>
      </c>
      <c r="J77" s="1">
        <v>203</v>
      </c>
      <c r="K77" s="1">
        <v>139</v>
      </c>
      <c r="L77" s="1">
        <v>17</v>
      </c>
      <c r="M77" s="1">
        <v>76</v>
      </c>
      <c r="N77" s="1">
        <v>25</v>
      </c>
      <c r="O77" s="1">
        <v>63</v>
      </c>
      <c r="P77" s="1">
        <v>64</v>
      </c>
      <c r="Q77" s="1">
        <v>23</v>
      </c>
      <c r="R77" s="1">
        <v>77</v>
      </c>
      <c r="S77" s="1">
        <v>109</v>
      </c>
      <c r="T77" s="1">
        <v>46</v>
      </c>
      <c r="U77" s="1">
        <v>60</v>
      </c>
      <c r="V77" s="1">
        <v>49</v>
      </c>
      <c r="W77" s="1">
        <v>22</v>
      </c>
      <c r="X77" s="1">
        <v>50</v>
      </c>
      <c r="Y77" s="1">
        <v>88</v>
      </c>
      <c r="Z77" s="1">
        <v>71</v>
      </c>
      <c r="AA77" s="1">
        <v>37</v>
      </c>
      <c r="AB77" s="1">
        <v>54</v>
      </c>
      <c r="AC77" s="1">
        <v>46</v>
      </c>
      <c r="AD77" s="1">
        <v>83</v>
      </c>
      <c r="AE77" s="1">
        <v>13</v>
      </c>
      <c r="AF77" s="18">
        <f t="shared" si="1"/>
        <v>66.900000000000006</v>
      </c>
    </row>
    <row r="78" spans="1:32" x14ac:dyDescent="0.35">
      <c r="A78" s="1" t="s">
        <v>56</v>
      </c>
      <c r="B78" s="1">
        <v>47</v>
      </c>
      <c r="C78" s="1">
        <v>48</v>
      </c>
      <c r="D78" s="1">
        <v>30</v>
      </c>
      <c r="E78" s="1">
        <v>83</v>
      </c>
      <c r="F78" s="1">
        <v>96</v>
      </c>
      <c r="G78" s="1">
        <v>14</v>
      </c>
      <c r="H78" s="1">
        <v>21</v>
      </c>
      <c r="I78" s="1">
        <v>58</v>
      </c>
      <c r="J78" s="1">
        <v>30</v>
      </c>
      <c r="K78" s="1">
        <v>21</v>
      </c>
      <c r="L78" s="1">
        <v>21</v>
      </c>
      <c r="M78" s="1">
        <v>64</v>
      </c>
      <c r="N78" s="1">
        <v>36</v>
      </c>
      <c r="O78" s="1">
        <v>87</v>
      </c>
      <c r="P78" s="1">
        <v>66</v>
      </c>
      <c r="Q78" s="1">
        <v>87</v>
      </c>
      <c r="R78" s="1">
        <v>22</v>
      </c>
      <c r="S78" s="1">
        <v>66</v>
      </c>
      <c r="T78" s="1">
        <v>29</v>
      </c>
      <c r="U78" s="1">
        <v>22</v>
      </c>
      <c r="V78" s="1">
        <v>107</v>
      </c>
      <c r="W78" s="1">
        <v>24</v>
      </c>
      <c r="X78" s="1">
        <v>15</v>
      </c>
      <c r="Y78" s="1">
        <v>32</v>
      </c>
      <c r="Z78" s="1">
        <v>13</v>
      </c>
      <c r="AA78" s="1">
        <v>32</v>
      </c>
      <c r="AB78" s="1">
        <v>143</v>
      </c>
      <c r="AC78" s="1">
        <v>45</v>
      </c>
      <c r="AD78" s="1">
        <v>24</v>
      </c>
      <c r="AE78" s="1">
        <v>108</v>
      </c>
      <c r="AF78" s="18">
        <f t="shared" si="1"/>
        <v>49.7</v>
      </c>
    </row>
    <row r="79" spans="1:32" x14ac:dyDescent="0.35">
      <c r="A79" s="1" t="s">
        <v>57</v>
      </c>
      <c r="B79" s="1">
        <v>74</v>
      </c>
      <c r="C79" s="1">
        <v>63</v>
      </c>
      <c r="D79" s="1">
        <v>97</v>
      </c>
      <c r="E79" s="1">
        <v>23</v>
      </c>
      <c r="F79" s="1">
        <v>32</v>
      </c>
      <c r="G79" s="1">
        <v>31</v>
      </c>
      <c r="H79" s="1">
        <v>80</v>
      </c>
      <c r="I79" s="1">
        <v>48</v>
      </c>
      <c r="J79" s="1">
        <v>76</v>
      </c>
      <c r="K79" s="1">
        <v>174</v>
      </c>
      <c r="L79" s="1">
        <v>53</v>
      </c>
      <c r="M79" s="1">
        <v>247</v>
      </c>
      <c r="N79" s="1">
        <v>15</v>
      </c>
      <c r="O79" s="1">
        <v>63</v>
      </c>
      <c r="P79" s="1">
        <v>102</v>
      </c>
      <c r="Q79" s="1">
        <v>68</v>
      </c>
      <c r="R79" s="1">
        <v>37</v>
      </c>
      <c r="S79" s="1">
        <v>14</v>
      </c>
      <c r="T79" s="1">
        <v>155</v>
      </c>
      <c r="U79" s="1">
        <v>52</v>
      </c>
      <c r="V79" s="1">
        <v>233</v>
      </c>
      <c r="W79" s="1">
        <v>111</v>
      </c>
      <c r="X79" s="1">
        <v>73</v>
      </c>
      <c r="Y79" s="1">
        <v>37</v>
      </c>
      <c r="Z79" s="1">
        <v>89</v>
      </c>
      <c r="AA79" s="1">
        <v>93</v>
      </c>
      <c r="AB79" s="1">
        <v>16</v>
      </c>
      <c r="AC79" s="1">
        <v>20</v>
      </c>
      <c r="AD79" s="1">
        <v>97</v>
      </c>
      <c r="AE79" s="1">
        <v>64</v>
      </c>
      <c r="AF79" s="18">
        <f t="shared" si="1"/>
        <v>77.900000000000006</v>
      </c>
    </row>
    <row r="80" spans="1:32" x14ac:dyDescent="0.35">
      <c r="A80" s="1" t="s">
        <v>58</v>
      </c>
      <c r="B80" s="1">
        <v>28</v>
      </c>
      <c r="C80" s="1">
        <v>50</v>
      </c>
      <c r="D80" s="1">
        <v>13</v>
      </c>
      <c r="E80" s="1">
        <v>33</v>
      </c>
      <c r="F80" s="1">
        <v>15</v>
      </c>
      <c r="G80" s="1">
        <v>25</v>
      </c>
      <c r="H80" s="1">
        <v>48</v>
      </c>
      <c r="I80" s="1">
        <v>71</v>
      </c>
      <c r="J80" s="1">
        <v>35</v>
      </c>
      <c r="K80" s="1">
        <v>28</v>
      </c>
      <c r="L80" s="1">
        <v>37</v>
      </c>
      <c r="M80" s="1">
        <v>12</v>
      </c>
      <c r="N80" s="1">
        <v>20</v>
      </c>
      <c r="O80" s="1">
        <v>18</v>
      </c>
      <c r="P80" s="1">
        <v>27</v>
      </c>
      <c r="Q80" s="1">
        <v>47</v>
      </c>
      <c r="R80" s="1">
        <v>12</v>
      </c>
      <c r="S80" s="1">
        <v>48</v>
      </c>
      <c r="T80" s="1">
        <v>28</v>
      </c>
      <c r="U80" s="1">
        <v>16</v>
      </c>
      <c r="V80" s="1">
        <v>44</v>
      </c>
      <c r="W80" s="1">
        <v>18</v>
      </c>
      <c r="X80" s="1">
        <v>14</v>
      </c>
      <c r="Y80" s="1">
        <v>114</v>
      </c>
      <c r="Z80" s="1">
        <v>38</v>
      </c>
      <c r="AA80" s="1">
        <v>78</v>
      </c>
      <c r="AB80" s="1">
        <v>13</v>
      </c>
      <c r="AC80" s="1">
        <v>31</v>
      </c>
      <c r="AD80" s="1">
        <v>52</v>
      </c>
      <c r="AE80" s="1">
        <v>42</v>
      </c>
      <c r="AF80" s="18">
        <f t="shared" si="1"/>
        <v>35.166666666666664</v>
      </c>
    </row>
    <row r="81" spans="1:32" x14ac:dyDescent="0.35">
      <c r="A81" s="1" t="s">
        <v>59</v>
      </c>
      <c r="B81" s="1">
        <v>43</v>
      </c>
      <c r="C81" s="1">
        <v>29</v>
      </c>
      <c r="D81" s="1">
        <v>86</v>
      </c>
      <c r="E81" s="1">
        <v>183</v>
      </c>
      <c r="F81" s="1">
        <v>26</v>
      </c>
      <c r="G81" s="1">
        <v>88</v>
      </c>
      <c r="H81" s="1">
        <v>56</v>
      </c>
      <c r="I81" s="1">
        <v>25</v>
      </c>
      <c r="J81" s="1">
        <v>27</v>
      </c>
      <c r="K81" s="1">
        <v>16</v>
      </c>
      <c r="L81" s="1">
        <v>24</v>
      </c>
      <c r="M81" s="1">
        <v>83</v>
      </c>
      <c r="N81" s="1">
        <v>214</v>
      </c>
      <c r="O81" s="1">
        <v>26</v>
      </c>
      <c r="P81" s="1">
        <v>66</v>
      </c>
      <c r="Q81" s="1">
        <v>134</v>
      </c>
      <c r="R81" s="1">
        <v>29</v>
      </c>
      <c r="S81" s="1">
        <v>100</v>
      </c>
      <c r="T81" s="1">
        <v>54</v>
      </c>
      <c r="U81" s="1">
        <v>258</v>
      </c>
      <c r="V81" s="1">
        <v>15</v>
      </c>
      <c r="W81" s="1">
        <v>28</v>
      </c>
      <c r="X81" s="1">
        <v>58</v>
      </c>
      <c r="Y81" s="1">
        <v>19</v>
      </c>
      <c r="Z81" s="1">
        <v>68</v>
      </c>
      <c r="AA81" s="1">
        <v>26</v>
      </c>
      <c r="AB81" s="1">
        <v>137</v>
      </c>
      <c r="AC81" s="1">
        <v>16</v>
      </c>
      <c r="AD81" s="1">
        <v>149</v>
      </c>
      <c r="AE81" s="1">
        <v>60</v>
      </c>
      <c r="AF81" s="18">
        <f t="shared" si="1"/>
        <v>71.433333333333337</v>
      </c>
    </row>
    <row r="82" spans="1:32" x14ac:dyDescent="0.35">
      <c r="A82" s="1" t="s">
        <v>181</v>
      </c>
      <c r="B82" s="1">
        <v>44</v>
      </c>
      <c r="C82" s="1">
        <v>132</v>
      </c>
      <c r="D82" s="1">
        <v>47</v>
      </c>
      <c r="E82" s="1">
        <v>171</v>
      </c>
      <c r="F82" s="1">
        <v>14</v>
      </c>
      <c r="G82" s="1">
        <v>98</v>
      </c>
      <c r="H82" s="1">
        <v>23</v>
      </c>
      <c r="I82" s="1">
        <v>185</v>
      </c>
      <c r="J82" s="1">
        <v>44</v>
      </c>
      <c r="K82" s="1">
        <v>35</v>
      </c>
      <c r="L82" s="1">
        <v>102</v>
      </c>
      <c r="M82" s="1">
        <v>71</v>
      </c>
      <c r="N82" s="1">
        <v>47</v>
      </c>
      <c r="O82" s="1">
        <v>41</v>
      </c>
      <c r="P82" s="1">
        <v>32</v>
      </c>
      <c r="Q82" s="1">
        <v>14</v>
      </c>
      <c r="R82" s="1">
        <v>30</v>
      </c>
      <c r="S82" s="1">
        <v>12</v>
      </c>
      <c r="T82" s="1">
        <v>116</v>
      </c>
      <c r="U82" s="1">
        <v>20</v>
      </c>
      <c r="V82" s="1">
        <v>27</v>
      </c>
      <c r="W82" s="1">
        <v>30</v>
      </c>
      <c r="X82" s="1">
        <v>34</v>
      </c>
      <c r="Y82" s="1">
        <v>13</v>
      </c>
      <c r="Z82" s="1">
        <v>41</v>
      </c>
      <c r="AA82" s="1">
        <v>29</v>
      </c>
      <c r="AB82" s="1">
        <v>55</v>
      </c>
      <c r="AC82" s="1">
        <v>43</v>
      </c>
      <c r="AD82" s="1">
        <v>129</v>
      </c>
      <c r="AE82" s="1">
        <v>20</v>
      </c>
      <c r="AF82" s="18">
        <f t="shared" si="1"/>
        <v>56.633333333333333</v>
      </c>
    </row>
    <row r="83" spans="1:32" x14ac:dyDescent="0.35">
      <c r="A83" s="1" t="s">
        <v>60</v>
      </c>
      <c r="B83" s="1">
        <v>114</v>
      </c>
      <c r="C83" s="1">
        <v>38</v>
      </c>
      <c r="D83" s="1">
        <v>33</v>
      </c>
      <c r="E83" s="1">
        <v>20</v>
      </c>
      <c r="F83" s="1">
        <v>32</v>
      </c>
      <c r="G83" s="1">
        <v>15</v>
      </c>
      <c r="H83" s="1">
        <v>23</v>
      </c>
      <c r="I83" s="1">
        <v>22</v>
      </c>
      <c r="J83" s="1">
        <v>16</v>
      </c>
      <c r="K83" s="1">
        <v>72</v>
      </c>
      <c r="L83" s="1">
        <v>21</v>
      </c>
      <c r="M83" s="1">
        <v>29</v>
      </c>
      <c r="N83" s="1">
        <v>35</v>
      </c>
      <c r="O83" s="1">
        <v>13</v>
      </c>
      <c r="P83" s="1">
        <v>35</v>
      </c>
      <c r="Q83" s="1">
        <v>33</v>
      </c>
      <c r="R83" s="1">
        <v>21</v>
      </c>
      <c r="S83" s="1">
        <v>35</v>
      </c>
      <c r="T83" s="1">
        <v>24</v>
      </c>
      <c r="U83" s="1">
        <v>33</v>
      </c>
      <c r="V83" s="1">
        <v>24</v>
      </c>
      <c r="W83" s="1">
        <v>36</v>
      </c>
      <c r="X83" s="1">
        <v>46</v>
      </c>
      <c r="Y83" s="1">
        <v>100</v>
      </c>
      <c r="Z83" s="1">
        <v>12</v>
      </c>
      <c r="AA83" s="1">
        <v>114</v>
      </c>
      <c r="AB83" s="1">
        <v>52</v>
      </c>
      <c r="AC83" s="1">
        <v>36</v>
      </c>
      <c r="AD83" s="1">
        <v>25</v>
      </c>
      <c r="AE83" s="1">
        <v>87</v>
      </c>
      <c r="AF83" s="18">
        <f t="shared" si="1"/>
        <v>39.866666666666667</v>
      </c>
    </row>
    <row r="84" spans="1:32" x14ac:dyDescent="0.35">
      <c r="A84" s="1" t="s">
        <v>61</v>
      </c>
      <c r="B84" s="1">
        <v>53</v>
      </c>
      <c r="C84" s="1">
        <v>31</v>
      </c>
      <c r="D84" s="1">
        <v>25</v>
      </c>
      <c r="E84" s="1">
        <v>90</v>
      </c>
      <c r="F84" s="1">
        <v>68</v>
      </c>
      <c r="G84" s="1">
        <v>36</v>
      </c>
      <c r="H84" s="1">
        <v>14</v>
      </c>
      <c r="I84" s="1">
        <v>23</v>
      </c>
      <c r="J84" s="1">
        <v>25</v>
      </c>
      <c r="K84" s="1">
        <v>193</v>
      </c>
      <c r="L84" s="1">
        <v>140</v>
      </c>
      <c r="M84" s="1">
        <v>46</v>
      </c>
      <c r="N84" s="1">
        <v>99</v>
      </c>
      <c r="O84" s="1">
        <v>91</v>
      </c>
      <c r="P84" s="1">
        <v>19</v>
      </c>
      <c r="Q84" s="1">
        <v>76</v>
      </c>
      <c r="R84" s="1">
        <v>36</v>
      </c>
      <c r="S84" s="1">
        <v>94</v>
      </c>
      <c r="T84" s="1">
        <v>109</v>
      </c>
      <c r="U84" s="1">
        <v>74</v>
      </c>
      <c r="V84" s="1">
        <v>41</v>
      </c>
      <c r="W84" s="1">
        <v>94</v>
      </c>
      <c r="X84" s="1">
        <v>51</v>
      </c>
      <c r="Y84" s="1">
        <v>59</v>
      </c>
      <c r="Z84" s="1">
        <v>35</v>
      </c>
      <c r="AA84" s="1">
        <v>37</v>
      </c>
      <c r="AB84" s="1">
        <v>50</v>
      </c>
      <c r="AC84" s="1">
        <v>14</v>
      </c>
      <c r="AD84" s="1">
        <v>62</v>
      </c>
      <c r="AE84" s="1">
        <v>98</v>
      </c>
      <c r="AF84" s="18">
        <f t="shared" si="1"/>
        <v>62.766666666666666</v>
      </c>
    </row>
    <row r="85" spans="1:32" x14ac:dyDescent="0.35">
      <c r="A85" s="1" t="s">
        <v>62</v>
      </c>
      <c r="B85" s="1">
        <v>25</v>
      </c>
      <c r="C85" s="1">
        <v>34</v>
      </c>
      <c r="D85" s="1">
        <v>107</v>
      </c>
      <c r="E85" s="1">
        <v>26</v>
      </c>
      <c r="F85" s="1">
        <v>22</v>
      </c>
      <c r="G85" s="1">
        <v>35</v>
      </c>
      <c r="H85" s="1">
        <v>84</v>
      </c>
      <c r="I85" s="1">
        <v>58</v>
      </c>
      <c r="J85" s="1">
        <v>19</v>
      </c>
      <c r="K85" s="1">
        <v>40</v>
      </c>
      <c r="L85" s="1">
        <v>58</v>
      </c>
      <c r="M85" s="1">
        <v>21</v>
      </c>
      <c r="N85" s="1">
        <v>20</v>
      </c>
      <c r="O85" s="1">
        <v>32</v>
      </c>
      <c r="P85" s="1">
        <v>25</v>
      </c>
      <c r="Q85" s="1">
        <v>58</v>
      </c>
      <c r="R85" s="1">
        <v>27</v>
      </c>
      <c r="S85" s="1">
        <v>22</v>
      </c>
      <c r="T85" s="1">
        <v>48</v>
      </c>
      <c r="U85" s="1">
        <v>23</v>
      </c>
      <c r="V85" s="1">
        <v>52</v>
      </c>
      <c r="W85" s="1">
        <v>38</v>
      </c>
      <c r="X85" s="1">
        <v>20</v>
      </c>
      <c r="Y85" s="1">
        <v>12</v>
      </c>
      <c r="Z85" s="1">
        <v>15</v>
      </c>
      <c r="AA85" s="1">
        <v>48</v>
      </c>
      <c r="AB85" s="1">
        <v>35</v>
      </c>
      <c r="AC85" s="1">
        <v>103</v>
      </c>
      <c r="AD85" s="1">
        <v>21</v>
      </c>
      <c r="AE85" s="1">
        <v>22</v>
      </c>
      <c r="AF85" s="18">
        <f t="shared" si="1"/>
        <v>38.333333333333336</v>
      </c>
    </row>
    <row r="86" spans="1:32" x14ac:dyDescent="0.35">
      <c r="A86" s="1" t="s">
        <v>63</v>
      </c>
      <c r="B86" s="1">
        <v>14</v>
      </c>
      <c r="C86" s="1">
        <v>47</v>
      </c>
      <c r="D86" s="1">
        <v>77</v>
      </c>
      <c r="E86" s="1">
        <v>269</v>
      </c>
      <c r="F86" s="1">
        <v>60</v>
      </c>
      <c r="G86" s="1">
        <v>17</v>
      </c>
      <c r="H86" s="1">
        <v>31</v>
      </c>
      <c r="I86" s="1">
        <v>48</v>
      </c>
      <c r="J86" s="1">
        <v>21</v>
      </c>
      <c r="K86" s="1">
        <v>22</v>
      </c>
      <c r="L86" s="1">
        <v>62</v>
      </c>
      <c r="M86" s="1">
        <v>26</v>
      </c>
      <c r="N86" s="1">
        <v>60</v>
      </c>
      <c r="O86" s="1">
        <v>107</v>
      </c>
      <c r="P86" s="1">
        <v>137</v>
      </c>
      <c r="Q86" s="1">
        <v>55</v>
      </c>
      <c r="R86" s="1">
        <v>50</v>
      </c>
      <c r="S86" s="1">
        <v>18</v>
      </c>
      <c r="T86" s="1">
        <v>64</v>
      </c>
      <c r="U86" s="1">
        <v>95</v>
      </c>
      <c r="V86" s="1">
        <v>174</v>
      </c>
      <c r="W86" s="1">
        <v>108</v>
      </c>
      <c r="X86" s="1">
        <v>25</v>
      </c>
      <c r="Y86" s="1">
        <v>109</v>
      </c>
      <c r="Z86" s="1">
        <v>29</v>
      </c>
      <c r="AA86" s="1">
        <v>12</v>
      </c>
      <c r="AB86" s="1">
        <v>22</v>
      </c>
      <c r="AC86" s="1">
        <v>86</v>
      </c>
      <c r="AD86" s="1">
        <v>114</v>
      </c>
      <c r="AE86" s="1">
        <v>34</v>
      </c>
      <c r="AF86" s="18">
        <f t="shared" si="1"/>
        <v>66.433333333333337</v>
      </c>
    </row>
    <row r="87" spans="1:32" x14ac:dyDescent="0.35">
      <c r="A87" s="1" t="s">
        <v>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8">
        <f t="shared" si="1"/>
        <v>0</v>
      </c>
    </row>
    <row r="88" spans="1:32" x14ac:dyDescent="0.35">
      <c r="A88" s="1" t="s">
        <v>182</v>
      </c>
      <c r="B88" s="1">
        <v>18</v>
      </c>
      <c r="C88" s="1">
        <v>28</v>
      </c>
      <c r="D88" s="1">
        <v>16</v>
      </c>
      <c r="E88" s="1">
        <v>36</v>
      </c>
      <c r="F88" s="1">
        <v>27</v>
      </c>
      <c r="G88" s="1">
        <v>80</v>
      </c>
      <c r="H88" s="1">
        <v>38</v>
      </c>
      <c r="I88" s="1">
        <v>42</v>
      </c>
      <c r="J88" s="1">
        <v>20</v>
      </c>
      <c r="K88" s="1">
        <v>65</v>
      </c>
      <c r="L88" s="1">
        <v>52</v>
      </c>
      <c r="M88" s="1">
        <v>26</v>
      </c>
      <c r="N88" s="1">
        <v>39</v>
      </c>
      <c r="O88" s="1">
        <v>92</v>
      </c>
      <c r="P88" s="1">
        <v>60</v>
      </c>
      <c r="Q88" s="1">
        <v>30</v>
      </c>
      <c r="R88" s="1">
        <v>13</v>
      </c>
      <c r="S88" s="1">
        <v>96</v>
      </c>
      <c r="T88" s="1">
        <v>23</v>
      </c>
      <c r="U88" s="1">
        <v>73</v>
      </c>
      <c r="V88" s="1">
        <v>114</v>
      </c>
      <c r="W88" s="1">
        <v>20</v>
      </c>
      <c r="X88" s="1">
        <v>28</v>
      </c>
      <c r="Y88" s="1">
        <v>13</v>
      </c>
      <c r="Z88" s="1">
        <v>16</v>
      </c>
      <c r="AA88" s="1">
        <v>46</v>
      </c>
      <c r="AB88" s="1">
        <v>57</v>
      </c>
      <c r="AC88" s="1">
        <v>107</v>
      </c>
      <c r="AD88" s="1">
        <v>105</v>
      </c>
      <c r="AE88" s="1">
        <v>14</v>
      </c>
      <c r="AF88" s="18">
        <f t="shared" si="1"/>
        <v>46.466666666666669</v>
      </c>
    </row>
    <row r="89" spans="1:32" x14ac:dyDescent="0.35">
      <c r="A89" s="1" t="s">
        <v>65</v>
      </c>
      <c r="B89" s="1">
        <v>188</v>
      </c>
      <c r="C89" s="1">
        <v>50</v>
      </c>
      <c r="D89" s="1">
        <v>21</v>
      </c>
      <c r="E89" s="1">
        <v>53</v>
      </c>
      <c r="F89" s="1">
        <v>52</v>
      </c>
      <c r="G89" s="1">
        <v>58</v>
      </c>
      <c r="H89" s="1">
        <v>19</v>
      </c>
      <c r="I89" s="1">
        <v>21</v>
      </c>
      <c r="J89" s="1">
        <v>52</v>
      </c>
      <c r="K89" s="1">
        <v>118</v>
      </c>
      <c r="L89" s="1">
        <v>13</v>
      </c>
      <c r="M89" s="1">
        <v>39</v>
      </c>
      <c r="N89" s="1">
        <v>16</v>
      </c>
      <c r="O89" s="1">
        <v>50</v>
      </c>
      <c r="P89" s="1">
        <v>23</v>
      </c>
      <c r="Q89" s="1">
        <v>23</v>
      </c>
      <c r="R89" s="1">
        <v>161</v>
      </c>
      <c r="S89" s="1">
        <v>49</v>
      </c>
      <c r="T89" s="1">
        <v>147</v>
      </c>
      <c r="U89" s="1">
        <v>25</v>
      </c>
      <c r="V89" s="1">
        <v>16</v>
      </c>
      <c r="W89" s="1">
        <v>24</v>
      </c>
      <c r="X89" s="1">
        <v>37</v>
      </c>
      <c r="Y89" s="1">
        <v>26</v>
      </c>
      <c r="Z89" s="1">
        <v>64</v>
      </c>
      <c r="AA89" s="1">
        <v>22</v>
      </c>
      <c r="AB89" s="1">
        <v>18</v>
      </c>
      <c r="AC89" s="1">
        <v>20</v>
      </c>
      <c r="AD89" s="1">
        <v>18</v>
      </c>
      <c r="AE89" s="1">
        <v>89</v>
      </c>
      <c r="AF89" s="18">
        <f t="shared" si="1"/>
        <v>50.4</v>
      </c>
    </row>
    <row r="90" spans="1:32" x14ac:dyDescent="0.35">
      <c r="A90" s="1" t="s">
        <v>66</v>
      </c>
      <c r="B90" s="1">
        <v>18</v>
      </c>
      <c r="C90" s="1">
        <v>96</v>
      </c>
      <c r="D90" s="1">
        <v>130</v>
      </c>
      <c r="E90" s="1">
        <v>37</v>
      </c>
      <c r="F90" s="1">
        <v>68</v>
      </c>
      <c r="G90" s="1">
        <v>16</v>
      </c>
      <c r="H90" s="1">
        <v>30</v>
      </c>
      <c r="I90" s="1">
        <v>23</v>
      </c>
      <c r="J90" s="1">
        <v>75</v>
      </c>
      <c r="K90" s="1">
        <v>215</v>
      </c>
      <c r="L90" s="1">
        <v>153</v>
      </c>
      <c r="M90" s="1">
        <v>22</v>
      </c>
      <c r="N90" s="1">
        <v>50</v>
      </c>
      <c r="O90" s="1">
        <v>62</v>
      </c>
      <c r="P90" s="1">
        <v>13</v>
      </c>
      <c r="Q90" s="1">
        <v>38</v>
      </c>
      <c r="R90" s="1">
        <v>76</v>
      </c>
      <c r="S90" s="1">
        <v>38</v>
      </c>
      <c r="T90" s="1">
        <v>206</v>
      </c>
      <c r="U90" s="1">
        <v>39</v>
      </c>
      <c r="V90" s="1">
        <v>60</v>
      </c>
      <c r="W90" s="1">
        <v>31</v>
      </c>
      <c r="X90" s="1">
        <v>62</v>
      </c>
      <c r="Y90" s="1">
        <v>23</v>
      </c>
      <c r="Z90" s="1">
        <v>44</v>
      </c>
      <c r="AA90" s="1">
        <v>58</v>
      </c>
      <c r="AB90" s="1">
        <v>54</v>
      </c>
      <c r="AC90" s="1">
        <v>93</v>
      </c>
      <c r="AD90" s="1">
        <v>41</v>
      </c>
      <c r="AE90" s="1">
        <v>40</v>
      </c>
      <c r="AF90" s="18">
        <f t="shared" si="1"/>
        <v>63.7</v>
      </c>
    </row>
    <row r="91" spans="1:32" x14ac:dyDescent="0.35">
      <c r="A91" s="1" t="s">
        <v>67</v>
      </c>
      <c r="B91" s="1">
        <v>176</v>
      </c>
      <c r="C91" s="1">
        <v>76</v>
      </c>
      <c r="D91" s="1">
        <v>26</v>
      </c>
      <c r="E91" s="1">
        <v>38</v>
      </c>
      <c r="F91" s="1">
        <v>72</v>
      </c>
      <c r="G91" s="1">
        <v>48</v>
      </c>
      <c r="H91" s="1">
        <v>42</v>
      </c>
      <c r="I91" s="1">
        <v>30</v>
      </c>
      <c r="J91" s="1">
        <v>18</v>
      </c>
      <c r="K91" s="1">
        <v>15</v>
      </c>
      <c r="L91" s="1">
        <v>113</v>
      </c>
      <c r="M91" s="1">
        <v>21</v>
      </c>
      <c r="N91" s="1">
        <v>57</v>
      </c>
      <c r="O91" s="1">
        <v>68</v>
      </c>
      <c r="P91" s="1">
        <v>36</v>
      </c>
      <c r="Q91" s="1">
        <v>26</v>
      </c>
      <c r="R91" s="1">
        <v>67</v>
      </c>
      <c r="S91" s="1">
        <v>12</v>
      </c>
      <c r="T91" s="1">
        <v>19</v>
      </c>
      <c r="U91" s="1">
        <v>58</v>
      </c>
      <c r="V91" s="1">
        <v>82</v>
      </c>
      <c r="W91" s="1">
        <v>48</v>
      </c>
      <c r="X91" s="1">
        <v>66</v>
      </c>
      <c r="Y91" s="1">
        <v>62</v>
      </c>
      <c r="Z91" s="1">
        <v>28</v>
      </c>
      <c r="AA91" s="1">
        <v>26</v>
      </c>
      <c r="AB91" s="1">
        <v>75</v>
      </c>
      <c r="AC91" s="1">
        <v>98</v>
      </c>
      <c r="AD91" s="1">
        <v>28</v>
      </c>
      <c r="AE91" s="1">
        <v>33</v>
      </c>
      <c r="AF91" s="18">
        <f t="shared" si="1"/>
        <v>52.133333333333333</v>
      </c>
    </row>
    <row r="92" spans="1:32" x14ac:dyDescent="0.35">
      <c r="A92" s="1" t="s">
        <v>68</v>
      </c>
      <c r="B92" s="1">
        <v>78</v>
      </c>
      <c r="C92" s="1">
        <v>17</v>
      </c>
      <c r="D92" s="1">
        <v>90</v>
      </c>
      <c r="E92" s="1">
        <v>24</v>
      </c>
      <c r="F92" s="1">
        <v>44</v>
      </c>
      <c r="G92" s="1">
        <v>29</v>
      </c>
      <c r="H92" s="1">
        <v>18</v>
      </c>
      <c r="I92" s="1">
        <v>63</v>
      </c>
      <c r="J92" s="1">
        <v>36</v>
      </c>
      <c r="K92" s="1">
        <v>65</v>
      </c>
      <c r="L92" s="1">
        <v>19</v>
      </c>
      <c r="M92" s="1">
        <v>21</v>
      </c>
      <c r="N92" s="1">
        <v>13</v>
      </c>
      <c r="O92" s="1">
        <v>78</v>
      </c>
      <c r="P92" s="1">
        <v>36</v>
      </c>
      <c r="Q92" s="1">
        <v>83</v>
      </c>
      <c r="R92" s="1">
        <v>58</v>
      </c>
      <c r="S92" s="1">
        <v>62</v>
      </c>
      <c r="T92" s="1">
        <v>19</v>
      </c>
      <c r="U92" s="1">
        <v>45</v>
      </c>
      <c r="V92" s="1">
        <v>39</v>
      </c>
      <c r="W92" s="1">
        <v>16</v>
      </c>
      <c r="X92" s="1">
        <v>33</v>
      </c>
      <c r="Y92" s="1">
        <v>18</v>
      </c>
      <c r="Z92" s="1">
        <v>30</v>
      </c>
      <c r="AA92" s="1">
        <v>54</v>
      </c>
      <c r="AB92" s="1">
        <v>42</v>
      </c>
      <c r="AC92" s="1">
        <v>44</v>
      </c>
      <c r="AD92" s="1">
        <v>22</v>
      </c>
      <c r="AE92" s="1">
        <v>12</v>
      </c>
      <c r="AF92" s="18">
        <f t="shared" si="1"/>
        <v>40.266666666666666</v>
      </c>
    </row>
    <row r="93" spans="1:32" x14ac:dyDescent="0.35">
      <c r="A93" s="1" t="s">
        <v>69</v>
      </c>
      <c r="B93" s="1">
        <v>64</v>
      </c>
      <c r="C93" s="1">
        <v>38</v>
      </c>
      <c r="D93" s="1">
        <v>23</v>
      </c>
      <c r="E93" s="1">
        <v>58</v>
      </c>
      <c r="F93" s="1">
        <v>46</v>
      </c>
      <c r="G93" s="1">
        <v>58</v>
      </c>
      <c r="H93" s="1">
        <v>28</v>
      </c>
      <c r="I93" s="1">
        <v>43</v>
      </c>
      <c r="J93" s="1">
        <v>50</v>
      </c>
      <c r="K93" s="1">
        <v>28</v>
      </c>
      <c r="L93" s="1">
        <v>19</v>
      </c>
      <c r="M93" s="1">
        <v>13</v>
      </c>
      <c r="N93" s="1">
        <v>43</v>
      </c>
      <c r="O93" s="1">
        <v>14</v>
      </c>
      <c r="P93" s="1">
        <v>52</v>
      </c>
      <c r="Q93" s="1">
        <v>64</v>
      </c>
      <c r="R93" s="1">
        <v>74</v>
      </c>
      <c r="S93" s="1">
        <v>43</v>
      </c>
      <c r="T93" s="1">
        <v>27</v>
      </c>
      <c r="U93" s="1">
        <v>33</v>
      </c>
      <c r="V93" s="1">
        <v>12</v>
      </c>
      <c r="W93" s="1">
        <v>20</v>
      </c>
      <c r="X93" s="1">
        <v>104</v>
      </c>
      <c r="Y93" s="1">
        <v>46</v>
      </c>
      <c r="Z93" s="1">
        <v>14</v>
      </c>
      <c r="AA93" s="1">
        <v>73</v>
      </c>
      <c r="AB93" s="1">
        <v>24</v>
      </c>
      <c r="AC93" s="1">
        <v>26</v>
      </c>
      <c r="AD93" s="1">
        <v>17</v>
      </c>
      <c r="AE93" s="1">
        <v>37</v>
      </c>
      <c r="AF93" s="18">
        <f t="shared" si="1"/>
        <v>39.700000000000003</v>
      </c>
    </row>
    <row r="94" spans="1:32" x14ac:dyDescent="0.35">
      <c r="A94" s="1" t="s">
        <v>70</v>
      </c>
      <c r="B94" s="1">
        <v>38</v>
      </c>
      <c r="C94" s="1">
        <v>71</v>
      </c>
      <c r="D94" s="1">
        <v>14</v>
      </c>
      <c r="E94" s="1">
        <v>63</v>
      </c>
      <c r="F94" s="1">
        <v>59</v>
      </c>
      <c r="G94" s="1">
        <v>38</v>
      </c>
      <c r="H94" s="1">
        <v>30</v>
      </c>
      <c r="I94" s="1">
        <v>75</v>
      </c>
      <c r="J94" s="1">
        <v>53</v>
      </c>
      <c r="K94" s="1">
        <v>125</v>
      </c>
      <c r="L94" s="1">
        <v>72</v>
      </c>
      <c r="M94" s="1">
        <v>156</v>
      </c>
      <c r="N94" s="1">
        <v>53</v>
      </c>
      <c r="O94" s="1">
        <v>51</v>
      </c>
      <c r="P94" s="1">
        <v>74</v>
      </c>
      <c r="Q94" s="1">
        <v>150</v>
      </c>
      <c r="R94" s="1">
        <v>14</v>
      </c>
      <c r="S94" s="1">
        <v>44</v>
      </c>
      <c r="T94" s="1">
        <v>248</v>
      </c>
      <c r="U94" s="1">
        <v>44</v>
      </c>
      <c r="V94" s="1">
        <v>62</v>
      </c>
      <c r="W94" s="1">
        <v>22</v>
      </c>
      <c r="X94" s="1">
        <v>119</v>
      </c>
      <c r="Y94" s="1">
        <v>42</v>
      </c>
      <c r="Z94" s="1">
        <v>74</v>
      </c>
      <c r="AA94" s="1">
        <v>14</v>
      </c>
      <c r="AB94" s="1">
        <v>37</v>
      </c>
      <c r="AC94" s="1">
        <v>63</v>
      </c>
      <c r="AD94" s="1">
        <v>60</v>
      </c>
      <c r="AE94" s="1">
        <v>126</v>
      </c>
      <c r="AF94" s="18">
        <f t="shared" si="1"/>
        <v>69.7</v>
      </c>
    </row>
    <row r="95" spans="1:32" x14ac:dyDescent="0.35">
      <c r="A95" s="1" t="s">
        <v>71</v>
      </c>
      <c r="B95" s="1">
        <v>19</v>
      </c>
      <c r="C95" s="1">
        <v>23</v>
      </c>
      <c r="D95" s="1">
        <v>12</v>
      </c>
      <c r="E95" s="1">
        <v>55</v>
      </c>
      <c r="F95" s="1">
        <v>57</v>
      </c>
      <c r="G95" s="1">
        <v>84</v>
      </c>
      <c r="H95" s="1">
        <v>133</v>
      </c>
      <c r="I95" s="1">
        <v>48</v>
      </c>
      <c r="J95" s="1">
        <v>73</v>
      </c>
      <c r="K95" s="1">
        <v>18</v>
      </c>
      <c r="L95" s="1">
        <v>39</v>
      </c>
      <c r="M95" s="1">
        <v>118</v>
      </c>
      <c r="N95" s="1">
        <v>32</v>
      </c>
      <c r="O95" s="1">
        <v>37</v>
      </c>
      <c r="P95" s="1">
        <v>44</v>
      </c>
      <c r="Q95" s="1">
        <v>36</v>
      </c>
      <c r="R95" s="1">
        <v>27</v>
      </c>
      <c r="S95" s="1">
        <v>12</v>
      </c>
      <c r="T95" s="1">
        <v>68</v>
      </c>
      <c r="U95" s="1">
        <v>38</v>
      </c>
      <c r="V95" s="1">
        <v>38</v>
      </c>
      <c r="W95" s="1">
        <v>21</v>
      </c>
      <c r="X95" s="1">
        <v>17</v>
      </c>
      <c r="Y95" s="1">
        <v>59</v>
      </c>
      <c r="Z95" s="1">
        <v>78</v>
      </c>
      <c r="AA95" s="1">
        <v>18</v>
      </c>
      <c r="AB95" s="1">
        <v>70</v>
      </c>
      <c r="AC95" s="1">
        <v>19</v>
      </c>
      <c r="AD95" s="1">
        <v>53</v>
      </c>
      <c r="AE95" s="1">
        <v>21</v>
      </c>
      <c r="AF95" s="18">
        <f t="shared" si="1"/>
        <v>45.56666666666667</v>
      </c>
    </row>
    <row r="96" spans="1:32" x14ac:dyDescent="0.35">
      <c r="A96" s="1" t="s">
        <v>72</v>
      </c>
      <c r="B96" s="1">
        <v>38</v>
      </c>
      <c r="C96" s="1">
        <v>28</v>
      </c>
      <c r="D96" s="1">
        <v>60</v>
      </c>
      <c r="E96" s="1">
        <v>37</v>
      </c>
      <c r="F96" s="1">
        <v>25</v>
      </c>
      <c r="G96" s="1">
        <v>29</v>
      </c>
      <c r="H96" s="1">
        <v>81</v>
      </c>
      <c r="I96" s="1">
        <v>34</v>
      </c>
      <c r="J96" s="1">
        <v>19</v>
      </c>
      <c r="K96" s="1">
        <v>204</v>
      </c>
      <c r="L96" s="1">
        <v>14</v>
      </c>
      <c r="M96" s="1">
        <v>16</v>
      </c>
      <c r="N96" s="1">
        <v>43</v>
      </c>
      <c r="O96" s="1">
        <v>205</v>
      </c>
      <c r="P96" s="1">
        <v>84</v>
      </c>
      <c r="Q96" s="1">
        <v>41</v>
      </c>
      <c r="R96" s="1">
        <v>41</v>
      </c>
      <c r="S96" s="1">
        <v>121</v>
      </c>
      <c r="T96" s="1">
        <v>65</v>
      </c>
      <c r="U96" s="1">
        <v>39</v>
      </c>
      <c r="V96" s="1">
        <v>27</v>
      </c>
      <c r="W96" s="1">
        <v>54</v>
      </c>
      <c r="X96" s="1">
        <v>154</v>
      </c>
      <c r="Y96" s="1">
        <v>66</v>
      </c>
      <c r="Z96" s="1">
        <v>13</v>
      </c>
      <c r="AA96" s="1">
        <v>15</v>
      </c>
      <c r="AB96" s="1">
        <v>111</v>
      </c>
      <c r="AC96" s="1">
        <v>20</v>
      </c>
      <c r="AD96" s="1">
        <v>98</v>
      </c>
      <c r="AE96" s="1">
        <v>68</v>
      </c>
      <c r="AF96" s="18">
        <f t="shared" si="1"/>
        <v>61.666666666666664</v>
      </c>
    </row>
    <row r="97" spans="1:32" x14ac:dyDescent="0.35">
      <c r="A97" s="1" t="s">
        <v>73</v>
      </c>
      <c r="B97" s="1">
        <v>192</v>
      </c>
      <c r="C97" s="1">
        <v>31</v>
      </c>
      <c r="D97" s="1">
        <v>87</v>
      </c>
      <c r="E97" s="1">
        <v>57</v>
      </c>
      <c r="F97" s="1">
        <v>56</v>
      </c>
      <c r="G97" s="1">
        <v>71</v>
      </c>
      <c r="H97" s="1">
        <v>100</v>
      </c>
      <c r="I97" s="1">
        <v>158</v>
      </c>
      <c r="J97" s="1">
        <v>49</v>
      </c>
      <c r="K97" s="1">
        <v>61</v>
      </c>
      <c r="L97" s="1">
        <v>14</v>
      </c>
      <c r="M97" s="1">
        <v>152</v>
      </c>
      <c r="N97" s="1">
        <v>40</v>
      </c>
      <c r="O97" s="1">
        <v>50</v>
      </c>
      <c r="P97" s="1">
        <v>27</v>
      </c>
      <c r="Q97" s="1">
        <v>88</v>
      </c>
      <c r="R97" s="1">
        <v>37</v>
      </c>
      <c r="S97" s="1">
        <v>88</v>
      </c>
      <c r="T97" s="1">
        <v>84</v>
      </c>
      <c r="U97" s="1">
        <v>147</v>
      </c>
      <c r="V97" s="1">
        <v>53</v>
      </c>
      <c r="W97" s="1">
        <v>32</v>
      </c>
      <c r="X97" s="1">
        <v>284</v>
      </c>
      <c r="Y97" s="1">
        <v>37</v>
      </c>
      <c r="Z97" s="1">
        <v>83</v>
      </c>
      <c r="AA97" s="1">
        <v>98</v>
      </c>
      <c r="AB97" s="1">
        <v>16</v>
      </c>
      <c r="AC97" s="1">
        <v>33</v>
      </c>
      <c r="AD97" s="1">
        <v>22</v>
      </c>
      <c r="AE97" s="1">
        <v>111</v>
      </c>
      <c r="AF97" s="18">
        <f t="shared" si="1"/>
        <v>78.599999999999994</v>
      </c>
    </row>
    <row r="98" spans="1:32" x14ac:dyDescent="0.35">
      <c r="A98" s="1" t="s">
        <v>74</v>
      </c>
      <c r="B98" s="1">
        <v>13</v>
      </c>
      <c r="C98" s="1">
        <v>49</v>
      </c>
      <c r="D98" s="1">
        <v>14</v>
      </c>
      <c r="E98" s="1">
        <v>13</v>
      </c>
      <c r="F98" s="1">
        <v>97</v>
      </c>
      <c r="G98" s="1">
        <v>124</v>
      </c>
      <c r="H98" s="1">
        <v>62</v>
      </c>
      <c r="I98" s="1">
        <v>66</v>
      </c>
      <c r="J98" s="1">
        <v>14</v>
      </c>
      <c r="K98" s="1">
        <v>32</v>
      </c>
      <c r="L98" s="1">
        <v>22</v>
      </c>
      <c r="M98" s="1">
        <v>25</v>
      </c>
      <c r="N98" s="1">
        <v>67</v>
      </c>
      <c r="O98" s="1">
        <v>48</v>
      </c>
      <c r="P98" s="1">
        <v>50</v>
      </c>
      <c r="Q98" s="1">
        <v>72</v>
      </c>
      <c r="R98" s="1">
        <v>29</v>
      </c>
      <c r="S98" s="1">
        <v>74</v>
      </c>
      <c r="T98" s="1">
        <v>136</v>
      </c>
      <c r="U98" s="1">
        <v>22</v>
      </c>
      <c r="V98" s="1">
        <v>18</v>
      </c>
      <c r="W98" s="1">
        <v>137</v>
      </c>
      <c r="X98" s="1">
        <v>144</v>
      </c>
      <c r="Y98" s="1">
        <v>18</v>
      </c>
      <c r="Z98" s="1">
        <v>131</v>
      </c>
      <c r="AA98" s="1">
        <v>114</v>
      </c>
      <c r="AB98" s="1">
        <v>37</v>
      </c>
      <c r="AC98" s="1">
        <v>92</v>
      </c>
      <c r="AD98" s="1">
        <v>38</v>
      </c>
      <c r="AE98" s="1">
        <v>21</v>
      </c>
      <c r="AF98" s="18">
        <f t="shared" si="1"/>
        <v>59.3</v>
      </c>
    </row>
    <row r="99" spans="1:32" x14ac:dyDescent="0.35">
      <c r="A99" s="1" t="s">
        <v>75</v>
      </c>
      <c r="B99" s="1">
        <v>251</v>
      </c>
      <c r="C99" s="1">
        <v>30</v>
      </c>
      <c r="D99" s="1">
        <v>13</v>
      </c>
      <c r="E99" s="1">
        <v>118</v>
      </c>
      <c r="F99" s="1">
        <v>42</v>
      </c>
      <c r="G99" s="1">
        <v>87</v>
      </c>
      <c r="H99" s="1">
        <v>25</v>
      </c>
      <c r="I99" s="1">
        <v>42</v>
      </c>
      <c r="J99" s="1">
        <v>76</v>
      </c>
      <c r="K99" s="1">
        <v>12</v>
      </c>
      <c r="L99" s="1">
        <v>24</v>
      </c>
      <c r="M99" s="1">
        <v>180</v>
      </c>
      <c r="N99" s="1">
        <v>15</v>
      </c>
      <c r="O99" s="1">
        <v>96</v>
      </c>
      <c r="P99" s="1">
        <v>68</v>
      </c>
      <c r="Q99" s="1">
        <v>22</v>
      </c>
      <c r="R99" s="1">
        <v>35</v>
      </c>
      <c r="S99" s="1">
        <v>17</v>
      </c>
      <c r="T99" s="1">
        <v>77</v>
      </c>
      <c r="U99" s="1">
        <v>22</v>
      </c>
      <c r="V99" s="1">
        <v>69</v>
      </c>
      <c r="W99" s="1">
        <v>53</v>
      </c>
      <c r="X99" s="1">
        <v>92</v>
      </c>
      <c r="Y99" s="1">
        <v>117</v>
      </c>
      <c r="Z99" s="1">
        <v>46</v>
      </c>
      <c r="AA99" s="1">
        <v>53</v>
      </c>
      <c r="AB99" s="1">
        <v>37</v>
      </c>
      <c r="AC99" s="1">
        <v>35</v>
      </c>
      <c r="AD99" s="1">
        <v>91</v>
      </c>
      <c r="AE99" s="1">
        <v>15</v>
      </c>
      <c r="AF99" s="18">
        <f t="shared" si="1"/>
        <v>62</v>
      </c>
    </row>
    <row r="100" spans="1:32" x14ac:dyDescent="0.35">
      <c r="A100" s="1" t="s">
        <v>76</v>
      </c>
      <c r="B100" s="1">
        <v>60</v>
      </c>
      <c r="C100" s="1">
        <v>17</v>
      </c>
      <c r="D100" s="1">
        <v>60</v>
      </c>
      <c r="E100" s="1">
        <v>13</v>
      </c>
      <c r="F100" s="1">
        <v>56</v>
      </c>
      <c r="G100" s="1">
        <v>67</v>
      </c>
      <c r="H100" s="1">
        <v>20</v>
      </c>
      <c r="I100" s="1">
        <v>50</v>
      </c>
      <c r="J100" s="1">
        <v>74</v>
      </c>
      <c r="K100" s="1">
        <v>20</v>
      </c>
      <c r="L100" s="1">
        <v>82</v>
      </c>
      <c r="M100" s="1">
        <v>18</v>
      </c>
      <c r="N100" s="1">
        <v>33</v>
      </c>
      <c r="O100" s="1">
        <v>43</v>
      </c>
      <c r="P100" s="1">
        <v>16</v>
      </c>
      <c r="Q100" s="1">
        <v>21</v>
      </c>
      <c r="R100" s="1">
        <v>15</v>
      </c>
      <c r="S100" s="1">
        <v>45</v>
      </c>
      <c r="T100" s="1">
        <v>21</v>
      </c>
      <c r="U100" s="1">
        <v>17</v>
      </c>
      <c r="V100" s="1">
        <v>104</v>
      </c>
      <c r="W100" s="1">
        <v>42</v>
      </c>
      <c r="X100" s="1">
        <v>48</v>
      </c>
      <c r="Y100" s="1">
        <v>31</v>
      </c>
      <c r="Z100" s="1">
        <v>33</v>
      </c>
      <c r="AA100" s="1">
        <v>31</v>
      </c>
      <c r="AB100" s="1">
        <v>15</v>
      </c>
      <c r="AC100" s="1">
        <v>40</v>
      </c>
      <c r="AD100" s="1">
        <v>222</v>
      </c>
      <c r="AE100" s="1">
        <v>36</v>
      </c>
      <c r="AF100" s="18">
        <f t="shared" si="1"/>
        <v>45</v>
      </c>
    </row>
    <row r="101" spans="1:32" x14ac:dyDescent="0.35">
      <c r="A101" s="1" t="s">
        <v>77</v>
      </c>
      <c r="B101" s="1">
        <v>68</v>
      </c>
      <c r="C101" s="1">
        <v>38</v>
      </c>
      <c r="D101" s="1">
        <v>122</v>
      </c>
      <c r="E101" s="1">
        <v>31</v>
      </c>
      <c r="F101" s="1">
        <v>50</v>
      </c>
      <c r="G101" s="1">
        <v>24</v>
      </c>
      <c r="H101" s="1">
        <v>20</v>
      </c>
      <c r="I101" s="1">
        <v>185</v>
      </c>
      <c r="J101" s="1">
        <v>19</v>
      </c>
      <c r="K101" s="1">
        <v>85</v>
      </c>
      <c r="L101" s="1">
        <v>99</v>
      </c>
      <c r="M101" s="1">
        <v>26</v>
      </c>
      <c r="N101" s="1">
        <v>57</v>
      </c>
      <c r="O101" s="1">
        <v>19</v>
      </c>
      <c r="P101" s="1">
        <v>79</v>
      </c>
      <c r="Q101" s="1">
        <v>14</v>
      </c>
      <c r="R101" s="1">
        <v>12</v>
      </c>
      <c r="S101" s="1">
        <v>26</v>
      </c>
      <c r="T101" s="1">
        <v>22</v>
      </c>
      <c r="U101" s="1">
        <v>34</v>
      </c>
      <c r="V101" s="1">
        <v>135</v>
      </c>
      <c r="W101" s="1">
        <v>38</v>
      </c>
      <c r="X101" s="1">
        <v>33</v>
      </c>
      <c r="Y101" s="1">
        <v>126</v>
      </c>
      <c r="Z101" s="1">
        <v>21</v>
      </c>
      <c r="AA101" s="1">
        <v>24</v>
      </c>
      <c r="AB101" s="1">
        <v>120</v>
      </c>
      <c r="AC101" s="1">
        <v>51</v>
      </c>
      <c r="AD101" s="1">
        <v>38</v>
      </c>
      <c r="AE101" s="1">
        <v>63</v>
      </c>
      <c r="AF101" s="18">
        <f t="shared" si="1"/>
        <v>55.966666666666669</v>
      </c>
    </row>
    <row r="102" spans="1:32" x14ac:dyDescent="0.35">
      <c r="A102" s="1" t="s">
        <v>78</v>
      </c>
      <c r="B102" s="1">
        <v>38</v>
      </c>
      <c r="C102" s="1">
        <v>13</v>
      </c>
      <c r="D102" s="1">
        <v>13</v>
      </c>
      <c r="E102" s="1">
        <v>12</v>
      </c>
      <c r="F102" s="1">
        <v>22</v>
      </c>
      <c r="G102" s="1">
        <v>20</v>
      </c>
      <c r="H102" s="1">
        <v>16</v>
      </c>
      <c r="I102" s="1">
        <v>21</v>
      </c>
      <c r="J102" s="1">
        <v>57</v>
      </c>
      <c r="K102" s="1">
        <v>46</v>
      </c>
      <c r="L102" s="1">
        <v>37</v>
      </c>
      <c r="M102" s="1">
        <v>12</v>
      </c>
      <c r="N102" s="1">
        <v>15</v>
      </c>
      <c r="O102" s="1">
        <v>18</v>
      </c>
      <c r="P102" s="1">
        <v>14</v>
      </c>
      <c r="Q102" s="1">
        <v>36</v>
      </c>
      <c r="R102" s="1">
        <v>63</v>
      </c>
      <c r="S102" s="1">
        <v>29</v>
      </c>
      <c r="T102" s="1">
        <v>24</v>
      </c>
      <c r="U102" s="1">
        <v>16</v>
      </c>
      <c r="V102" s="1">
        <v>21</v>
      </c>
      <c r="W102" s="1">
        <v>65</v>
      </c>
      <c r="X102" s="1">
        <v>56</v>
      </c>
      <c r="Y102" s="1">
        <v>31</v>
      </c>
      <c r="Z102" s="1">
        <v>116</v>
      </c>
      <c r="AA102" s="1">
        <v>40</v>
      </c>
      <c r="AB102" s="1">
        <v>69</v>
      </c>
      <c r="AC102" s="1">
        <v>109</v>
      </c>
      <c r="AD102" s="1">
        <v>18</v>
      </c>
      <c r="AE102" s="1">
        <v>37</v>
      </c>
      <c r="AF102" s="18">
        <f t="shared" si="1"/>
        <v>36.133333333333333</v>
      </c>
    </row>
    <row r="103" spans="1:32" x14ac:dyDescent="0.35">
      <c r="A103" s="1" t="s">
        <v>79</v>
      </c>
      <c r="B103" s="1">
        <v>23</v>
      </c>
      <c r="C103" s="1">
        <v>50</v>
      </c>
      <c r="D103" s="1">
        <v>29</v>
      </c>
      <c r="E103" s="1">
        <v>41</v>
      </c>
      <c r="F103" s="1">
        <v>22</v>
      </c>
      <c r="G103" s="1">
        <v>61</v>
      </c>
      <c r="H103" s="1">
        <v>23</v>
      </c>
      <c r="I103" s="1">
        <v>13</v>
      </c>
      <c r="J103" s="1">
        <v>46</v>
      </c>
      <c r="K103" s="1">
        <v>56</v>
      </c>
      <c r="L103" s="1">
        <v>34</v>
      </c>
      <c r="M103" s="1">
        <v>17</v>
      </c>
      <c r="N103" s="1">
        <v>34</v>
      </c>
      <c r="O103" s="1">
        <v>38</v>
      </c>
      <c r="P103" s="1">
        <v>36</v>
      </c>
      <c r="Q103" s="1">
        <v>64</v>
      </c>
      <c r="R103" s="1">
        <v>33</v>
      </c>
      <c r="S103" s="1">
        <v>19</v>
      </c>
      <c r="T103" s="1">
        <v>59</v>
      </c>
      <c r="U103" s="1">
        <v>49</v>
      </c>
      <c r="V103" s="1">
        <v>51</v>
      </c>
      <c r="W103" s="1">
        <v>14</v>
      </c>
      <c r="X103" s="1">
        <v>97</v>
      </c>
      <c r="Y103" s="1">
        <v>19</v>
      </c>
      <c r="Z103" s="1">
        <v>16</v>
      </c>
      <c r="AA103" s="1">
        <v>58</v>
      </c>
      <c r="AB103" s="1">
        <v>26</v>
      </c>
      <c r="AC103" s="1">
        <v>17</v>
      </c>
      <c r="AD103" s="1">
        <v>32</v>
      </c>
      <c r="AE103" s="1">
        <v>14</v>
      </c>
      <c r="AF103" s="18">
        <f t="shared" si="1"/>
        <v>36.366666666666667</v>
      </c>
    </row>
    <row r="104" spans="1:32" x14ac:dyDescent="0.35">
      <c r="A104" s="1" t="s">
        <v>183</v>
      </c>
      <c r="B104" s="1">
        <v>22</v>
      </c>
      <c r="C104" s="1">
        <v>32</v>
      </c>
      <c r="D104" s="1">
        <v>23</v>
      </c>
      <c r="E104" s="1">
        <v>60</v>
      </c>
      <c r="F104" s="1">
        <v>13</v>
      </c>
      <c r="G104" s="1">
        <v>86</v>
      </c>
      <c r="H104" s="1">
        <v>40</v>
      </c>
      <c r="I104" s="1">
        <v>95</v>
      </c>
      <c r="J104" s="1">
        <v>140</v>
      </c>
      <c r="K104" s="1">
        <v>89</v>
      </c>
      <c r="L104" s="1">
        <v>28</v>
      </c>
      <c r="M104" s="1">
        <v>25</v>
      </c>
      <c r="N104" s="1">
        <v>23</v>
      </c>
      <c r="O104" s="1">
        <v>14</v>
      </c>
      <c r="P104" s="1">
        <v>41</v>
      </c>
      <c r="Q104" s="1">
        <v>301</v>
      </c>
      <c r="R104" s="1">
        <v>15</v>
      </c>
      <c r="S104" s="1">
        <v>32</v>
      </c>
      <c r="T104" s="1">
        <v>108</v>
      </c>
      <c r="U104" s="1">
        <v>42</v>
      </c>
      <c r="V104" s="1">
        <v>55</v>
      </c>
      <c r="W104" s="1">
        <v>29</v>
      </c>
      <c r="X104" s="1">
        <v>41</v>
      </c>
      <c r="Y104" s="1">
        <v>16</v>
      </c>
      <c r="Z104" s="1">
        <v>108</v>
      </c>
      <c r="AA104" s="1">
        <v>44</v>
      </c>
      <c r="AB104" s="1">
        <v>60</v>
      </c>
      <c r="AC104" s="1">
        <v>204</v>
      </c>
      <c r="AD104" s="1">
        <v>153</v>
      </c>
      <c r="AE104" s="1">
        <v>217</v>
      </c>
      <c r="AF104" s="18">
        <f t="shared" si="1"/>
        <v>71.86666666666666</v>
      </c>
    </row>
    <row r="105" spans="1:32" x14ac:dyDescent="0.35">
      <c r="A105" s="1" t="s">
        <v>80</v>
      </c>
      <c r="B105" s="1">
        <v>44</v>
      </c>
      <c r="C105" s="1">
        <v>207</v>
      </c>
      <c r="D105" s="1">
        <v>32</v>
      </c>
      <c r="E105" s="1">
        <v>126</v>
      </c>
      <c r="F105" s="1">
        <v>27</v>
      </c>
      <c r="G105" s="1">
        <v>66</v>
      </c>
      <c r="H105" s="1">
        <v>37</v>
      </c>
      <c r="I105" s="1">
        <v>258</v>
      </c>
      <c r="J105" s="1">
        <v>35</v>
      </c>
      <c r="K105" s="1">
        <v>235</v>
      </c>
      <c r="L105" s="1">
        <v>21</v>
      </c>
      <c r="M105" s="1">
        <v>71</v>
      </c>
      <c r="N105" s="1">
        <v>40</v>
      </c>
      <c r="O105" s="1">
        <v>29</v>
      </c>
      <c r="P105" s="1">
        <v>16</v>
      </c>
      <c r="Q105" s="1">
        <v>78</v>
      </c>
      <c r="R105" s="1">
        <v>33</v>
      </c>
      <c r="S105" s="1">
        <v>171</v>
      </c>
      <c r="T105" s="1">
        <v>79</v>
      </c>
      <c r="U105" s="1">
        <v>14</v>
      </c>
      <c r="V105" s="1">
        <v>19</v>
      </c>
      <c r="W105" s="1">
        <v>93</v>
      </c>
      <c r="X105" s="1">
        <v>62</v>
      </c>
      <c r="Y105" s="1">
        <v>142</v>
      </c>
      <c r="Z105" s="1">
        <v>27</v>
      </c>
      <c r="AA105" s="1">
        <v>50</v>
      </c>
      <c r="AB105" s="1">
        <v>29</v>
      </c>
      <c r="AC105" s="1">
        <v>78</v>
      </c>
      <c r="AD105" s="1">
        <v>15</v>
      </c>
      <c r="AE105" s="1">
        <v>45</v>
      </c>
      <c r="AF105" s="18">
        <f t="shared" si="1"/>
        <v>72.63333333333334</v>
      </c>
    </row>
    <row r="106" spans="1:32" x14ac:dyDescent="0.35">
      <c r="A106" s="1" t="s">
        <v>81</v>
      </c>
      <c r="B106" s="1">
        <v>24</v>
      </c>
      <c r="C106" s="1">
        <v>18</v>
      </c>
      <c r="D106" s="1">
        <v>217</v>
      </c>
      <c r="E106" s="1">
        <v>50</v>
      </c>
      <c r="F106" s="1">
        <v>116</v>
      </c>
      <c r="G106" s="1">
        <v>26</v>
      </c>
      <c r="H106" s="1">
        <v>43</v>
      </c>
      <c r="I106" s="1">
        <v>33</v>
      </c>
      <c r="J106" s="1">
        <v>94</v>
      </c>
      <c r="K106" s="1">
        <v>91</v>
      </c>
      <c r="L106" s="1">
        <v>19</v>
      </c>
      <c r="M106" s="1">
        <v>40</v>
      </c>
      <c r="N106" s="1">
        <v>32</v>
      </c>
      <c r="O106" s="1">
        <v>151</v>
      </c>
      <c r="P106" s="1">
        <v>153</v>
      </c>
      <c r="Q106" s="1">
        <v>27</v>
      </c>
      <c r="R106" s="1">
        <v>24</v>
      </c>
      <c r="S106" s="1">
        <v>66</v>
      </c>
      <c r="T106" s="1">
        <v>36</v>
      </c>
      <c r="U106" s="1">
        <v>27</v>
      </c>
      <c r="V106" s="1">
        <v>100</v>
      </c>
      <c r="W106" s="1">
        <v>39</v>
      </c>
      <c r="X106" s="1">
        <v>31</v>
      </c>
      <c r="Y106" s="1">
        <v>84</v>
      </c>
      <c r="Z106" s="1">
        <v>13</v>
      </c>
      <c r="AA106" s="1">
        <v>14</v>
      </c>
      <c r="AB106" s="1">
        <v>52</v>
      </c>
      <c r="AC106" s="1">
        <v>113</v>
      </c>
      <c r="AD106" s="1">
        <v>23</v>
      </c>
      <c r="AE106" s="1">
        <v>19</v>
      </c>
      <c r="AF106" s="18">
        <f t="shared" si="1"/>
        <v>59.166666666666664</v>
      </c>
    </row>
    <row r="107" spans="1:32" x14ac:dyDescent="0.35">
      <c r="A107" s="1" t="s">
        <v>82</v>
      </c>
      <c r="B107" s="1">
        <v>15</v>
      </c>
      <c r="C107" s="1">
        <v>63</v>
      </c>
      <c r="D107" s="1">
        <v>101</v>
      </c>
      <c r="E107" s="1">
        <v>28</v>
      </c>
      <c r="F107" s="1">
        <v>28</v>
      </c>
      <c r="G107" s="1">
        <v>25</v>
      </c>
      <c r="H107" s="1">
        <v>36</v>
      </c>
      <c r="I107" s="1">
        <v>65</v>
      </c>
      <c r="J107" s="1">
        <v>30</v>
      </c>
      <c r="K107" s="1">
        <v>138</v>
      </c>
      <c r="L107" s="1">
        <v>102</v>
      </c>
      <c r="M107" s="1">
        <v>87</v>
      </c>
      <c r="N107" s="1">
        <v>17</v>
      </c>
      <c r="O107" s="1">
        <v>14</v>
      </c>
      <c r="P107" s="1">
        <v>25</v>
      </c>
      <c r="Q107" s="1">
        <v>21</v>
      </c>
      <c r="R107" s="1">
        <v>18</v>
      </c>
      <c r="S107" s="1">
        <v>16</v>
      </c>
      <c r="T107" s="1">
        <v>32</v>
      </c>
      <c r="U107" s="1">
        <v>20</v>
      </c>
      <c r="V107" s="1">
        <v>15</v>
      </c>
      <c r="W107" s="1">
        <v>17</v>
      </c>
      <c r="X107" s="1">
        <v>29</v>
      </c>
      <c r="Y107" s="1">
        <v>24</v>
      </c>
      <c r="Z107" s="1">
        <v>24</v>
      </c>
      <c r="AA107" s="1">
        <v>38</v>
      </c>
      <c r="AB107" s="1">
        <v>15</v>
      </c>
      <c r="AC107" s="1">
        <v>120</v>
      </c>
      <c r="AD107" s="1">
        <v>16</v>
      </c>
      <c r="AE107" s="1">
        <v>56</v>
      </c>
      <c r="AF107" s="18">
        <f t="shared" si="1"/>
        <v>41.166666666666664</v>
      </c>
    </row>
    <row r="108" spans="1:32" x14ac:dyDescent="0.35">
      <c r="A108" s="1" t="s">
        <v>83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8">
        <f t="shared" si="1"/>
        <v>0</v>
      </c>
    </row>
    <row r="109" spans="1:32" x14ac:dyDescent="0.35">
      <c r="A109" s="1" t="s">
        <v>84</v>
      </c>
      <c r="B109" s="1">
        <v>78</v>
      </c>
      <c r="C109" s="1">
        <v>44</v>
      </c>
      <c r="D109" s="1">
        <v>66</v>
      </c>
      <c r="E109" s="1">
        <v>53</v>
      </c>
      <c r="F109" s="1">
        <v>84</v>
      </c>
      <c r="G109" s="1">
        <v>62</v>
      </c>
      <c r="H109" s="1">
        <v>315</v>
      </c>
      <c r="I109" s="1">
        <v>86</v>
      </c>
      <c r="J109" s="1">
        <v>59</v>
      </c>
      <c r="K109" s="1">
        <v>120</v>
      </c>
      <c r="L109" s="1">
        <v>17</v>
      </c>
      <c r="M109" s="1">
        <v>181</v>
      </c>
      <c r="N109" s="1">
        <v>44</v>
      </c>
      <c r="O109" s="1">
        <v>28</v>
      </c>
      <c r="P109" s="1">
        <v>20</v>
      </c>
      <c r="Q109" s="1">
        <v>17</v>
      </c>
      <c r="R109" s="1">
        <v>45</v>
      </c>
      <c r="S109" s="1">
        <v>12</v>
      </c>
      <c r="T109" s="1">
        <v>61</v>
      </c>
      <c r="U109" s="1">
        <v>28</v>
      </c>
      <c r="V109" s="1">
        <v>25</v>
      </c>
      <c r="W109" s="1">
        <v>51</v>
      </c>
      <c r="X109" s="1">
        <v>30</v>
      </c>
      <c r="Y109" s="1">
        <v>93</v>
      </c>
      <c r="Z109" s="1">
        <v>132</v>
      </c>
      <c r="AA109" s="1">
        <v>19</v>
      </c>
      <c r="AB109" s="1">
        <v>151</v>
      </c>
      <c r="AC109" s="1">
        <v>121</v>
      </c>
      <c r="AD109" s="1">
        <v>37</v>
      </c>
      <c r="AE109" s="1">
        <v>187</v>
      </c>
      <c r="AF109" s="18">
        <f t="shared" si="1"/>
        <v>75.533333333333331</v>
      </c>
    </row>
    <row r="110" spans="1:32" x14ac:dyDescent="0.35">
      <c r="A110" s="1" t="s">
        <v>85</v>
      </c>
      <c r="B110" s="1">
        <v>56</v>
      </c>
      <c r="C110" s="1">
        <v>168</v>
      </c>
      <c r="D110" s="1">
        <v>123</v>
      </c>
      <c r="E110" s="1">
        <v>141</v>
      </c>
      <c r="F110" s="1">
        <v>31</v>
      </c>
      <c r="G110" s="1">
        <v>41</v>
      </c>
      <c r="H110" s="1">
        <v>31</v>
      </c>
      <c r="I110" s="1">
        <v>19</v>
      </c>
      <c r="J110" s="1">
        <v>44</v>
      </c>
      <c r="K110" s="1">
        <v>13</v>
      </c>
      <c r="L110" s="1">
        <v>48</v>
      </c>
      <c r="M110" s="1">
        <v>21</v>
      </c>
      <c r="N110" s="1">
        <v>126</v>
      </c>
      <c r="O110" s="1">
        <v>17</v>
      </c>
      <c r="P110" s="1">
        <v>44</v>
      </c>
      <c r="Q110" s="1">
        <v>53</v>
      </c>
      <c r="R110" s="1">
        <v>12</v>
      </c>
      <c r="S110" s="1">
        <v>31</v>
      </c>
      <c r="T110" s="1">
        <v>217</v>
      </c>
      <c r="U110" s="1">
        <v>31</v>
      </c>
      <c r="V110" s="1">
        <v>131</v>
      </c>
      <c r="W110" s="1">
        <v>71</v>
      </c>
      <c r="X110" s="1">
        <v>33</v>
      </c>
      <c r="Y110" s="1">
        <v>32</v>
      </c>
      <c r="Z110" s="1">
        <v>80</v>
      </c>
      <c r="AA110" s="1">
        <v>108</v>
      </c>
      <c r="AB110" s="1">
        <v>35</v>
      </c>
      <c r="AC110" s="1">
        <v>19</v>
      </c>
      <c r="AD110" s="1">
        <v>138</v>
      </c>
      <c r="AE110" s="1">
        <v>18</v>
      </c>
      <c r="AF110" s="18">
        <f t="shared" si="1"/>
        <v>64.400000000000006</v>
      </c>
    </row>
    <row r="111" spans="1:32" x14ac:dyDescent="0.35">
      <c r="A111" s="1" t="s">
        <v>86</v>
      </c>
      <c r="B111" s="1">
        <v>35</v>
      </c>
      <c r="C111" s="1">
        <v>30</v>
      </c>
      <c r="D111" s="1">
        <v>171</v>
      </c>
      <c r="E111" s="1">
        <v>24</v>
      </c>
      <c r="F111" s="1">
        <v>48</v>
      </c>
      <c r="G111" s="1">
        <v>169</v>
      </c>
      <c r="H111" s="1">
        <v>63</v>
      </c>
      <c r="I111" s="1">
        <v>13</v>
      </c>
      <c r="J111" s="1">
        <v>168</v>
      </c>
      <c r="K111" s="1">
        <v>19</v>
      </c>
      <c r="L111" s="1">
        <v>12</v>
      </c>
      <c r="M111" s="1">
        <v>68</v>
      </c>
      <c r="N111" s="1">
        <v>45</v>
      </c>
      <c r="O111" s="1">
        <v>35</v>
      </c>
      <c r="P111" s="1">
        <v>47</v>
      </c>
      <c r="Q111" s="1">
        <v>18</v>
      </c>
      <c r="R111" s="1">
        <v>29</v>
      </c>
      <c r="S111" s="1">
        <v>21</v>
      </c>
      <c r="T111" s="1">
        <v>45</v>
      </c>
      <c r="U111" s="1">
        <v>16</v>
      </c>
      <c r="V111" s="1">
        <v>23</v>
      </c>
      <c r="W111" s="1">
        <v>164</v>
      </c>
      <c r="X111" s="1">
        <v>150</v>
      </c>
      <c r="Y111" s="1">
        <v>28</v>
      </c>
      <c r="Z111" s="1">
        <v>23</v>
      </c>
      <c r="AA111" s="1">
        <v>15</v>
      </c>
      <c r="AB111" s="1">
        <v>68</v>
      </c>
      <c r="AC111" s="1">
        <v>50</v>
      </c>
      <c r="AD111" s="1">
        <v>37</v>
      </c>
      <c r="AE111" s="1">
        <v>25</v>
      </c>
      <c r="AF111" s="18">
        <f t="shared" si="1"/>
        <v>55.3</v>
      </c>
    </row>
    <row r="112" spans="1:32" x14ac:dyDescent="0.35">
      <c r="A112" s="1" t="s">
        <v>87</v>
      </c>
      <c r="B112" s="1">
        <v>66</v>
      </c>
      <c r="C112" s="1">
        <v>143</v>
      </c>
      <c r="D112" s="1">
        <v>64</v>
      </c>
      <c r="E112" s="1">
        <v>173</v>
      </c>
      <c r="F112" s="1">
        <v>21</v>
      </c>
      <c r="G112" s="1">
        <v>13</v>
      </c>
      <c r="H112" s="1">
        <v>81</v>
      </c>
      <c r="I112" s="1">
        <v>20</v>
      </c>
      <c r="J112" s="1">
        <v>79</v>
      </c>
      <c r="K112" s="1">
        <v>49</v>
      </c>
      <c r="L112" s="1">
        <v>65</v>
      </c>
      <c r="M112" s="1">
        <v>19</v>
      </c>
      <c r="N112" s="1">
        <v>22</v>
      </c>
      <c r="O112" s="1">
        <v>150</v>
      </c>
      <c r="P112" s="1">
        <v>64</v>
      </c>
      <c r="Q112" s="1">
        <v>165</v>
      </c>
      <c r="R112" s="1">
        <v>62</v>
      </c>
      <c r="S112" s="1">
        <v>102</v>
      </c>
      <c r="T112" s="1">
        <v>82</v>
      </c>
      <c r="U112" s="1">
        <v>54</v>
      </c>
      <c r="V112" s="1">
        <v>115</v>
      </c>
      <c r="W112" s="1">
        <v>45</v>
      </c>
      <c r="X112" s="1">
        <v>34</v>
      </c>
      <c r="Y112" s="1">
        <v>194</v>
      </c>
      <c r="Z112" s="1">
        <v>64</v>
      </c>
      <c r="AA112" s="1">
        <v>32</v>
      </c>
      <c r="AB112" s="1">
        <v>56</v>
      </c>
      <c r="AC112" s="1">
        <v>30</v>
      </c>
      <c r="AD112" s="1">
        <v>37</v>
      </c>
      <c r="AE112" s="1">
        <v>26</v>
      </c>
      <c r="AF112" s="18">
        <f t="shared" si="1"/>
        <v>70.900000000000006</v>
      </c>
    </row>
    <row r="113" spans="1:32" x14ac:dyDescent="0.35">
      <c r="A113" s="1" t="s">
        <v>88</v>
      </c>
      <c r="B113" s="1">
        <v>74</v>
      </c>
      <c r="C113" s="1">
        <v>25</v>
      </c>
      <c r="D113" s="1">
        <v>73</v>
      </c>
      <c r="E113" s="1">
        <v>50</v>
      </c>
      <c r="F113" s="1">
        <v>56</v>
      </c>
      <c r="G113" s="1">
        <v>317</v>
      </c>
      <c r="H113" s="1">
        <v>24</v>
      </c>
      <c r="I113" s="1">
        <v>94</v>
      </c>
      <c r="J113" s="1">
        <v>101</v>
      </c>
      <c r="K113" s="1">
        <v>29</v>
      </c>
      <c r="L113" s="1">
        <v>79</v>
      </c>
      <c r="M113" s="1">
        <v>72</v>
      </c>
      <c r="N113" s="1">
        <v>92</v>
      </c>
      <c r="O113" s="1">
        <v>53</v>
      </c>
      <c r="P113" s="1">
        <v>267</v>
      </c>
      <c r="Q113" s="1">
        <v>27</v>
      </c>
      <c r="R113" s="1">
        <v>42</v>
      </c>
      <c r="S113" s="1">
        <v>110</v>
      </c>
      <c r="T113" s="1">
        <v>128</v>
      </c>
      <c r="U113" s="1">
        <v>95</v>
      </c>
      <c r="V113" s="1">
        <v>15</v>
      </c>
      <c r="W113" s="1">
        <v>12</v>
      </c>
      <c r="X113" s="1">
        <v>86</v>
      </c>
      <c r="Y113" s="1">
        <v>77</v>
      </c>
      <c r="Z113" s="1">
        <v>30</v>
      </c>
      <c r="AA113" s="1">
        <v>13</v>
      </c>
      <c r="AB113" s="1">
        <v>59</v>
      </c>
      <c r="AC113" s="1">
        <v>18</v>
      </c>
      <c r="AD113" s="1">
        <v>49</v>
      </c>
      <c r="AE113" s="1">
        <v>95</v>
      </c>
      <c r="AF113" s="18">
        <f t="shared" si="1"/>
        <v>75.400000000000006</v>
      </c>
    </row>
    <row r="114" spans="1:32" x14ac:dyDescent="0.35">
      <c r="A114" s="1" t="s">
        <v>89</v>
      </c>
      <c r="B114" s="1">
        <v>61</v>
      </c>
      <c r="C114" s="1">
        <v>55</v>
      </c>
      <c r="D114" s="1">
        <v>64</v>
      </c>
      <c r="E114" s="1">
        <v>20</v>
      </c>
      <c r="F114" s="1">
        <v>55</v>
      </c>
      <c r="G114" s="1">
        <v>41</v>
      </c>
      <c r="H114" s="1">
        <v>101</v>
      </c>
      <c r="I114" s="1">
        <v>26</v>
      </c>
      <c r="J114" s="1">
        <v>85</v>
      </c>
      <c r="K114" s="1">
        <v>30</v>
      </c>
      <c r="L114" s="1">
        <v>35</v>
      </c>
      <c r="M114" s="1">
        <v>55</v>
      </c>
      <c r="N114" s="1">
        <v>32</v>
      </c>
      <c r="O114" s="1">
        <v>32</v>
      </c>
      <c r="P114" s="1">
        <v>27</v>
      </c>
      <c r="Q114" s="1">
        <v>25</v>
      </c>
      <c r="R114" s="1">
        <v>39</v>
      </c>
      <c r="S114" s="1">
        <v>13</v>
      </c>
      <c r="T114" s="1">
        <v>21</v>
      </c>
      <c r="U114" s="1">
        <v>28</v>
      </c>
      <c r="V114" s="1">
        <v>28</v>
      </c>
      <c r="W114" s="1">
        <v>139</v>
      </c>
      <c r="X114" s="1">
        <v>25</v>
      </c>
      <c r="Y114" s="1">
        <v>56</v>
      </c>
      <c r="Z114" s="1">
        <v>18</v>
      </c>
      <c r="AA114" s="1">
        <v>75</v>
      </c>
      <c r="AB114" s="1">
        <v>118</v>
      </c>
      <c r="AC114" s="1">
        <v>33</v>
      </c>
      <c r="AD114" s="1">
        <v>45</v>
      </c>
      <c r="AE114" s="1">
        <v>20</v>
      </c>
      <c r="AF114" s="18">
        <f t="shared" si="1"/>
        <v>46.733333333333334</v>
      </c>
    </row>
    <row r="115" spans="1:32" x14ac:dyDescent="0.35">
      <c r="A115" s="1" t="s">
        <v>196</v>
      </c>
      <c r="B115" s="1">
        <v>111</v>
      </c>
      <c r="C115" s="1">
        <v>13</v>
      </c>
      <c r="D115" s="1">
        <v>28</v>
      </c>
      <c r="E115" s="1">
        <v>12</v>
      </c>
      <c r="F115" s="1">
        <v>22</v>
      </c>
      <c r="G115" s="1">
        <v>14</v>
      </c>
      <c r="H115" s="1">
        <v>17</v>
      </c>
      <c r="I115" s="1">
        <v>73</v>
      </c>
      <c r="J115" s="1">
        <v>45</v>
      </c>
      <c r="K115" s="1">
        <v>17</v>
      </c>
      <c r="L115" s="1">
        <v>24</v>
      </c>
      <c r="M115" s="1">
        <v>104</v>
      </c>
      <c r="N115" s="1">
        <v>56</v>
      </c>
      <c r="O115" s="1">
        <v>31</v>
      </c>
      <c r="P115" s="1">
        <v>32</v>
      </c>
      <c r="Q115" s="1">
        <v>79</v>
      </c>
      <c r="R115" s="1">
        <v>36</v>
      </c>
      <c r="S115" s="1">
        <v>19</v>
      </c>
      <c r="T115" s="1">
        <v>28</v>
      </c>
      <c r="U115" s="1">
        <v>104</v>
      </c>
      <c r="V115" s="1">
        <v>73</v>
      </c>
      <c r="W115" s="1">
        <v>25</v>
      </c>
      <c r="X115" s="1">
        <v>17</v>
      </c>
      <c r="Y115" s="1">
        <v>16</v>
      </c>
      <c r="Z115" s="1">
        <v>67</v>
      </c>
      <c r="AA115" s="1">
        <v>72</v>
      </c>
      <c r="AB115" s="1">
        <v>113</v>
      </c>
      <c r="AC115" s="1">
        <v>27</v>
      </c>
      <c r="AD115" s="1">
        <v>245</v>
      </c>
      <c r="AE115" s="1">
        <v>26</v>
      </c>
      <c r="AF115" s="18">
        <f t="shared" si="1"/>
        <v>51.533333333333331</v>
      </c>
    </row>
    <row r="116" spans="1:32" x14ac:dyDescent="0.35">
      <c r="A116" s="1" t="s">
        <v>90</v>
      </c>
      <c r="B116" s="1">
        <v>278</v>
      </c>
      <c r="C116" s="1">
        <v>115</v>
      </c>
      <c r="D116" s="1">
        <v>104</v>
      </c>
      <c r="E116" s="1">
        <v>51</v>
      </c>
      <c r="F116" s="1">
        <v>23</v>
      </c>
      <c r="G116" s="1">
        <v>34</v>
      </c>
      <c r="H116" s="1">
        <v>14</v>
      </c>
      <c r="I116" s="1">
        <v>21</v>
      </c>
      <c r="J116" s="1">
        <v>40</v>
      </c>
      <c r="K116" s="1">
        <v>71</v>
      </c>
      <c r="L116" s="1">
        <v>22</v>
      </c>
      <c r="M116" s="1">
        <v>12</v>
      </c>
      <c r="N116" s="1">
        <v>131</v>
      </c>
      <c r="O116" s="1">
        <v>71</v>
      </c>
      <c r="P116" s="1">
        <v>265</v>
      </c>
      <c r="Q116" s="1">
        <v>84</v>
      </c>
      <c r="R116" s="1">
        <v>44</v>
      </c>
      <c r="S116" s="1">
        <v>73</v>
      </c>
      <c r="T116" s="1">
        <v>88</v>
      </c>
      <c r="U116" s="1">
        <v>117</v>
      </c>
      <c r="V116" s="1">
        <v>56</v>
      </c>
      <c r="W116" s="1">
        <v>68</v>
      </c>
      <c r="X116" s="1">
        <v>25</v>
      </c>
      <c r="Y116" s="1">
        <v>23</v>
      </c>
      <c r="Z116" s="1">
        <v>105</v>
      </c>
      <c r="AA116" s="1">
        <v>49</v>
      </c>
      <c r="AB116" s="1">
        <v>129</v>
      </c>
      <c r="AC116" s="1">
        <v>29</v>
      </c>
      <c r="AD116" s="1">
        <v>40</v>
      </c>
      <c r="AE116" s="1">
        <v>44</v>
      </c>
      <c r="AF116" s="18">
        <f t="shared" si="1"/>
        <v>74.2</v>
      </c>
    </row>
    <row r="117" spans="1:32" x14ac:dyDescent="0.35">
      <c r="A117" s="1" t="s">
        <v>91</v>
      </c>
      <c r="B117" s="1">
        <v>24</v>
      </c>
      <c r="C117" s="1">
        <v>73</v>
      </c>
      <c r="D117" s="1">
        <v>34</v>
      </c>
      <c r="E117" s="1">
        <v>66</v>
      </c>
      <c r="F117" s="1">
        <v>20</v>
      </c>
      <c r="G117" s="1">
        <v>23</v>
      </c>
      <c r="H117" s="1">
        <v>135</v>
      </c>
      <c r="I117" s="1">
        <v>17</v>
      </c>
      <c r="J117" s="1">
        <v>27</v>
      </c>
      <c r="K117" s="1">
        <v>92</v>
      </c>
      <c r="L117" s="1">
        <v>29</v>
      </c>
      <c r="M117" s="1">
        <v>65</v>
      </c>
      <c r="N117" s="1">
        <v>45</v>
      </c>
      <c r="O117" s="1">
        <v>47</v>
      </c>
      <c r="P117" s="1">
        <v>70</v>
      </c>
      <c r="Q117" s="1">
        <v>40</v>
      </c>
      <c r="R117" s="1">
        <v>19</v>
      </c>
      <c r="S117" s="1">
        <v>53</v>
      </c>
      <c r="T117" s="1">
        <v>14</v>
      </c>
      <c r="U117" s="1">
        <v>63</v>
      </c>
      <c r="V117" s="1">
        <v>18</v>
      </c>
      <c r="W117" s="1">
        <v>82</v>
      </c>
      <c r="X117" s="1">
        <v>16</v>
      </c>
      <c r="Y117" s="1">
        <v>49</v>
      </c>
      <c r="Z117" s="1">
        <v>14</v>
      </c>
      <c r="AA117" s="1">
        <v>53</v>
      </c>
      <c r="AB117" s="1">
        <v>100</v>
      </c>
      <c r="AC117" s="1">
        <v>45</v>
      </c>
      <c r="AD117" s="1">
        <v>79</v>
      </c>
      <c r="AE117" s="1">
        <v>23</v>
      </c>
      <c r="AF117" s="18">
        <f t="shared" si="1"/>
        <v>47.833333333333336</v>
      </c>
    </row>
    <row r="118" spans="1:32" x14ac:dyDescent="0.35">
      <c r="A118" s="1" t="s">
        <v>92</v>
      </c>
      <c r="B118" s="1">
        <v>63</v>
      </c>
      <c r="C118" s="1">
        <v>154</v>
      </c>
      <c r="D118" s="1">
        <v>50</v>
      </c>
      <c r="E118" s="1">
        <v>38</v>
      </c>
      <c r="F118" s="1">
        <v>47</v>
      </c>
      <c r="G118" s="1">
        <v>78</v>
      </c>
      <c r="H118" s="1">
        <v>41</v>
      </c>
      <c r="I118" s="1">
        <v>15</v>
      </c>
      <c r="J118" s="1">
        <v>24</v>
      </c>
      <c r="K118" s="1">
        <v>61</v>
      </c>
      <c r="L118" s="1">
        <v>19</v>
      </c>
      <c r="M118" s="1">
        <v>44</v>
      </c>
      <c r="N118" s="1">
        <v>32</v>
      </c>
      <c r="O118" s="1">
        <v>143</v>
      </c>
      <c r="P118" s="1">
        <v>136</v>
      </c>
      <c r="Q118" s="1">
        <v>60</v>
      </c>
      <c r="R118" s="1">
        <v>69</v>
      </c>
      <c r="S118" s="1">
        <v>146</v>
      </c>
      <c r="T118" s="1">
        <v>483</v>
      </c>
      <c r="U118" s="1">
        <v>98</v>
      </c>
      <c r="V118" s="1">
        <v>22</v>
      </c>
      <c r="W118" s="1">
        <v>70</v>
      </c>
      <c r="X118" s="1">
        <v>75</v>
      </c>
      <c r="Y118" s="1">
        <v>15</v>
      </c>
      <c r="Z118" s="1">
        <v>31</v>
      </c>
      <c r="AA118" s="1">
        <v>113</v>
      </c>
      <c r="AB118" s="1">
        <v>32</v>
      </c>
      <c r="AC118" s="1">
        <v>13</v>
      </c>
      <c r="AD118" s="1">
        <v>15</v>
      </c>
      <c r="AE118" s="1">
        <v>27</v>
      </c>
      <c r="AF118" s="18">
        <f t="shared" si="1"/>
        <v>73.8</v>
      </c>
    </row>
    <row r="119" spans="1:32" x14ac:dyDescent="0.35">
      <c r="A119" s="1" t="s">
        <v>93</v>
      </c>
      <c r="B119" s="1">
        <v>20</v>
      </c>
      <c r="C119" s="1">
        <v>52</v>
      </c>
      <c r="D119" s="1">
        <v>16</v>
      </c>
      <c r="E119" s="1">
        <v>12</v>
      </c>
      <c r="F119" s="1">
        <v>117</v>
      </c>
      <c r="G119" s="1">
        <v>12</v>
      </c>
      <c r="H119" s="1">
        <v>79</v>
      </c>
      <c r="I119" s="1">
        <v>36</v>
      </c>
      <c r="J119" s="1">
        <v>24</v>
      </c>
      <c r="K119" s="1">
        <v>45</v>
      </c>
      <c r="L119" s="1">
        <v>13</v>
      </c>
      <c r="M119" s="1">
        <v>16</v>
      </c>
      <c r="N119" s="1">
        <v>40</v>
      </c>
      <c r="O119" s="1">
        <v>36</v>
      </c>
      <c r="P119" s="1">
        <v>17</v>
      </c>
      <c r="Q119" s="1">
        <v>60</v>
      </c>
      <c r="R119" s="1">
        <v>39</v>
      </c>
      <c r="S119" s="1">
        <v>57</v>
      </c>
      <c r="T119" s="1">
        <v>34</v>
      </c>
      <c r="U119" s="1">
        <v>27</v>
      </c>
      <c r="V119" s="1">
        <v>28</v>
      </c>
      <c r="W119" s="1">
        <v>60</v>
      </c>
      <c r="X119" s="1">
        <v>49</v>
      </c>
      <c r="Y119" s="1">
        <v>13</v>
      </c>
      <c r="Z119" s="1">
        <v>30</v>
      </c>
      <c r="AA119" s="1">
        <v>28</v>
      </c>
      <c r="AB119" s="1">
        <v>178</v>
      </c>
      <c r="AC119" s="1">
        <v>16</v>
      </c>
      <c r="AD119" s="1">
        <v>77</v>
      </c>
      <c r="AE119" s="1">
        <v>85</v>
      </c>
      <c r="AF119" s="18">
        <f t="shared" si="1"/>
        <v>43.866666666666667</v>
      </c>
    </row>
    <row r="120" spans="1:32" x14ac:dyDescent="0.35">
      <c r="A120" s="1" t="s">
        <v>94</v>
      </c>
      <c r="B120" s="1">
        <v>28</v>
      </c>
      <c r="C120" s="1">
        <v>50</v>
      </c>
      <c r="D120" s="1">
        <v>103</v>
      </c>
      <c r="E120" s="1">
        <v>99</v>
      </c>
      <c r="F120" s="1">
        <v>40</v>
      </c>
      <c r="G120" s="1">
        <v>72</v>
      </c>
      <c r="H120" s="1">
        <v>17</v>
      </c>
      <c r="I120" s="1">
        <v>36</v>
      </c>
      <c r="J120" s="1">
        <v>159</v>
      </c>
      <c r="K120" s="1">
        <v>48</v>
      </c>
      <c r="L120" s="1">
        <v>189</v>
      </c>
      <c r="M120" s="1">
        <v>208</v>
      </c>
      <c r="N120" s="1">
        <v>190</v>
      </c>
      <c r="O120" s="1">
        <v>12</v>
      </c>
      <c r="P120" s="1">
        <v>313</v>
      </c>
      <c r="Q120" s="1">
        <v>19</v>
      </c>
      <c r="R120" s="1">
        <v>12</v>
      </c>
      <c r="S120" s="1">
        <v>146</v>
      </c>
      <c r="T120" s="1">
        <v>73</v>
      </c>
      <c r="U120" s="1">
        <v>32</v>
      </c>
      <c r="V120" s="1">
        <v>49</v>
      </c>
      <c r="W120" s="1">
        <v>31</v>
      </c>
      <c r="X120" s="1">
        <v>52</v>
      </c>
      <c r="Y120" s="1">
        <v>113</v>
      </c>
      <c r="Z120" s="1">
        <v>17</v>
      </c>
      <c r="AA120" s="1">
        <v>23</v>
      </c>
      <c r="AB120" s="1">
        <v>169</v>
      </c>
      <c r="AC120" s="1">
        <v>136</v>
      </c>
      <c r="AD120" s="1">
        <v>330</v>
      </c>
      <c r="AE120" s="1">
        <v>60</v>
      </c>
      <c r="AF120" s="18">
        <f t="shared" si="1"/>
        <v>94.2</v>
      </c>
    </row>
    <row r="121" spans="1:32" x14ac:dyDescent="0.35">
      <c r="A121" s="1" t="s">
        <v>95</v>
      </c>
      <c r="B121" s="1">
        <v>17</v>
      </c>
      <c r="C121" s="1">
        <v>31</v>
      </c>
      <c r="D121" s="1">
        <v>41</v>
      </c>
      <c r="E121" s="1">
        <v>218</v>
      </c>
      <c r="F121" s="1">
        <v>94</v>
      </c>
      <c r="G121" s="1">
        <v>12</v>
      </c>
      <c r="H121" s="1">
        <v>41</v>
      </c>
      <c r="I121" s="1">
        <v>57</v>
      </c>
      <c r="J121" s="1">
        <v>43</v>
      </c>
      <c r="K121" s="1">
        <v>141</v>
      </c>
      <c r="L121" s="1">
        <v>66</v>
      </c>
      <c r="M121" s="1">
        <v>63</v>
      </c>
      <c r="N121" s="1">
        <v>64</v>
      </c>
      <c r="O121" s="1">
        <v>96</v>
      </c>
      <c r="P121" s="1">
        <v>71</v>
      </c>
      <c r="Q121" s="1">
        <v>14</v>
      </c>
      <c r="R121" s="1">
        <v>25</v>
      </c>
      <c r="S121" s="1">
        <v>40</v>
      </c>
      <c r="T121" s="1">
        <v>40</v>
      </c>
      <c r="U121" s="1">
        <v>14</v>
      </c>
      <c r="V121" s="1">
        <v>71</v>
      </c>
      <c r="W121" s="1">
        <v>19</v>
      </c>
      <c r="X121" s="1">
        <v>90</v>
      </c>
      <c r="Y121" s="1">
        <v>19</v>
      </c>
      <c r="Z121" s="1">
        <v>77</v>
      </c>
      <c r="AA121" s="1">
        <v>12</v>
      </c>
      <c r="AB121" s="1">
        <v>89</v>
      </c>
      <c r="AC121" s="1">
        <v>12</v>
      </c>
      <c r="AD121" s="1">
        <v>30</v>
      </c>
      <c r="AE121" s="1">
        <v>22</v>
      </c>
      <c r="AF121" s="18">
        <f t="shared" si="1"/>
        <v>54.3</v>
      </c>
    </row>
    <row r="122" spans="1:32" x14ac:dyDescent="0.35">
      <c r="A122" s="1" t="s">
        <v>96</v>
      </c>
      <c r="B122" s="1">
        <v>59</v>
      </c>
      <c r="C122" s="1">
        <v>43</v>
      </c>
      <c r="D122" s="1">
        <v>15</v>
      </c>
      <c r="E122" s="1">
        <v>50</v>
      </c>
      <c r="F122" s="1">
        <v>58</v>
      </c>
      <c r="G122" s="1">
        <v>18</v>
      </c>
      <c r="H122" s="1">
        <v>16</v>
      </c>
      <c r="I122" s="1">
        <v>90</v>
      </c>
      <c r="J122" s="1">
        <v>20</v>
      </c>
      <c r="K122" s="1">
        <v>41</v>
      </c>
      <c r="L122" s="1">
        <v>54</v>
      </c>
      <c r="M122" s="1">
        <v>17</v>
      </c>
      <c r="N122" s="1">
        <v>83</v>
      </c>
      <c r="O122" s="1">
        <v>24</v>
      </c>
      <c r="P122" s="1">
        <v>80</v>
      </c>
      <c r="Q122" s="1">
        <v>56</v>
      </c>
      <c r="R122" s="1">
        <v>32</v>
      </c>
      <c r="S122" s="1">
        <v>38</v>
      </c>
      <c r="T122" s="1">
        <v>93</v>
      </c>
      <c r="U122" s="1">
        <v>32</v>
      </c>
      <c r="V122" s="1">
        <v>117</v>
      </c>
      <c r="W122" s="1">
        <v>33</v>
      </c>
      <c r="X122" s="1">
        <v>200</v>
      </c>
      <c r="Y122" s="1">
        <v>100</v>
      </c>
      <c r="Z122" s="1">
        <v>84</v>
      </c>
      <c r="AA122" s="1">
        <v>204</v>
      </c>
      <c r="AB122" s="1">
        <v>28</v>
      </c>
      <c r="AC122" s="1">
        <v>17</v>
      </c>
      <c r="AD122" s="1">
        <v>63</v>
      </c>
      <c r="AE122" s="1">
        <v>130</v>
      </c>
      <c r="AF122" s="18">
        <f t="shared" si="1"/>
        <v>63.166666666666664</v>
      </c>
    </row>
    <row r="123" spans="1:32" x14ac:dyDescent="0.35">
      <c r="A123" s="1" t="s">
        <v>97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8">
        <f t="shared" si="1"/>
        <v>0</v>
      </c>
    </row>
    <row r="124" spans="1:32" x14ac:dyDescent="0.35">
      <c r="A124" s="1" t="s">
        <v>98</v>
      </c>
      <c r="B124" s="1">
        <v>31</v>
      </c>
      <c r="C124" s="1">
        <v>95</v>
      </c>
      <c r="D124" s="1">
        <v>51</v>
      </c>
      <c r="E124" s="1">
        <v>49</v>
      </c>
      <c r="F124" s="1">
        <v>21</v>
      </c>
      <c r="G124" s="1">
        <v>36</v>
      </c>
      <c r="H124" s="1">
        <v>25</v>
      </c>
      <c r="I124" s="1">
        <v>32</v>
      </c>
      <c r="J124" s="1">
        <v>50</v>
      </c>
      <c r="K124" s="1">
        <v>96</v>
      </c>
      <c r="L124" s="1">
        <v>73</v>
      </c>
      <c r="M124" s="1">
        <v>31</v>
      </c>
      <c r="N124" s="1">
        <v>15</v>
      </c>
      <c r="O124" s="1">
        <v>15</v>
      </c>
      <c r="P124" s="1">
        <v>82</v>
      </c>
      <c r="Q124" s="1">
        <v>60</v>
      </c>
      <c r="R124" s="1">
        <v>32</v>
      </c>
      <c r="S124" s="1">
        <v>32</v>
      </c>
      <c r="T124" s="1">
        <v>48</v>
      </c>
      <c r="U124" s="1">
        <v>56</v>
      </c>
      <c r="V124" s="1">
        <v>46</v>
      </c>
      <c r="W124" s="1">
        <v>99</v>
      </c>
      <c r="X124" s="1">
        <v>27</v>
      </c>
      <c r="Y124" s="1">
        <v>34</v>
      </c>
      <c r="Z124" s="1">
        <v>109</v>
      </c>
      <c r="AA124" s="1">
        <v>40</v>
      </c>
      <c r="AB124" s="1">
        <v>14</v>
      </c>
      <c r="AC124" s="1">
        <v>17</v>
      </c>
      <c r="AD124" s="1">
        <v>56</v>
      </c>
      <c r="AE124" s="1">
        <v>12</v>
      </c>
      <c r="AF124" s="18">
        <f t="shared" si="1"/>
        <v>46.133333333333333</v>
      </c>
    </row>
    <row r="125" spans="1:32" x14ac:dyDescent="0.35">
      <c r="A125" s="1" t="s">
        <v>184</v>
      </c>
      <c r="B125" s="1">
        <v>45</v>
      </c>
      <c r="C125" s="1">
        <v>174</v>
      </c>
      <c r="D125" s="1">
        <v>21</v>
      </c>
      <c r="E125" s="1">
        <v>141</v>
      </c>
      <c r="F125" s="1">
        <v>122</v>
      </c>
      <c r="G125" s="1">
        <v>27</v>
      </c>
      <c r="H125" s="1">
        <v>58</v>
      </c>
      <c r="I125" s="1">
        <v>82</v>
      </c>
      <c r="J125" s="1">
        <v>12</v>
      </c>
      <c r="K125" s="1">
        <v>18</v>
      </c>
      <c r="L125" s="1">
        <v>45</v>
      </c>
      <c r="M125" s="1">
        <v>50</v>
      </c>
      <c r="N125" s="1">
        <v>215</v>
      </c>
      <c r="O125" s="1">
        <v>24</v>
      </c>
      <c r="P125" s="1">
        <v>93</v>
      </c>
      <c r="Q125" s="1">
        <v>29</v>
      </c>
      <c r="R125" s="1">
        <v>92</v>
      </c>
      <c r="S125" s="1">
        <v>19</v>
      </c>
      <c r="T125" s="1">
        <v>26</v>
      </c>
      <c r="U125" s="1">
        <v>94</v>
      </c>
      <c r="V125" s="1">
        <v>103</v>
      </c>
      <c r="W125" s="1">
        <v>160</v>
      </c>
      <c r="X125" s="1">
        <v>34</v>
      </c>
      <c r="Y125" s="1">
        <v>141</v>
      </c>
      <c r="Z125" s="1">
        <v>86</v>
      </c>
      <c r="AA125" s="1">
        <v>147</v>
      </c>
      <c r="AB125" s="1">
        <v>39</v>
      </c>
      <c r="AC125" s="1">
        <v>13</v>
      </c>
      <c r="AD125" s="1">
        <v>23</v>
      </c>
      <c r="AE125" s="1">
        <v>62</v>
      </c>
      <c r="AF125" s="18">
        <f t="shared" si="1"/>
        <v>73.166666666666671</v>
      </c>
    </row>
    <row r="126" spans="1:32" x14ac:dyDescent="0.35">
      <c r="A126" s="1" t="s">
        <v>99</v>
      </c>
      <c r="B126" s="1">
        <v>220</v>
      </c>
      <c r="C126" s="1">
        <v>16</v>
      </c>
      <c r="D126" s="1">
        <v>29</v>
      </c>
      <c r="E126" s="1">
        <v>56</v>
      </c>
      <c r="F126" s="1">
        <v>39</v>
      </c>
      <c r="G126" s="1">
        <v>62</v>
      </c>
      <c r="H126" s="1">
        <v>19</v>
      </c>
      <c r="I126" s="1">
        <v>99</v>
      </c>
      <c r="J126" s="1">
        <v>52</v>
      </c>
      <c r="K126" s="1">
        <v>37</v>
      </c>
      <c r="L126" s="1">
        <v>18</v>
      </c>
      <c r="M126" s="1">
        <v>204</v>
      </c>
      <c r="N126" s="1">
        <v>33</v>
      </c>
      <c r="O126" s="1">
        <v>20</v>
      </c>
      <c r="P126" s="1">
        <v>29</v>
      </c>
      <c r="Q126" s="1">
        <v>34</v>
      </c>
      <c r="R126" s="1">
        <v>21</v>
      </c>
      <c r="S126" s="1">
        <v>77</v>
      </c>
      <c r="T126" s="1">
        <v>160</v>
      </c>
      <c r="U126" s="1">
        <v>26</v>
      </c>
      <c r="V126" s="1">
        <v>13</v>
      </c>
      <c r="W126" s="1">
        <v>187</v>
      </c>
      <c r="X126" s="1">
        <v>35</v>
      </c>
      <c r="Y126" s="1">
        <v>70</v>
      </c>
      <c r="Z126" s="1">
        <v>42</v>
      </c>
      <c r="AA126" s="1">
        <v>57</v>
      </c>
      <c r="AB126" s="1">
        <v>31</v>
      </c>
      <c r="AC126" s="1">
        <v>110</v>
      </c>
      <c r="AD126" s="1">
        <v>36</v>
      </c>
      <c r="AE126" s="1">
        <v>15</v>
      </c>
      <c r="AF126" s="18">
        <f t="shared" si="1"/>
        <v>61.56666666666667</v>
      </c>
    </row>
    <row r="127" spans="1:32" x14ac:dyDescent="0.35">
      <c r="A127" s="1" t="s">
        <v>100</v>
      </c>
      <c r="B127" s="1">
        <v>67</v>
      </c>
      <c r="C127" s="1">
        <v>19</v>
      </c>
      <c r="D127" s="1">
        <v>29</v>
      </c>
      <c r="E127" s="1">
        <v>24</v>
      </c>
      <c r="F127" s="1">
        <v>26</v>
      </c>
      <c r="G127" s="1">
        <v>45</v>
      </c>
      <c r="H127" s="1">
        <v>48</v>
      </c>
      <c r="I127" s="1">
        <v>45</v>
      </c>
      <c r="J127" s="1">
        <v>21</v>
      </c>
      <c r="K127" s="1">
        <v>39</v>
      </c>
      <c r="L127" s="1">
        <v>59</v>
      </c>
      <c r="M127" s="1">
        <v>42</v>
      </c>
      <c r="N127" s="1">
        <v>14</v>
      </c>
      <c r="O127" s="1">
        <v>39</v>
      </c>
      <c r="P127" s="1">
        <v>17</v>
      </c>
      <c r="Q127" s="1">
        <v>26</v>
      </c>
      <c r="R127" s="1">
        <v>33</v>
      </c>
      <c r="S127" s="1">
        <v>26</v>
      </c>
      <c r="T127" s="1">
        <v>47</v>
      </c>
      <c r="U127" s="1">
        <v>16</v>
      </c>
      <c r="V127" s="1">
        <v>13</v>
      </c>
      <c r="W127" s="1">
        <v>32</v>
      </c>
      <c r="X127" s="1">
        <v>58</v>
      </c>
      <c r="Y127" s="1">
        <v>16</v>
      </c>
      <c r="Z127" s="1">
        <v>118</v>
      </c>
      <c r="AA127" s="1">
        <v>26</v>
      </c>
      <c r="AB127" s="1">
        <v>62</v>
      </c>
      <c r="AC127" s="1">
        <v>58</v>
      </c>
      <c r="AD127" s="1">
        <v>39</v>
      </c>
      <c r="AE127" s="1">
        <v>14</v>
      </c>
      <c r="AF127" s="18">
        <f t="shared" si="1"/>
        <v>37.266666666666666</v>
      </c>
    </row>
    <row r="128" spans="1:32" x14ac:dyDescent="0.35">
      <c r="A128" s="1" t="s">
        <v>101</v>
      </c>
      <c r="B128" s="1">
        <v>185</v>
      </c>
      <c r="C128" s="1">
        <v>29</v>
      </c>
      <c r="D128" s="1">
        <v>19</v>
      </c>
      <c r="E128" s="1">
        <v>32</v>
      </c>
      <c r="F128" s="1">
        <v>12</v>
      </c>
      <c r="G128" s="1">
        <v>43</v>
      </c>
      <c r="H128" s="1">
        <v>107</v>
      </c>
      <c r="I128" s="1">
        <v>26</v>
      </c>
      <c r="J128" s="1">
        <v>83</v>
      </c>
      <c r="K128" s="1">
        <v>76</v>
      </c>
      <c r="L128" s="1">
        <v>13</v>
      </c>
      <c r="M128" s="1">
        <v>42</v>
      </c>
      <c r="N128" s="1">
        <v>19</v>
      </c>
      <c r="O128" s="1">
        <v>66</v>
      </c>
      <c r="P128" s="1">
        <v>46</v>
      </c>
      <c r="Q128" s="1">
        <v>24</v>
      </c>
      <c r="R128" s="1">
        <v>65</v>
      </c>
      <c r="S128" s="1">
        <v>47</v>
      </c>
      <c r="T128" s="1">
        <v>15</v>
      </c>
      <c r="U128" s="1">
        <v>55</v>
      </c>
      <c r="V128" s="1">
        <v>20</v>
      </c>
      <c r="W128" s="1">
        <v>101</v>
      </c>
      <c r="X128" s="1">
        <v>30</v>
      </c>
      <c r="Y128" s="1">
        <v>30</v>
      </c>
      <c r="Z128" s="1">
        <v>21</v>
      </c>
      <c r="AA128" s="1">
        <v>167</v>
      </c>
      <c r="AB128" s="1">
        <v>67</v>
      </c>
      <c r="AC128" s="1">
        <v>15</v>
      </c>
      <c r="AD128" s="1">
        <v>49</v>
      </c>
      <c r="AE128" s="1">
        <v>41</v>
      </c>
      <c r="AF128" s="18">
        <f t="shared" si="1"/>
        <v>51.5</v>
      </c>
    </row>
    <row r="129" spans="1:32" x14ac:dyDescent="0.35">
      <c r="A129" s="1" t="s">
        <v>185</v>
      </c>
      <c r="B129" s="1">
        <v>151</v>
      </c>
      <c r="C129" s="1">
        <v>174</v>
      </c>
      <c r="D129" s="1">
        <v>16</v>
      </c>
      <c r="E129" s="1">
        <v>33</v>
      </c>
      <c r="F129" s="1">
        <v>12</v>
      </c>
      <c r="G129" s="1">
        <v>19</v>
      </c>
      <c r="H129" s="1">
        <v>313</v>
      </c>
      <c r="I129" s="1">
        <v>138</v>
      </c>
      <c r="J129" s="1">
        <v>73</v>
      </c>
      <c r="K129" s="1">
        <v>23</v>
      </c>
      <c r="L129" s="1">
        <v>94</v>
      </c>
      <c r="M129" s="1">
        <v>29</v>
      </c>
      <c r="N129" s="1">
        <v>18</v>
      </c>
      <c r="O129" s="1">
        <v>44</v>
      </c>
      <c r="P129" s="1">
        <v>53</v>
      </c>
      <c r="Q129" s="1">
        <v>375</v>
      </c>
      <c r="R129" s="1">
        <v>82</v>
      </c>
      <c r="S129" s="1">
        <v>17</v>
      </c>
      <c r="T129" s="1">
        <v>67</v>
      </c>
      <c r="U129" s="1">
        <v>26</v>
      </c>
      <c r="V129" s="1">
        <v>68</v>
      </c>
      <c r="W129" s="1">
        <v>67</v>
      </c>
      <c r="X129" s="1">
        <v>166</v>
      </c>
      <c r="Y129" s="1">
        <v>53</v>
      </c>
      <c r="Z129" s="1">
        <v>62</v>
      </c>
      <c r="AA129" s="1">
        <v>49</v>
      </c>
      <c r="AB129" s="1">
        <v>63</v>
      </c>
      <c r="AC129" s="1">
        <v>22</v>
      </c>
      <c r="AD129" s="1">
        <v>53</v>
      </c>
      <c r="AE129" s="1">
        <v>26</v>
      </c>
      <c r="AF129" s="18">
        <f t="shared" si="1"/>
        <v>79.533333333333331</v>
      </c>
    </row>
    <row r="130" spans="1:32" x14ac:dyDescent="0.35">
      <c r="A130" s="1" t="s">
        <v>102</v>
      </c>
      <c r="B130" s="1">
        <v>13</v>
      </c>
      <c r="C130" s="1">
        <v>32</v>
      </c>
      <c r="D130" s="1">
        <v>36</v>
      </c>
      <c r="E130" s="1">
        <v>36</v>
      </c>
      <c r="F130" s="1">
        <v>33</v>
      </c>
      <c r="G130" s="1">
        <v>51</v>
      </c>
      <c r="H130" s="1">
        <v>197</v>
      </c>
      <c r="I130" s="1">
        <v>95</v>
      </c>
      <c r="J130" s="1">
        <v>41</v>
      </c>
      <c r="K130" s="1">
        <v>23</v>
      </c>
      <c r="L130" s="1">
        <v>94</v>
      </c>
      <c r="M130" s="1">
        <v>55</v>
      </c>
      <c r="N130" s="1">
        <v>39</v>
      </c>
      <c r="O130" s="1">
        <v>62</v>
      </c>
      <c r="P130" s="1">
        <v>50</v>
      </c>
      <c r="Q130" s="1">
        <v>20</v>
      </c>
      <c r="R130" s="1">
        <v>21</v>
      </c>
      <c r="S130" s="1">
        <v>13</v>
      </c>
      <c r="T130" s="1">
        <v>111</v>
      </c>
      <c r="U130" s="1">
        <v>55</v>
      </c>
      <c r="V130" s="1">
        <v>23</v>
      </c>
      <c r="W130" s="1">
        <v>20</v>
      </c>
      <c r="X130" s="1">
        <v>48</v>
      </c>
      <c r="Y130" s="1">
        <v>73</v>
      </c>
      <c r="Z130" s="1">
        <v>20</v>
      </c>
      <c r="AA130" s="1">
        <v>77</v>
      </c>
      <c r="AB130" s="1">
        <v>19</v>
      </c>
      <c r="AC130" s="1">
        <v>47</v>
      </c>
      <c r="AD130" s="1">
        <v>119</v>
      </c>
      <c r="AE130" s="1">
        <v>45</v>
      </c>
      <c r="AF130" s="18">
        <f t="shared" si="1"/>
        <v>52.266666666666666</v>
      </c>
    </row>
    <row r="131" spans="1:32" x14ac:dyDescent="0.35">
      <c r="A131" s="1" t="s">
        <v>103</v>
      </c>
      <c r="B131" s="1">
        <v>16</v>
      </c>
      <c r="C131" s="1">
        <v>19</v>
      </c>
      <c r="D131" s="1">
        <v>117</v>
      </c>
      <c r="E131" s="1">
        <v>52</v>
      </c>
      <c r="F131" s="1">
        <v>33</v>
      </c>
      <c r="G131" s="1">
        <v>49</v>
      </c>
      <c r="H131" s="1">
        <v>93</v>
      </c>
      <c r="I131" s="1">
        <v>145</v>
      </c>
      <c r="J131" s="1">
        <v>63</v>
      </c>
      <c r="K131" s="1">
        <v>45</v>
      </c>
      <c r="L131" s="1">
        <v>19</v>
      </c>
      <c r="M131" s="1">
        <v>17</v>
      </c>
      <c r="N131" s="1">
        <v>56</v>
      </c>
      <c r="O131" s="1">
        <v>47</v>
      </c>
      <c r="P131" s="1">
        <v>31</v>
      </c>
      <c r="Q131" s="1">
        <v>29</v>
      </c>
      <c r="R131" s="1">
        <v>22</v>
      </c>
      <c r="S131" s="1">
        <v>14</v>
      </c>
      <c r="T131" s="1">
        <v>34</v>
      </c>
      <c r="U131" s="1">
        <v>16</v>
      </c>
      <c r="V131" s="1">
        <v>144</v>
      </c>
      <c r="W131" s="1">
        <v>53</v>
      </c>
      <c r="X131" s="1">
        <v>27</v>
      </c>
      <c r="Y131" s="1">
        <v>111</v>
      </c>
      <c r="Z131" s="1">
        <v>12</v>
      </c>
      <c r="AA131" s="1">
        <v>15</v>
      </c>
      <c r="AB131" s="1">
        <v>13</v>
      </c>
      <c r="AC131" s="1">
        <v>66</v>
      </c>
      <c r="AD131" s="1">
        <v>123</v>
      </c>
      <c r="AE131" s="1">
        <v>32</v>
      </c>
      <c r="AF131" s="18">
        <f t="shared" si="1"/>
        <v>50.43333333333333</v>
      </c>
    </row>
    <row r="132" spans="1:32" x14ac:dyDescent="0.35">
      <c r="A132" s="1" t="s">
        <v>186</v>
      </c>
      <c r="B132" s="1">
        <v>46</v>
      </c>
      <c r="C132" s="1">
        <v>28</v>
      </c>
      <c r="D132" s="1">
        <v>62</v>
      </c>
      <c r="E132" s="1">
        <v>59</v>
      </c>
      <c r="F132" s="1">
        <v>61</v>
      </c>
      <c r="G132" s="1">
        <v>27</v>
      </c>
      <c r="H132" s="1">
        <v>102</v>
      </c>
      <c r="I132" s="1">
        <v>55</v>
      </c>
      <c r="J132" s="1">
        <v>52</v>
      </c>
      <c r="K132" s="1">
        <v>16</v>
      </c>
      <c r="L132" s="1">
        <v>79</v>
      </c>
      <c r="M132" s="1">
        <v>19</v>
      </c>
      <c r="N132" s="1">
        <v>123</v>
      </c>
      <c r="O132" s="1">
        <v>16</v>
      </c>
      <c r="P132" s="1">
        <v>35</v>
      </c>
      <c r="Q132" s="1">
        <v>31</v>
      </c>
      <c r="R132" s="1">
        <v>28</v>
      </c>
      <c r="S132" s="1">
        <v>95</v>
      </c>
      <c r="T132" s="1">
        <v>21</v>
      </c>
      <c r="U132" s="1">
        <v>50</v>
      </c>
      <c r="V132" s="1">
        <v>27</v>
      </c>
      <c r="W132" s="1">
        <v>28</v>
      </c>
      <c r="X132" s="1">
        <v>72</v>
      </c>
      <c r="Y132" s="1">
        <v>140</v>
      </c>
      <c r="Z132" s="1">
        <v>23</v>
      </c>
      <c r="AA132" s="1">
        <v>44</v>
      </c>
      <c r="AB132" s="1">
        <v>77</v>
      </c>
      <c r="AC132" s="1">
        <v>46</v>
      </c>
      <c r="AD132" s="1">
        <v>15</v>
      </c>
      <c r="AE132" s="1">
        <v>24</v>
      </c>
      <c r="AF132" s="18">
        <f t="shared" ref="AF132:AF195" si="2">AVERAGE(B132:AE132)</f>
        <v>50.033333333333331</v>
      </c>
    </row>
    <row r="133" spans="1:32" x14ac:dyDescent="0.35">
      <c r="A133" s="1" t="s">
        <v>104</v>
      </c>
      <c r="B133" s="1">
        <v>122</v>
      </c>
      <c r="C133" s="1">
        <v>49</v>
      </c>
      <c r="D133" s="1">
        <v>74</v>
      </c>
      <c r="E133" s="1">
        <v>64</v>
      </c>
      <c r="F133" s="1">
        <v>19</v>
      </c>
      <c r="G133" s="1">
        <v>89</v>
      </c>
      <c r="H133" s="1">
        <v>48</v>
      </c>
      <c r="I133" s="1">
        <v>34</v>
      </c>
      <c r="J133" s="1">
        <v>42</v>
      </c>
      <c r="K133" s="1">
        <v>76</v>
      </c>
      <c r="L133" s="1">
        <v>18</v>
      </c>
      <c r="M133" s="1">
        <v>16</v>
      </c>
      <c r="N133" s="1">
        <v>98</v>
      </c>
      <c r="O133" s="1">
        <v>51</v>
      </c>
      <c r="P133" s="1">
        <v>35</v>
      </c>
      <c r="Q133" s="1">
        <v>41</v>
      </c>
      <c r="R133" s="1">
        <v>32</v>
      </c>
      <c r="S133" s="1">
        <v>30</v>
      </c>
      <c r="T133" s="1">
        <v>116</v>
      </c>
      <c r="U133" s="1">
        <v>83</v>
      </c>
      <c r="V133" s="1">
        <v>44</v>
      </c>
      <c r="W133" s="1">
        <v>18</v>
      </c>
      <c r="X133" s="1">
        <v>45</v>
      </c>
      <c r="Y133" s="1">
        <v>13</v>
      </c>
      <c r="Z133" s="1">
        <v>22</v>
      </c>
      <c r="AA133" s="1">
        <v>71</v>
      </c>
      <c r="AB133" s="1">
        <v>60</v>
      </c>
      <c r="AC133" s="1">
        <v>63</v>
      </c>
      <c r="AD133" s="1">
        <v>136</v>
      </c>
      <c r="AE133" s="1">
        <v>12</v>
      </c>
      <c r="AF133" s="18">
        <f t="shared" si="2"/>
        <v>54.033333333333331</v>
      </c>
    </row>
    <row r="134" spans="1:32" x14ac:dyDescent="0.35">
      <c r="A134" s="1" t="s">
        <v>187</v>
      </c>
      <c r="B134" s="1">
        <v>21</v>
      </c>
      <c r="C134" s="1">
        <v>48</v>
      </c>
      <c r="D134" s="1">
        <v>110</v>
      </c>
      <c r="E134" s="1">
        <v>64</v>
      </c>
      <c r="F134" s="1">
        <v>46</v>
      </c>
      <c r="G134" s="1">
        <v>55</v>
      </c>
      <c r="H134" s="1">
        <v>30</v>
      </c>
      <c r="I134" s="1">
        <v>91</v>
      </c>
      <c r="J134" s="1">
        <v>27</v>
      </c>
      <c r="K134" s="1">
        <v>12</v>
      </c>
      <c r="L134" s="1">
        <v>206</v>
      </c>
      <c r="M134" s="1">
        <v>13</v>
      </c>
      <c r="N134" s="1">
        <v>27</v>
      </c>
      <c r="O134" s="1">
        <v>48</v>
      </c>
      <c r="P134" s="1">
        <v>36</v>
      </c>
      <c r="Q134" s="1">
        <v>42</v>
      </c>
      <c r="R134" s="1">
        <v>69</v>
      </c>
      <c r="S134" s="1">
        <v>49</v>
      </c>
      <c r="T134" s="1">
        <v>228</v>
      </c>
      <c r="U134" s="1">
        <v>84</v>
      </c>
      <c r="V134" s="1">
        <v>81</v>
      </c>
      <c r="W134" s="1">
        <v>94</v>
      </c>
      <c r="X134" s="1">
        <v>26</v>
      </c>
      <c r="Y134" s="1">
        <v>46</v>
      </c>
      <c r="Z134" s="1">
        <v>27</v>
      </c>
      <c r="AA134" s="1">
        <v>179</v>
      </c>
      <c r="AB134" s="1">
        <v>73</v>
      </c>
      <c r="AC134" s="1">
        <v>12</v>
      </c>
      <c r="AD134" s="1">
        <v>23</v>
      </c>
      <c r="AE134" s="1">
        <v>147</v>
      </c>
      <c r="AF134" s="18">
        <f t="shared" si="2"/>
        <v>67.13333333333334</v>
      </c>
    </row>
    <row r="135" spans="1:32" x14ac:dyDescent="0.35">
      <c r="A135" s="1" t="s">
        <v>160</v>
      </c>
      <c r="B135" s="1">
        <v>68</v>
      </c>
      <c r="C135" s="1">
        <v>67</v>
      </c>
      <c r="D135" s="1">
        <v>95</v>
      </c>
      <c r="E135" s="1">
        <v>75</v>
      </c>
      <c r="F135" s="1">
        <v>29</v>
      </c>
      <c r="G135" s="1">
        <v>38</v>
      </c>
      <c r="H135" s="1">
        <v>82</v>
      </c>
      <c r="I135" s="1">
        <v>38</v>
      </c>
      <c r="J135" s="1">
        <v>30</v>
      </c>
      <c r="K135" s="1">
        <v>58</v>
      </c>
      <c r="L135" s="1">
        <v>76</v>
      </c>
      <c r="M135" s="1">
        <v>87</v>
      </c>
      <c r="N135" s="1">
        <v>48</v>
      </c>
      <c r="O135" s="1">
        <v>62</v>
      </c>
      <c r="P135" s="1">
        <v>60</v>
      </c>
      <c r="Q135" s="1">
        <v>44</v>
      </c>
      <c r="R135" s="1">
        <v>21</v>
      </c>
      <c r="S135" s="1">
        <v>137</v>
      </c>
      <c r="T135" s="1">
        <v>39</v>
      </c>
      <c r="U135" s="1">
        <v>18</v>
      </c>
      <c r="V135" s="1">
        <v>25</v>
      </c>
      <c r="W135" s="1">
        <v>26</v>
      </c>
      <c r="X135" s="1">
        <v>143</v>
      </c>
      <c r="Y135" s="1">
        <v>18</v>
      </c>
      <c r="Z135" s="1">
        <v>97</v>
      </c>
      <c r="AA135" s="1">
        <v>32</v>
      </c>
      <c r="AB135" s="1">
        <v>146</v>
      </c>
      <c r="AC135" s="1">
        <v>25</v>
      </c>
      <c r="AD135" s="1">
        <v>190</v>
      </c>
      <c r="AE135" s="1">
        <v>39</v>
      </c>
      <c r="AF135" s="18">
        <f t="shared" si="2"/>
        <v>63.766666666666666</v>
      </c>
    </row>
    <row r="136" spans="1:32" x14ac:dyDescent="0.35">
      <c r="A136" s="1" t="s">
        <v>105</v>
      </c>
      <c r="B136" s="1">
        <v>99</v>
      </c>
      <c r="C136" s="1">
        <v>30</v>
      </c>
      <c r="D136" s="1">
        <v>112</v>
      </c>
      <c r="E136" s="1">
        <v>86</v>
      </c>
      <c r="F136" s="1">
        <v>59</v>
      </c>
      <c r="G136" s="1">
        <v>21</v>
      </c>
      <c r="H136" s="1">
        <v>89</v>
      </c>
      <c r="I136" s="1">
        <v>23</v>
      </c>
      <c r="J136" s="1">
        <v>67</v>
      </c>
      <c r="K136" s="1">
        <v>30</v>
      </c>
      <c r="L136" s="1">
        <v>121</v>
      </c>
      <c r="M136" s="1">
        <v>17</v>
      </c>
      <c r="N136" s="1">
        <v>240</v>
      </c>
      <c r="O136" s="1">
        <v>26</v>
      </c>
      <c r="P136" s="1">
        <v>41</v>
      </c>
      <c r="Q136" s="1">
        <v>17</v>
      </c>
      <c r="R136" s="1">
        <v>34</v>
      </c>
      <c r="S136" s="1">
        <v>49</v>
      </c>
      <c r="T136" s="1">
        <v>26</v>
      </c>
      <c r="U136" s="1">
        <v>50</v>
      </c>
      <c r="V136" s="1">
        <v>132</v>
      </c>
      <c r="W136" s="1">
        <v>96</v>
      </c>
      <c r="X136" s="1">
        <v>185</v>
      </c>
      <c r="Y136" s="1">
        <v>52</v>
      </c>
      <c r="Z136" s="1">
        <v>104</v>
      </c>
      <c r="AA136" s="1">
        <v>47</v>
      </c>
      <c r="AB136" s="1">
        <v>262</v>
      </c>
      <c r="AC136" s="1">
        <v>24</v>
      </c>
      <c r="AD136" s="1">
        <v>75</v>
      </c>
      <c r="AE136" s="1">
        <v>97</v>
      </c>
      <c r="AF136" s="18">
        <f t="shared" si="2"/>
        <v>77.033333333333331</v>
      </c>
    </row>
    <row r="137" spans="1:32" x14ac:dyDescent="0.35">
      <c r="A137" s="1" t="s">
        <v>106</v>
      </c>
      <c r="B137" s="1">
        <v>22</v>
      </c>
      <c r="C137" s="1">
        <v>17</v>
      </c>
      <c r="D137" s="1">
        <v>37</v>
      </c>
      <c r="E137" s="1">
        <v>41</v>
      </c>
      <c r="F137" s="1">
        <v>15</v>
      </c>
      <c r="G137" s="1">
        <v>14</v>
      </c>
      <c r="H137" s="1">
        <v>55</v>
      </c>
      <c r="I137" s="1">
        <v>25</v>
      </c>
      <c r="J137" s="1">
        <v>22</v>
      </c>
      <c r="K137" s="1">
        <v>27</v>
      </c>
      <c r="L137" s="1">
        <v>42</v>
      </c>
      <c r="M137" s="1">
        <v>50</v>
      </c>
      <c r="N137" s="1">
        <v>83</v>
      </c>
      <c r="O137" s="1">
        <v>50</v>
      </c>
      <c r="P137" s="1">
        <v>17</v>
      </c>
      <c r="Q137" s="1">
        <v>57</v>
      </c>
      <c r="R137" s="1">
        <v>65</v>
      </c>
      <c r="S137" s="1">
        <v>22</v>
      </c>
      <c r="T137" s="1">
        <v>19</v>
      </c>
      <c r="U137" s="1">
        <v>12</v>
      </c>
      <c r="V137" s="1">
        <v>159</v>
      </c>
      <c r="W137" s="1">
        <v>28</v>
      </c>
      <c r="X137" s="1">
        <v>74</v>
      </c>
      <c r="Y137" s="1">
        <v>44</v>
      </c>
      <c r="Z137" s="1">
        <v>44</v>
      </c>
      <c r="AA137" s="1">
        <v>36</v>
      </c>
      <c r="AB137" s="1">
        <v>52</v>
      </c>
      <c r="AC137" s="1">
        <v>38</v>
      </c>
      <c r="AD137" s="1">
        <v>39</v>
      </c>
      <c r="AE137" s="1">
        <v>18</v>
      </c>
      <c r="AF137" s="18">
        <f t="shared" si="2"/>
        <v>40.799999999999997</v>
      </c>
    </row>
    <row r="138" spans="1:32" x14ac:dyDescent="0.35">
      <c r="A138" s="1" t="s">
        <v>188</v>
      </c>
      <c r="B138" s="1">
        <v>50</v>
      </c>
      <c r="C138" s="1">
        <v>49</v>
      </c>
      <c r="D138" s="1">
        <v>19</v>
      </c>
      <c r="E138" s="1">
        <v>109</v>
      </c>
      <c r="F138" s="1">
        <v>87</v>
      </c>
      <c r="G138" s="1">
        <v>33</v>
      </c>
      <c r="H138" s="1">
        <v>34</v>
      </c>
      <c r="I138" s="1">
        <v>45</v>
      </c>
      <c r="J138" s="1">
        <v>69</v>
      </c>
      <c r="K138" s="1">
        <v>49</v>
      </c>
      <c r="L138" s="1">
        <v>36</v>
      </c>
      <c r="M138" s="1">
        <v>23</v>
      </c>
      <c r="N138" s="1">
        <v>59</v>
      </c>
      <c r="O138" s="1">
        <v>56</v>
      </c>
      <c r="P138" s="1">
        <v>14</v>
      </c>
      <c r="Q138" s="1">
        <v>48</v>
      </c>
      <c r="R138" s="1">
        <v>31</v>
      </c>
      <c r="S138" s="1">
        <v>24</v>
      </c>
      <c r="T138" s="1">
        <v>19</v>
      </c>
      <c r="U138" s="1">
        <v>23</v>
      </c>
      <c r="V138" s="1">
        <v>38</v>
      </c>
      <c r="W138" s="1">
        <v>25</v>
      </c>
      <c r="X138" s="1">
        <v>15</v>
      </c>
      <c r="Y138" s="1">
        <v>21</v>
      </c>
      <c r="Z138" s="1">
        <v>123</v>
      </c>
      <c r="AA138" s="1">
        <v>29</v>
      </c>
      <c r="AB138" s="1">
        <v>37</v>
      </c>
      <c r="AC138" s="1">
        <v>38</v>
      </c>
      <c r="AD138" s="1">
        <v>17</v>
      </c>
      <c r="AE138" s="1">
        <v>72</v>
      </c>
      <c r="AF138" s="18">
        <f t="shared" si="2"/>
        <v>43.06666666666667</v>
      </c>
    </row>
    <row r="139" spans="1:32" x14ac:dyDescent="0.35">
      <c r="A139" s="1" t="s">
        <v>107</v>
      </c>
      <c r="B139" s="1">
        <v>62</v>
      </c>
      <c r="C139" s="1">
        <v>60</v>
      </c>
      <c r="D139" s="1">
        <v>116</v>
      </c>
      <c r="E139" s="1">
        <v>15</v>
      </c>
      <c r="F139" s="1">
        <v>19</v>
      </c>
      <c r="G139" s="1">
        <v>39</v>
      </c>
      <c r="H139" s="1">
        <v>46</v>
      </c>
      <c r="I139" s="1">
        <v>21</v>
      </c>
      <c r="J139" s="1">
        <v>122</v>
      </c>
      <c r="K139" s="1">
        <v>85</v>
      </c>
      <c r="L139" s="1">
        <v>84</v>
      </c>
      <c r="M139" s="1">
        <v>46</v>
      </c>
      <c r="N139" s="1">
        <v>43</v>
      </c>
      <c r="O139" s="1">
        <v>26</v>
      </c>
      <c r="P139" s="1">
        <v>52</v>
      </c>
      <c r="Q139" s="1">
        <v>21</v>
      </c>
      <c r="R139" s="1">
        <v>18</v>
      </c>
      <c r="S139" s="1">
        <v>20</v>
      </c>
      <c r="T139" s="1">
        <v>31</v>
      </c>
      <c r="U139" s="1">
        <v>87</v>
      </c>
      <c r="V139" s="1">
        <v>13</v>
      </c>
      <c r="W139" s="1">
        <v>124</v>
      </c>
      <c r="X139" s="1">
        <v>52</v>
      </c>
      <c r="Y139" s="1">
        <v>48</v>
      </c>
      <c r="Z139" s="1">
        <v>53</v>
      </c>
      <c r="AA139" s="1">
        <v>13</v>
      </c>
      <c r="AB139" s="1">
        <v>70</v>
      </c>
      <c r="AC139" s="1">
        <v>22</v>
      </c>
      <c r="AD139" s="1">
        <v>16</v>
      </c>
      <c r="AE139" s="1">
        <v>84</v>
      </c>
      <c r="AF139" s="18">
        <f t="shared" si="2"/>
        <v>50.266666666666666</v>
      </c>
    </row>
    <row r="140" spans="1:32" x14ac:dyDescent="0.35">
      <c r="A140" s="1" t="s">
        <v>108</v>
      </c>
      <c r="B140" s="1">
        <v>127</v>
      </c>
      <c r="C140" s="1">
        <v>43</v>
      </c>
      <c r="D140" s="1">
        <v>31</v>
      </c>
      <c r="E140" s="1">
        <v>93</v>
      </c>
      <c r="F140" s="1">
        <v>17</v>
      </c>
      <c r="G140" s="1">
        <v>76</v>
      </c>
      <c r="H140" s="1">
        <v>150</v>
      </c>
      <c r="I140" s="1">
        <v>18</v>
      </c>
      <c r="J140" s="1">
        <v>43</v>
      </c>
      <c r="K140" s="1">
        <v>107</v>
      </c>
      <c r="L140" s="1">
        <v>88</v>
      </c>
      <c r="M140" s="1">
        <v>146</v>
      </c>
      <c r="N140" s="1">
        <v>135</v>
      </c>
      <c r="O140" s="1">
        <v>21</v>
      </c>
      <c r="P140" s="1">
        <v>103</v>
      </c>
      <c r="Q140" s="1">
        <v>228</v>
      </c>
      <c r="R140" s="1">
        <v>59</v>
      </c>
      <c r="S140" s="1">
        <v>126</v>
      </c>
      <c r="T140" s="1">
        <v>111</v>
      </c>
      <c r="U140" s="1">
        <v>39</v>
      </c>
      <c r="V140" s="1">
        <v>184</v>
      </c>
      <c r="W140" s="1">
        <v>12</v>
      </c>
      <c r="X140" s="1">
        <v>22</v>
      </c>
      <c r="Y140" s="1">
        <v>18</v>
      </c>
      <c r="Z140" s="1">
        <v>17</v>
      </c>
      <c r="AA140" s="1">
        <v>122</v>
      </c>
      <c r="AB140" s="1">
        <v>23</v>
      </c>
      <c r="AC140" s="1">
        <v>42</v>
      </c>
      <c r="AD140" s="1">
        <v>116</v>
      </c>
      <c r="AE140" s="1">
        <v>42</v>
      </c>
      <c r="AF140" s="18">
        <f t="shared" si="2"/>
        <v>78.63333333333334</v>
      </c>
    </row>
    <row r="141" spans="1:32" x14ac:dyDescent="0.35">
      <c r="A141" s="1" t="s">
        <v>109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8">
        <f t="shared" si="2"/>
        <v>0</v>
      </c>
    </row>
    <row r="142" spans="1:32" x14ac:dyDescent="0.35">
      <c r="A142" s="1" t="s">
        <v>189</v>
      </c>
      <c r="B142" s="1">
        <v>28</v>
      </c>
      <c r="C142" s="1">
        <v>77</v>
      </c>
      <c r="D142" s="1">
        <v>16</v>
      </c>
      <c r="E142" s="1">
        <v>51</v>
      </c>
      <c r="F142" s="1">
        <v>26</v>
      </c>
      <c r="G142" s="1">
        <v>36</v>
      </c>
      <c r="H142" s="1">
        <v>49</v>
      </c>
      <c r="I142" s="1">
        <v>28</v>
      </c>
      <c r="J142" s="1">
        <v>50</v>
      </c>
      <c r="K142" s="1">
        <v>35</v>
      </c>
      <c r="L142" s="1">
        <v>87</v>
      </c>
      <c r="M142" s="1">
        <v>97</v>
      </c>
      <c r="N142" s="1">
        <v>37</v>
      </c>
      <c r="O142" s="1">
        <v>95</v>
      </c>
      <c r="P142" s="1">
        <v>131</v>
      </c>
      <c r="Q142" s="1">
        <v>78</v>
      </c>
      <c r="R142" s="1">
        <v>16</v>
      </c>
      <c r="S142" s="1">
        <v>18</v>
      </c>
      <c r="T142" s="1">
        <v>59</v>
      </c>
      <c r="U142" s="1">
        <v>25</v>
      </c>
      <c r="V142" s="1">
        <v>64</v>
      </c>
      <c r="W142" s="1">
        <v>35</v>
      </c>
      <c r="X142" s="1">
        <v>21</v>
      </c>
      <c r="Y142" s="1">
        <v>24</v>
      </c>
      <c r="Z142" s="1">
        <v>30</v>
      </c>
      <c r="AA142" s="1">
        <v>29</v>
      </c>
      <c r="AB142" s="1">
        <v>78</v>
      </c>
      <c r="AC142" s="1">
        <v>55</v>
      </c>
      <c r="AD142" s="1">
        <v>168</v>
      </c>
      <c r="AE142" s="1">
        <v>146</v>
      </c>
      <c r="AF142" s="18">
        <f t="shared" si="2"/>
        <v>56.3</v>
      </c>
    </row>
    <row r="143" spans="1:32" x14ac:dyDescent="0.35">
      <c r="A143" s="1" t="s">
        <v>110</v>
      </c>
      <c r="B143" s="1">
        <v>24</v>
      </c>
      <c r="C143" s="1">
        <v>20</v>
      </c>
      <c r="D143" s="1">
        <v>16</v>
      </c>
      <c r="E143" s="1">
        <v>56</v>
      </c>
      <c r="F143" s="1">
        <v>21</v>
      </c>
      <c r="G143" s="1">
        <v>41</v>
      </c>
      <c r="H143" s="1">
        <v>34</v>
      </c>
      <c r="I143" s="1">
        <v>22</v>
      </c>
      <c r="J143" s="1">
        <v>28</v>
      </c>
      <c r="K143" s="1">
        <v>86</v>
      </c>
      <c r="L143" s="1">
        <v>14</v>
      </c>
      <c r="M143" s="1">
        <v>54</v>
      </c>
      <c r="N143" s="1">
        <v>60</v>
      </c>
      <c r="O143" s="1">
        <v>25</v>
      </c>
      <c r="P143" s="1">
        <v>14</v>
      </c>
      <c r="Q143" s="1">
        <v>93</v>
      </c>
      <c r="R143" s="1">
        <v>83</v>
      </c>
      <c r="S143" s="1">
        <v>34</v>
      </c>
      <c r="T143" s="1">
        <v>12</v>
      </c>
      <c r="U143" s="1">
        <v>22</v>
      </c>
      <c r="V143" s="1">
        <v>19</v>
      </c>
      <c r="W143" s="1">
        <v>280</v>
      </c>
      <c r="X143" s="1">
        <v>34</v>
      </c>
      <c r="Y143" s="1">
        <v>57</v>
      </c>
      <c r="Z143" s="1">
        <v>36</v>
      </c>
      <c r="AA143" s="1">
        <v>58</v>
      </c>
      <c r="AB143" s="1">
        <v>17</v>
      </c>
      <c r="AC143" s="1">
        <v>65</v>
      </c>
      <c r="AD143" s="1">
        <v>22</v>
      </c>
      <c r="AE143" s="1">
        <v>64</v>
      </c>
      <c r="AF143" s="18">
        <f t="shared" si="2"/>
        <v>47.033333333333331</v>
      </c>
    </row>
    <row r="144" spans="1:32" x14ac:dyDescent="0.35">
      <c r="A144" s="1" t="s">
        <v>111</v>
      </c>
      <c r="B144" s="1">
        <v>13</v>
      </c>
      <c r="C144" s="1">
        <v>12</v>
      </c>
      <c r="D144" s="1">
        <v>39</v>
      </c>
      <c r="E144" s="1">
        <v>19</v>
      </c>
      <c r="F144" s="1">
        <v>37</v>
      </c>
      <c r="G144" s="1">
        <v>157</v>
      </c>
      <c r="H144" s="1">
        <v>15</v>
      </c>
      <c r="I144" s="1">
        <v>34</v>
      </c>
      <c r="J144" s="1">
        <v>149</v>
      </c>
      <c r="K144" s="1">
        <v>41</v>
      </c>
      <c r="L144" s="1">
        <v>15</v>
      </c>
      <c r="M144" s="1">
        <v>59</v>
      </c>
      <c r="N144" s="1">
        <v>15</v>
      </c>
      <c r="O144" s="1">
        <v>63</v>
      </c>
      <c r="P144" s="1">
        <v>107</v>
      </c>
      <c r="Q144" s="1">
        <v>71</v>
      </c>
      <c r="R144" s="1">
        <v>14</v>
      </c>
      <c r="S144" s="1">
        <v>32</v>
      </c>
      <c r="T144" s="1">
        <v>104</v>
      </c>
      <c r="U144" s="1">
        <v>69</v>
      </c>
      <c r="V144" s="1">
        <v>29</v>
      </c>
      <c r="W144" s="1">
        <v>62</v>
      </c>
      <c r="X144" s="1">
        <v>84</v>
      </c>
      <c r="Y144" s="1">
        <v>154</v>
      </c>
      <c r="Z144" s="1">
        <v>39</v>
      </c>
      <c r="AA144" s="1">
        <v>47</v>
      </c>
      <c r="AB144" s="1">
        <v>34</v>
      </c>
      <c r="AC144" s="1">
        <v>57</v>
      </c>
      <c r="AD144" s="1">
        <v>200</v>
      </c>
      <c r="AE144" s="1">
        <v>15</v>
      </c>
      <c r="AF144" s="18">
        <f t="shared" si="2"/>
        <v>59.533333333333331</v>
      </c>
    </row>
    <row r="145" spans="1:32" x14ac:dyDescent="0.35">
      <c r="A145" s="1" t="s">
        <v>112</v>
      </c>
      <c r="B145" s="1">
        <v>59</v>
      </c>
      <c r="C145" s="1">
        <v>36</v>
      </c>
      <c r="D145" s="1">
        <v>74</v>
      </c>
      <c r="E145" s="1">
        <v>65</v>
      </c>
      <c r="F145" s="1">
        <v>49</v>
      </c>
      <c r="G145" s="1">
        <v>20</v>
      </c>
      <c r="H145" s="1">
        <v>47</v>
      </c>
      <c r="I145" s="1">
        <v>44</v>
      </c>
      <c r="J145" s="1">
        <v>55</v>
      </c>
      <c r="K145" s="1">
        <v>79</v>
      </c>
      <c r="L145" s="1">
        <v>79</v>
      </c>
      <c r="M145" s="1">
        <v>77</v>
      </c>
      <c r="N145" s="1">
        <v>35</v>
      </c>
      <c r="O145" s="1">
        <v>58</v>
      </c>
      <c r="P145" s="1">
        <v>14</v>
      </c>
      <c r="Q145" s="1">
        <v>28</v>
      </c>
      <c r="R145" s="1">
        <v>21</v>
      </c>
      <c r="S145" s="1">
        <v>92</v>
      </c>
      <c r="T145" s="1">
        <v>53</v>
      </c>
      <c r="U145" s="1">
        <v>69</v>
      </c>
      <c r="V145" s="1">
        <v>171</v>
      </c>
      <c r="W145" s="1">
        <v>24</v>
      </c>
      <c r="X145" s="1">
        <v>16</v>
      </c>
      <c r="Y145" s="1">
        <v>18</v>
      </c>
      <c r="Z145" s="1">
        <v>23</v>
      </c>
      <c r="AA145" s="1">
        <v>71</v>
      </c>
      <c r="AB145" s="1">
        <v>80</v>
      </c>
      <c r="AC145" s="1">
        <v>45</v>
      </c>
      <c r="AD145" s="1">
        <v>21</v>
      </c>
      <c r="AE145" s="1">
        <v>90</v>
      </c>
      <c r="AF145" s="18">
        <f t="shared" si="2"/>
        <v>53.766666666666666</v>
      </c>
    </row>
    <row r="146" spans="1:32" x14ac:dyDescent="0.35">
      <c r="A146" s="1" t="s">
        <v>113</v>
      </c>
      <c r="B146" s="1">
        <v>169</v>
      </c>
      <c r="C146" s="1">
        <v>53</v>
      </c>
      <c r="D146" s="1">
        <v>101</v>
      </c>
      <c r="E146" s="1">
        <v>104</v>
      </c>
      <c r="F146" s="1">
        <v>94</v>
      </c>
      <c r="G146" s="1">
        <v>96</v>
      </c>
      <c r="H146" s="1">
        <v>118</v>
      </c>
      <c r="I146" s="1">
        <v>105</v>
      </c>
      <c r="J146" s="1">
        <v>37</v>
      </c>
      <c r="K146" s="1">
        <v>12</v>
      </c>
      <c r="L146" s="1">
        <v>138</v>
      </c>
      <c r="M146" s="1">
        <v>31</v>
      </c>
      <c r="N146" s="1">
        <v>55</v>
      </c>
      <c r="O146" s="1">
        <v>64</v>
      </c>
      <c r="P146" s="1">
        <v>25</v>
      </c>
      <c r="Q146" s="1">
        <v>55</v>
      </c>
      <c r="R146" s="1">
        <v>67</v>
      </c>
      <c r="S146" s="1">
        <v>141</v>
      </c>
      <c r="T146" s="1">
        <v>68</v>
      </c>
      <c r="U146" s="1">
        <v>115</v>
      </c>
      <c r="V146" s="1">
        <v>83</v>
      </c>
      <c r="W146" s="1">
        <v>213</v>
      </c>
      <c r="X146" s="1">
        <v>43</v>
      </c>
      <c r="Y146" s="1">
        <v>146</v>
      </c>
      <c r="Z146" s="1">
        <v>74</v>
      </c>
      <c r="AA146" s="1">
        <v>66</v>
      </c>
      <c r="AB146" s="1">
        <v>93</v>
      </c>
      <c r="AC146" s="1">
        <v>19</v>
      </c>
      <c r="AD146" s="1">
        <v>43</v>
      </c>
      <c r="AE146" s="1">
        <v>107</v>
      </c>
      <c r="AF146" s="18">
        <f t="shared" si="2"/>
        <v>84.5</v>
      </c>
    </row>
    <row r="147" spans="1:32" x14ac:dyDescent="0.35">
      <c r="A147" s="1" t="s">
        <v>114</v>
      </c>
      <c r="B147" s="1">
        <v>62</v>
      </c>
      <c r="C147" s="1">
        <v>44</v>
      </c>
      <c r="D147" s="1">
        <v>42</v>
      </c>
      <c r="E147" s="1">
        <v>21</v>
      </c>
      <c r="F147" s="1">
        <v>62</v>
      </c>
      <c r="G147" s="1">
        <v>43</v>
      </c>
      <c r="H147" s="1">
        <v>22</v>
      </c>
      <c r="I147" s="1">
        <v>30</v>
      </c>
      <c r="J147" s="1">
        <v>25</v>
      </c>
      <c r="K147" s="1">
        <v>16</v>
      </c>
      <c r="L147" s="1">
        <v>91</v>
      </c>
      <c r="M147" s="1">
        <v>56</v>
      </c>
      <c r="N147" s="1">
        <v>78</v>
      </c>
      <c r="O147" s="1">
        <v>44</v>
      </c>
      <c r="P147" s="1">
        <v>134</v>
      </c>
      <c r="Q147" s="1">
        <v>32</v>
      </c>
      <c r="R147" s="1">
        <v>78</v>
      </c>
      <c r="S147" s="1">
        <v>48</v>
      </c>
      <c r="T147" s="1">
        <v>28</v>
      </c>
      <c r="U147" s="1">
        <v>67</v>
      </c>
      <c r="V147" s="1">
        <v>54</v>
      </c>
      <c r="W147" s="1">
        <v>74</v>
      </c>
      <c r="X147" s="1">
        <v>17</v>
      </c>
      <c r="Y147" s="1">
        <v>49</v>
      </c>
      <c r="Z147" s="1">
        <v>33</v>
      </c>
      <c r="AA147" s="1">
        <v>56</v>
      </c>
      <c r="AB147" s="1">
        <v>98</v>
      </c>
      <c r="AC147" s="1">
        <v>26</v>
      </c>
      <c r="AD147" s="1">
        <v>72</v>
      </c>
      <c r="AE147" s="1">
        <v>57</v>
      </c>
      <c r="AF147" s="18">
        <f t="shared" si="2"/>
        <v>51.966666666666669</v>
      </c>
    </row>
    <row r="148" spans="1:32" x14ac:dyDescent="0.35">
      <c r="A148" s="1" t="s">
        <v>115</v>
      </c>
      <c r="B148" s="1">
        <v>135</v>
      </c>
      <c r="C148" s="1">
        <v>19</v>
      </c>
      <c r="D148" s="1">
        <v>29</v>
      </c>
      <c r="E148" s="1">
        <v>20</v>
      </c>
      <c r="F148" s="1">
        <v>26</v>
      </c>
      <c r="G148" s="1">
        <v>74</v>
      </c>
      <c r="H148" s="1">
        <v>33</v>
      </c>
      <c r="I148" s="1">
        <v>133</v>
      </c>
      <c r="J148" s="1">
        <v>76</v>
      </c>
      <c r="K148" s="1">
        <v>99</v>
      </c>
      <c r="L148" s="1">
        <v>31</v>
      </c>
      <c r="M148" s="1">
        <v>32</v>
      </c>
      <c r="N148" s="1">
        <v>19</v>
      </c>
      <c r="O148" s="1">
        <v>94</v>
      </c>
      <c r="P148" s="1">
        <v>33</v>
      </c>
      <c r="Q148" s="1">
        <v>48</v>
      </c>
      <c r="R148" s="1">
        <v>115</v>
      </c>
      <c r="S148" s="1">
        <v>42</v>
      </c>
      <c r="T148" s="1">
        <v>21</v>
      </c>
      <c r="U148" s="1">
        <v>62</v>
      </c>
      <c r="V148" s="1">
        <v>21</v>
      </c>
      <c r="W148" s="1">
        <v>27</v>
      </c>
      <c r="X148" s="1">
        <v>129</v>
      </c>
      <c r="Y148" s="1">
        <v>32</v>
      </c>
      <c r="Z148" s="1">
        <v>89</v>
      </c>
      <c r="AA148" s="1">
        <v>103</v>
      </c>
      <c r="AB148" s="1">
        <v>41</v>
      </c>
      <c r="AC148" s="1">
        <v>45</v>
      </c>
      <c r="AD148" s="1">
        <v>27</v>
      </c>
      <c r="AE148" s="1">
        <v>156</v>
      </c>
      <c r="AF148" s="18">
        <f t="shared" si="2"/>
        <v>60.366666666666667</v>
      </c>
    </row>
    <row r="149" spans="1:32" x14ac:dyDescent="0.35">
      <c r="A149" s="1" t="s">
        <v>190</v>
      </c>
      <c r="B149" s="1">
        <v>53</v>
      </c>
      <c r="C149" s="1">
        <v>20</v>
      </c>
      <c r="D149" s="1">
        <v>262</v>
      </c>
      <c r="E149" s="1">
        <v>49</v>
      </c>
      <c r="F149" s="1">
        <v>91</v>
      </c>
      <c r="G149" s="1">
        <v>32</v>
      </c>
      <c r="H149" s="1">
        <v>14</v>
      </c>
      <c r="I149" s="1">
        <v>67</v>
      </c>
      <c r="J149" s="1">
        <v>58</v>
      </c>
      <c r="K149" s="1">
        <v>32</v>
      </c>
      <c r="L149" s="1">
        <v>140</v>
      </c>
      <c r="M149" s="1">
        <v>17</v>
      </c>
      <c r="N149" s="1">
        <v>40</v>
      </c>
      <c r="O149" s="1">
        <v>14</v>
      </c>
      <c r="P149" s="1">
        <v>32</v>
      </c>
      <c r="Q149" s="1">
        <v>39</v>
      </c>
      <c r="R149" s="1">
        <v>14</v>
      </c>
      <c r="S149" s="1">
        <v>104</v>
      </c>
      <c r="T149" s="1">
        <v>161</v>
      </c>
      <c r="U149" s="1">
        <v>13</v>
      </c>
      <c r="V149" s="1">
        <v>13</v>
      </c>
      <c r="W149" s="1">
        <v>23</v>
      </c>
      <c r="X149" s="1">
        <v>16</v>
      </c>
      <c r="Y149" s="1">
        <v>24</v>
      </c>
      <c r="Z149" s="1">
        <v>116</v>
      </c>
      <c r="AA149" s="1">
        <v>96</v>
      </c>
      <c r="AB149" s="1">
        <v>144</v>
      </c>
      <c r="AC149" s="1">
        <v>50</v>
      </c>
      <c r="AD149" s="1">
        <v>15</v>
      </c>
      <c r="AE149" s="1">
        <v>34</v>
      </c>
      <c r="AF149" s="18">
        <f t="shared" si="2"/>
        <v>59.43333333333333</v>
      </c>
    </row>
    <row r="150" spans="1:32" x14ac:dyDescent="0.35">
      <c r="A150" s="1" t="s">
        <v>116</v>
      </c>
      <c r="B150" s="1">
        <v>18</v>
      </c>
      <c r="C150" s="1">
        <v>34</v>
      </c>
      <c r="D150" s="1">
        <v>41</v>
      </c>
      <c r="E150" s="1">
        <v>40</v>
      </c>
      <c r="F150" s="1">
        <v>51</v>
      </c>
      <c r="G150" s="1">
        <v>46</v>
      </c>
      <c r="H150" s="1">
        <v>21</v>
      </c>
      <c r="I150" s="1">
        <v>59</v>
      </c>
      <c r="J150" s="1">
        <v>18</v>
      </c>
      <c r="K150" s="1">
        <v>18</v>
      </c>
      <c r="L150" s="1">
        <v>23</v>
      </c>
      <c r="M150" s="1">
        <v>72</v>
      </c>
      <c r="N150" s="1">
        <v>46</v>
      </c>
      <c r="O150" s="1">
        <v>21</v>
      </c>
      <c r="P150" s="1">
        <v>13</v>
      </c>
      <c r="Q150" s="1">
        <v>61</v>
      </c>
      <c r="R150" s="1">
        <v>60</v>
      </c>
      <c r="S150" s="1">
        <v>130</v>
      </c>
      <c r="T150" s="1">
        <v>108</v>
      </c>
      <c r="U150" s="1">
        <v>12</v>
      </c>
      <c r="V150" s="1">
        <v>14</v>
      </c>
      <c r="W150" s="1">
        <v>21</v>
      </c>
      <c r="X150" s="1">
        <v>14</v>
      </c>
      <c r="Y150" s="1">
        <v>18</v>
      </c>
      <c r="Z150" s="1">
        <v>16</v>
      </c>
      <c r="AA150" s="1">
        <v>39</v>
      </c>
      <c r="AB150" s="1">
        <v>56</v>
      </c>
      <c r="AC150" s="1">
        <v>24</v>
      </c>
      <c r="AD150" s="1">
        <v>20</v>
      </c>
      <c r="AE150" s="1">
        <v>21</v>
      </c>
      <c r="AF150" s="18">
        <f t="shared" si="2"/>
        <v>37.833333333333336</v>
      </c>
    </row>
    <row r="151" spans="1:32" x14ac:dyDescent="0.35">
      <c r="A151" s="1" t="s">
        <v>197</v>
      </c>
      <c r="B151" s="1">
        <v>27</v>
      </c>
      <c r="C151" s="1">
        <v>52</v>
      </c>
      <c r="D151" s="1">
        <v>74</v>
      </c>
      <c r="E151" s="1">
        <v>15</v>
      </c>
      <c r="F151" s="1">
        <v>76</v>
      </c>
      <c r="G151" s="1">
        <v>61</v>
      </c>
      <c r="H151" s="1">
        <v>36</v>
      </c>
      <c r="I151" s="1">
        <v>40</v>
      </c>
      <c r="J151" s="1">
        <v>25</v>
      </c>
      <c r="K151" s="1">
        <v>22</v>
      </c>
      <c r="L151" s="1">
        <v>79</v>
      </c>
      <c r="M151" s="1">
        <v>30</v>
      </c>
      <c r="N151" s="1">
        <v>12</v>
      </c>
      <c r="O151" s="1">
        <v>35</v>
      </c>
      <c r="P151" s="1">
        <v>12</v>
      </c>
      <c r="Q151" s="1">
        <v>19</v>
      </c>
      <c r="R151" s="1">
        <v>23</v>
      </c>
      <c r="S151" s="1">
        <v>19</v>
      </c>
      <c r="T151" s="1">
        <v>24</v>
      </c>
      <c r="U151" s="1">
        <v>90</v>
      </c>
      <c r="V151" s="1">
        <v>88</v>
      </c>
      <c r="W151" s="1">
        <v>36</v>
      </c>
      <c r="X151" s="1">
        <v>60</v>
      </c>
      <c r="Y151" s="1">
        <v>57</v>
      </c>
      <c r="Z151" s="1">
        <v>96</v>
      </c>
      <c r="AA151" s="1">
        <v>34</v>
      </c>
      <c r="AB151" s="1">
        <v>122</v>
      </c>
      <c r="AC151" s="1">
        <v>30</v>
      </c>
      <c r="AD151" s="1">
        <v>51</v>
      </c>
      <c r="AE151" s="1">
        <v>83</v>
      </c>
      <c r="AF151" s="18">
        <f t="shared" si="2"/>
        <v>47.6</v>
      </c>
    </row>
    <row r="152" spans="1:32" x14ac:dyDescent="0.35">
      <c r="A152" s="1" t="s">
        <v>117</v>
      </c>
      <c r="B152" s="1">
        <v>15</v>
      </c>
      <c r="C152" s="1">
        <v>49</v>
      </c>
      <c r="D152" s="1">
        <v>29</v>
      </c>
      <c r="E152" s="1">
        <v>30</v>
      </c>
      <c r="F152" s="1">
        <v>17</v>
      </c>
      <c r="G152" s="1">
        <v>105</v>
      </c>
      <c r="H152" s="1">
        <v>41</v>
      </c>
      <c r="I152" s="1">
        <v>106</v>
      </c>
      <c r="J152" s="1">
        <v>40</v>
      </c>
      <c r="K152" s="1">
        <v>75</v>
      </c>
      <c r="L152" s="1">
        <v>185</v>
      </c>
      <c r="M152" s="1">
        <v>126</v>
      </c>
      <c r="N152" s="1">
        <v>117</v>
      </c>
      <c r="O152" s="1">
        <v>25</v>
      </c>
      <c r="P152" s="1">
        <v>139</v>
      </c>
      <c r="Q152" s="1">
        <v>27</v>
      </c>
      <c r="R152" s="1">
        <v>120</v>
      </c>
      <c r="S152" s="1">
        <v>15</v>
      </c>
      <c r="T152" s="1">
        <v>162</v>
      </c>
      <c r="U152" s="1">
        <v>39</v>
      </c>
      <c r="V152" s="1">
        <v>71</v>
      </c>
      <c r="W152" s="1">
        <v>17</v>
      </c>
      <c r="X152" s="1">
        <v>17</v>
      </c>
      <c r="Y152" s="1">
        <v>14</v>
      </c>
      <c r="Z152" s="1">
        <v>93</v>
      </c>
      <c r="AA152" s="1">
        <v>23</v>
      </c>
      <c r="AB152" s="1">
        <v>60</v>
      </c>
      <c r="AC152" s="1">
        <v>53</v>
      </c>
      <c r="AD152" s="1">
        <v>28</v>
      </c>
      <c r="AE152" s="1">
        <v>166</v>
      </c>
      <c r="AF152" s="18">
        <f t="shared" si="2"/>
        <v>66.8</v>
      </c>
    </row>
    <row r="153" spans="1:32" x14ac:dyDescent="0.35">
      <c r="A153" s="1" t="s">
        <v>198</v>
      </c>
      <c r="B153" s="1">
        <v>26</v>
      </c>
      <c r="C153" s="1">
        <v>33</v>
      </c>
      <c r="D153" s="1">
        <v>67</v>
      </c>
      <c r="E153" s="1">
        <v>38</v>
      </c>
      <c r="F153" s="1">
        <v>66</v>
      </c>
      <c r="G153" s="1">
        <v>120</v>
      </c>
      <c r="H153" s="1">
        <v>64</v>
      </c>
      <c r="I153" s="1">
        <v>87</v>
      </c>
      <c r="J153" s="1">
        <v>315</v>
      </c>
      <c r="K153" s="1">
        <v>27</v>
      </c>
      <c r="L153" s="1">
        <v>22</v>
      </c>
      <c r="M153" s="1">
        <v>153</v>
      </c>
      <c r="N153" s="1">
        <v>57</v>
      </c>
      <c r="O153" s="1">
        <v>29</v>
      </c>
      <c r="P153" s="1">
        <v>20</v>
      </c>
      <c r="Q153" s="1">
        <v>31</v>
      </c>
      <c r="R153" s="1">
        <v>14</v>
      </c>
      <c r="S153" s="1">
        <v>15</v>
      </c>
      <c r="T153" s="1">
        <v>26</v>
      </c>
      <c r="U153" s="1">
        <v>75</v>
      </c>
      <c r="V153" s="1">
        <v>35</v>
      </c>
      <c r="W153" s="1">
        <v>111</v>
      </c>
      <c r="X153" s="1">
        <v>32</v>
      </c>
      <c r="Y153" s="1">
        <v>29</v>
      </c>
      <c r="Z153" s="1">
        <v>50</v>
      </c>
      <c r="AA153" s="1">
        <v>29</v>
      </c>
      <c r="AB153" s="1">
        <v>72</v>
      </c>
      <c r="AC153" s="1">
        <v>15</v>
      </c>
      <c r="AD153" s="1">
        <v>40</v>
      </c>
      <c r="AE153" s="1">
        <v>64</v>
      </c>
      <c r="AF153" s="18">
        <f t="shared" si="2"/>
        <v>58.733333333333334</v>
      </c>
    </row>
    <row r="154" spans="1:32" x14ac:dyDescent="0.35">
      <c r="A154" s="1" t="s">
        <v>118</v>
      </c>
      <c r="B154" s="1">
        <v>29</v>
      </c>
      <c r="C154" s="1">
        <v>23</v>
      </c>
      <c r="D154" s="1">
        <v>49</v>
      </c>
      <c r="E154" s="1">
        <v>32</v>
      </c>
      <c r="F154" s="1">
        <v>18</v>
      </c>
      <c r="G154" s="1">
        <v>12</v>
      </c>
      <c r="H154" s="1">
        <v>49</v>
      </c>
      <c r="I154" s="1">
        <v>19</v>
      </c>
      <c r="J154" s="1">
        <v>51</v>
      </c>
      <c r="K154" s="1">
        <v>47</v>
      </c>
      <c r="L154" s="1">
        <v>43</v>
      </c>
      <c r="M154" s="1">
        <v>47</v>
      </c>
      <c r="N154" s="1">
        <v>31</v>
      </c>
      <c r="O154" s="1">
        <v>14</v>
      </c>
      <c r="P154" s="1">
        <v>19</v>
      </c>
      <c r="Q154" s="1">
        <v>67</v>
      </c>
      <c r="R154" s="1">
        <v>23</v>
      </c>
      <c r="S154" s="1">
        <v>46</v>
      </c>
      <c r="T154" s="1">
        <v>64</v>
      </c>
      <c r="U154" s="1">
        <v>67</v>
      </c>
      <c r="V154" s="1">
        <v>78</v>
      </c>
      <c r="W154" s="1">
        <v>68</v>
      </c>
      <c r="X154" s="1">
        <v>48</v>
      </c>
      <c r="Y154" s="1">
        <v>13</v>
      </c>
      <c r="Z154" s="1">
        <v>44</v>
      </c>
      <c r="AA154" s="1">
        <v>17</v>
      </c>
      <c r="AB154" s="1">
        <v>31</v>
      </c>
      <c r="AC154" s="1">
        <v>34</v>
      </c>
      <c r="AD154" s="1">
        <v>30</v>
      </c>
      <c r="AE154" s="1">
        <v>48</v>
      </c>
      <c r="AF154" s="18">
        <f t="shared" si="2"/>
        <v>38.700000000000003</v>
      </c>
    </row>
    <row r="155" spans="1:32" x14ac:dyDescent="0.35">
      <c r="A155" s="1" t="s">
        <v>119</v>
      </c>
      <c r="B155" s="1">
        <v>53</v>
      </c>
      <c r="C155" s="1">
        <v>85</v>
      </c>
      <c r="D155" s="1">
        <v>85</v>
      </c>
      <c r="E155" s="1">
        <v>64</v>
      </c>
      <c r="F155" s="1">
        <v>53</v>
      </c>
      <c r="G155" s="1">
        <v>12</v>
      </c>
      <c r="H155" s="1">
        <v>19</v>
      </c>
      <c r="I155" s="1">
        <v>56</v>
      </c>
      <c r="J155" s="1">
        <v>55</v>
      </c>
      <c r="K155" s="1">
        <v>24</v>
      </c>
      <c r="L155" s="1">
        <v>87</v>
      </c>
      <c r="M155" s="1">
        <v>65</v>
      </c>
      <c r="N155" s="1">
        <v>65</v>
      </c>
      <c r="O155" s="1">
        <v>33</v>
      </c>
      <c r="P155" s="1">
        <v>14</v>
      </c>
      <c r="Q155" s="1">
        <v>33</v>
      </c>
      <c r="R155" s="1">
        <v>18</v>
      </c>
      <c r="S155" s="1">
        <v>34</v>
      </c>
      <c r="T155" s="1">
        <v>30</v>
      </c>
      <c r="U155" s="1">
        <v>59</v>
      </c>
      <c r="V155" s="1">
        <v>63</v>
      </c>
      <c r="W155" s="1">
        <v>61</v>
      </c>
      <c r="X155" s="1">
        <v>21</v>
      </c>
      <c r="Y155" s="1">
        <v>47</v>
      </c>
      <c r="Z155" s="1">
        <v>102</v>
      </c>
      <c r="AA155" s="1">
        <v>26</v>
      </c>
      <c r="AB155" s="1">
        <v>101</v>
      </c>
      <c r="AC155" s="1">
        <v>18</v>
      </c>
      <c r="AD155" s="1">
        <v>50</v>
      </c>
      <c r="AE155" s="1">
        <v>30</v>
      </c>
      <c r="AF155" s="18">
        <f t="shared" si="2"/>
        <v>48.766666666666666</v>
      </c>
    </row>
    <row r="156" spans="1:32" x14ac:dyDescent="0.35">
      <c r="A156" s="1" t="s">
        <v>191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8">
        <f t="shared" si="2"/>
        <v>0</v>
      </c>
    </row>
    <row r="157" spans="1:32" x14ac:dyDescent="0.35">
      <c r="A157" s="1" t="s">
        <v>120</v>
      </c>
      <c r="B157" s="1">
        <v>21</v>
      </c>
      <c r="C157" s="1">
        <v>52</v>
      </c>
      <c r="D157" s="1">
        <v>24</v>
      </c>
      <c r="E157" s="1">
        <v>62</v>
      </c>
      <c r="F157" s="1">
        <v>301</v>
      </c>
      <c r="G157" s="1">
        <v>71</v>
      </c>
      <c r="H157" s="1">
        <v>94</v>
      </c>
      <c r="I157" s="1">
        <v>73</v>
      </c>
      <c r="J157" s="1">
        <v>53</v>
      </c>
      <c r="K157" s="1">
        <v>45</v>
      </c>
      <c r="L157" s="1">
        <v>49</v>
      </c>
      <c r="M157" s="1">
        <v>54</v>
      </c>
      <c r="N157" s="1">
        <v>57</v>
      </c>
      <c r="O157" s="1">
        <v>35</v>
      </c>
      <c r="P157" s="1">
        <v>77</v>
      </c>
      <c r="Q157" s="1">
        <v>53</v>
      </c>
      <c r="R157" s="1">
        <v>28</v>
      </c>
      <c r="S157" s="1">
        <v>14</v>
      </c>
      <c r="T157" s="1">
        <v>41</v>
      </c>
      <c r="U157" s="1">
        <v>49</v>
      </c>
      <c r="V157" s="1">
        <v>42</v>
      </c>
      <c r="W157" s="1">
        <v>73</v>
      </c>
      <c r="X157" s="1">
        <v>24</v>
      </c>
      <c r="Y157" s="1">
        <v>71</v>
      </c>
      <c r="Z157" s="1">
        <v>26</v>
      </c>
      <c r="AA157" s="1">
        <v>13</v>
      </c>
      <c r="AB157" s="1">
        <v>43</v>
      </c>
      <c r="AC157" s="1">
        <v>189</v>
      </c>
      <c r="AD157" s="1">
        <v>28</v>
      </c>
      <c r="AE157" s="1">
        <v>110</v>
      </c>
      <c r="AF157" s="18">
        <f t="shared" si="2"/>
        <v>62.4</v>
      </c>
    </row>
    <row r="158" spans="1:32" x14ac:dyDescent="0.35">
      <c r="A158" s="1" t="s">
        <v>121</v>
      </c>
      <c r="B158" s="1">
        <v>56</v>
      </c>
      <c r="C158" s="1">
        <v>159</v>
      </c>
      <c r="D158" s="1">
        <v>51</v>
      </c>
      <c r="E158" s="1">
        <v>90</v>
      </c>
      <c r="F158" s="1">
        <v>20</v>
      </c>
      <c r="G158" s="1">
        <v>68</v>
      </c>
      <c r="H158" s="1">
        <v>62</v>
      </c>
      <c r="I158" s="1">
        <v>23</v>
      </c>
      <c r="J158" s="1">
        <v>52</v>
      </c>
      <c r="K158" s="1">
        <v>44</v>
      </c>
      <c r="L158" s="1">
        <v>85</v>
      </c>
      <c r="M158" s="1">
        <v>35</v>
      </c>
      <c r="N158" s="1">
        <v>177</v>
      </c>
      <c r="O158" s="1">
        <v>65</v>
      </c>
      <c r="P158" s="1">
        <v>91</v>
      </c>
      <c r="Q158" s="1">
        <v>34</v>
      </c>
      <c r="R158" s="1">
        <v>24</v>
      </c>
      <c r="S158" s="1">
        <v>70</v>
      </c>
      <c r="T158" s="1">
        <v>22</v>
      </c>
      <c r="U158" s="1">
        <v>15</v>
      </c>
      <c r="V158" s="1">
        <v>63</v>
      </c>
      <c r="W158" s="1">
        <v>12</v>
      </c>
      <c r="X158" s="1">
        <v>30</v>
      </c>
      <c r="Y158" s="1">
        <v>47</v>
      </c>
      <c r="Z158" s="1">
        <v>161</v>
      </c>
      <c r="AA158" s="1">
        <v>30</v>
      </c>
      <c r="AB158" s="1">
        <v>194</v>
      </c>
      <c r="AC158" s="1">
        <v>46</v>
      </c>
      <c r="AD158" s="1">
        <v>46</v>
      </c>
      <c r="AE158" s="1">
        <v>66</v>
      </c>
      <c r="AF158" s="18">
        <f t="shared" si="2"/>
        <v>64.599999999999994</v>
      </c>
    </row>
    <row r="159" spans="1:32" x14ac:dyDescent="0.35">
      <c r="A159" s="1" t="s">
        <v>141</v>
      </c>
      <c r="B159" s="1">
        <v>27</v>
      </c>
      <c r="C159" s="1">
        <v>49</v>
      </c>
      <c r="D159" s="1">
        <v>16</v>
      </c>
      <c r="E159" s="1">
        <v>31</v>
      </c>
      <c r="F159" s="1">
        <v>92</v>
      </c>
      <c r="G159" s="1">
        <v>53</v>
      </c>
      <c r="H159" s="1">
        <v>23</v>
      </c>
      <c r="I159" s="1">
        <v>88</v>
      </c>
      <c r="J159" s="1">
        <v>70</v>
      </c>
      <c r="K159" s="1">
        <v>17</v>
      </c>
      <c r="L159" s="1">
        <v>13</v>
      </c>
      <c r="M159" s="1">
        <v>36</v>
      </c>
      <c r="N159" s="1">
        <v>38</v>
      </c>
      <c r="O159" s="1">
        <v>36</v>
      </c>
      <c r="P159" s="1">
        <v>55</v>
      </c>
      <c r="Q159" s="1">
        <v>13</v>
      </c>
      <c r="R159" s="1">
        <v>13</v>
      </c>
      <c r="S159" s="1">
        <v>165</v>
      </c>
      <c r="T159" s="1">
        <v>34</v>
      </c>
      <c r="U159" s="1">
        <v>13</v>
      </c>
      <c r="V159" s="1">
        <v>28</v>
      </c>
      <c r="W159" s="1">
        <v>13</v>
      </c>
      <c r="X159" s="1">
        <v>14</v>
      </c>
      <c r="Y159" s="1">
        <v>97</v>
      </c>
      <c r="Z159" s="1">
        <v>24</v>
      </c>
      <c r="AA159" s="1">
        <v>22</v>
      </c>
      <c r="AB159" s="1">
        <v>115</v>
      </c>
      <c r="AC159" s="1">
        <v>36</v>
      </c>
      <c r="AD159" s="1">
        <v>26</v>
      </c>
      <c r="AE159" s="1">
        <v>18</v>
      </c>
      <c r="AF159" s="18">
        <f t="shared" si="2"/>
        <v>42.5</v>
      </c>
    </row>
    <row r="160" spans="1:32" x14ac:dyDescent="0.35">
      <c r="A160" s="1" t="s">
        <v>122</v>
      </c>
      <c r="B160" s="1">
        <v>108</v>
      </c>
      <c r="C160" s="1">
        <v>45</v>
      </c>
      <c r="D160" s="1">
        <v>46</v>
      </c>
      <c r="E160" s="1">
        <v>63</v>
      </c>
      <c r="F160" s="1">
        <v>98</v>
      </c>
      <c r="G160" s="1">
        <v>93</v>
      </c>
      <c r="H160" s="1">
        <v>146</v>
      </c>
      <c r="I160" s="1">
        <v>43</v>
      </c>
      <c r="J160" s="1">
        <v>41</v>
      </c>
      <c r="K160" s="1">
        <v>163</v>
      </c>
      <c r="L160" s="1">
        <v>39</v>
      </c>
      <c r="M160" s="1">
        <v>122</v>
      </c>
      <c r="N160" s="1">
        <v>43</v>
      </c>
      <c r="O160" s="1">
        <v>80</v>
      </c>
      <c r="P160" s="1">
        <v>70</v>
      </c>
      <c r="Q160" s="1">
        <v>33</v>
      </c>
      <c r="R160" s="1">
        <v>21</v>
      </c>
      <c r="S160" s="1">
        <v>38</v>
      </c>
      <c r="T160" s="1">
        <v>49</v>
      </c>
      <c r="U160" s="1">
        <v>132</v>
      </c>
      <c r="V160" s="1">
        <v>43</v>
      </c>
      <c r="W160" s="1">
        <v>75</v>
      </c>
      <c r="X160" s="1">
        <v>39</v>
      </c>
      <c r="Y160" s="1">
        <v>48</v>
      </c>
      <c r="Z160" s="1">
        <v>25</v>
      </c>
      <c r="AA160" s="1">
        <v>32</v>
      </c>
      <c r="AB160" s="1">
        <v>66</v>
      </c>
      <c r="AC160" s="1">
        <v>52</v>
      </c>
      <c r="AD160" s="1">
        <v>31</v>
      </c>
      <c r="AE160" s="1">
        <v>67</v>
      </c>
      <c r="AF160" s="18">
        <f t="shared" si="2"/>
        <v>65.033333333333331</v>
      </c>
    </row>
    <row r="161" spans="1:32" x14ac:dyDescent="0.35">
      <c r="A161" s="1" t="s">
        <v>165</v>
      </c>
      <c r="B161" s="1">
        <v>72</v>
      </c>
      <c r="C161" s="1">
        <v>47</v>
      </c>
      <c r="D161" s="1">
        <v>13</v>
      </c>
      <c r="E161" s="1">
        <v>56</v>
      </c>
      <c r="F161" s="1">
        <v>132</v>
      </c>
      <c r="G161" s="1">
        <v>44</v>
      </c>
      <c r="H161" s="1">
        <v>48</v>
      </c>
      <c r="I161" s="1">
        <v>117</v>
      </c>
      <c r="J161" s="1">
        <v>123</v>
      </c>
      <c r="K161" s="1">
        <v>74</v>
      </c>
      <c r="L161" s="1">
        <v>119</v>
      </c>
      <c r="M161" s="1">
        <v>69</v>
      </c>
      <c r="N161" s="1">
        <v>26</v>
      </c>
      <c r="O161" s="1">
        <v>159</v>
      </c>
      <c r="P161" s="1">
        <v>88</v>
      </c>
      <c r="Q161" s="1">
        <v>25</v>
      </c>
      <c r="R161" s="1">
        <v>227</v>
      </c>
      <c r="S161" s="1">
        <v>116</v>
      </c>
      <c r="T161" s="1">
        <v>139</v>
      </c>
      <c r="U161" s="1">
        <v>90</v>
      </c>
      <c r="V161" s="1">
        <v>20</v>
      </c>
      <c r="W161" s="1">
        <v>51</v>
      </c>
      <c r="X161" s="1">
        <v>64</v>
      </c>
      <c r="Y161" s="1">
        <v>30</v>
      </c>
      <c r="Z161" s="1">
        <v>51</v>
      </c>
      <c r="AA161" s="1">
        <v>40</v>
      </c>
      <c r="AB161" s="1">
        <v>75</v>
      </c>
      <c r="AC161" s="1">
        <v>17</v>
      </c>
      <c r="AD161" s="1">
        <v>61</v>
      </c>
      <c r="AE161" s="1">
        <v>46</v>
      </c>
      <c r="AF161" s="18">
        <f t="shared" si="2"/>
        <v>74.63333333333334</v>
      </c>
    </row>
    <row r="162" spans="1:32" x14ac:dyDescent="0.35">
      <c r="A162" s="1" t="s">
        <v>123</v>
      </c>
      <c r="B162" s="1">
        <v>147</v>
      </c>
      <c r="C162" s="1">
        <v>18</v>
      </c>
      <c r="D162" s="1">
        <v>43</v>
      </c>
      <c r="E162" s="1">
        <v>37</v>
      </c>
      <c r="F162" s="1">
        <v>25</v>
      </c>
      <c r="G162" s="1">
        <v>107</v>
      </c>
      <c r="H162" s="1">
        <v>16</v>
      </c>
      <c r="I162" s="1">
        <v>25</v>
      </c>
      <c r="J162" s="1">
        <v>46</v>
      </c>
      <c r="K162" s="1">
        <v>53</v>
      </c>
      <c r="L162" s="1">
        <v>32</v>
      </c>
      <c r="M162" s="1">
        <v>27</v>
      </c>
      <c r="N162" s="1">
        <v>26</v>
      </c>
      <c r="O162" s="1">
        <v>35</v>
      </c>
      <c r="P162" s="1">
        <v>25</v>
      </c>
      <c r="Q162" s="1">
        <v>26</v>
      </c>
      <c r="R162" s="1">
        <v>12</v>
      </c>
      <c r="S162" s="1">
        <v>40</v>
      </c>
      <c r="T162" s="1">
        <v>27</v>
      </c>
      <c r="U162" s="1">
        <v>14</v>
      </c>
      <c r="V162" s="1">
        <v>43</v>
      </c>
      <c r="W162" s="1">
        <v>58</v>
      </c>
      <c r="X162" s="1">
        <v>21</v>
      </c>
      <c r="Y162" s="1">
        <v>12</v>
      </c>
      <c r="Z162" s="1">
        <v>26</v>
      </c>
      <c r="AA162" s="1">
        <v>55</v>
      </c>
      <c r="AB162" s="1">
        <v>26</v>
      </c>
      <c r="AC162" s="1">
        <v>26</v>
      </c>
      <c r="AD162" s="1">
        <v>18</v>
      </c>
      <c r="AE162" s="1">
        <v>19</v>
      </c>
      <c r="AF162" s="18">
        <f t="shared" si="2"/>
        <v>36.166666666666664</v>
      </c>
    </row>
    <row r="163" spans="1:32" x14ac:dyDescent="0.35">
      <c r="A163" s="1" t="s">
        <v>124</v>
      </c>
      <c r="B163" s="1">
        <v>25</v>
      </c>
      <c r="C163" s="1">
        <v>86</v>
      </c>
      <c r="D163" s="1">
        <v>13</v>
      </c>
      <c r="E163" s="1">
        <v>79</v>
      </c>
      <c r="F163" s="1">
        <v>71</v>
      </c>
      <c r="G163" s="1">
        <v>34</v>
      </c>
      <c r="H163" s="1">
        <v>67</v>
      </c>
      <c r="I163" s="1">
        <v>37</v>
      </c>
      <c r="J163" s="1">
        <v>96</v>
      </c>
      <c r="K163" s="1">
        <v>156</v>
      </c>
      <c r="L163" s="1">
        <v>74</v>
      </c>
      <c r="M163" s="1">
        <v>72</v>
      </c>
      <c r="N163" s="1">
        <v>136</v>
      </c>
      <c r="O163" s="1">
        <v>73</v>
      </c>
      <c r="P163" s="1">
        <v>25</v>
      </c>
      <c r="Q163" s="1">
        <v>27</v>
      </c>
      <c r="R163" s="1">
        <v>50</v>
      </c>
      <c r="S163" s="1">
        <v>125</v>
      </c>
      <c r="T163" s="1">
        <v>28</v>
      </c>
      <c r="U163" s="1">
        <v>45</v>
      </c>
      <c r="V163" s="1">
        <v>62</v>
      </c>
      <c r="W163" s="1">
        <v>38</v>
      </c>
      <c r="X163" s="1">
        <v>32</v>
      </c>
      <c r="Y163" s="1">
        <v>83</v>
      </c>
      <c r="Z163" s="1">
        <v>52</v>
      </c>
      <c r="AA163" s="1">
        <v>24</v>
      </c>
      <c r="AB163" s="1">
        <v>47</v>
      </c>
      <c r="AC163" s="1">
        <v>93</v>
      </c>
      <c r="AD163" s="1">
        <v>110</v>
      </c>
      <c r="AE163" s="1">
        <v>51</v>
      </c>
      <c r="AF163" s="18">
        <f t="shared" si="2"/>
        <v>63.7</v>
      </c>
    </row>
    <row r="164" spans="1:32" x14ac:dyDescent="0.35">
      <c r="A164" s="1" t="s">
        <v>125</v>
      </c>
      <c r="B164" s="1">
        <v>58</v>
      </c>
      <c r="C164" s="1">
        <v>56</v>
      </c>
      <c r="D164" s="1">
        <v>27</v>
      </c>
      <c r="E164" s="1">
        <v>34</v>
      </c>
      <c r="F164" s="1">
        <v>13</v>
      </c>
      <c r="G164" s="1">
        <v>68</v>
      </c>
      <c r="H164" s="1">
        <v>144</v>
      </c>
      <c r="I164" s="1">
        <v>85</v>
      </c>
      <c r="J164" s="1">
        <v>46</v>
      </c>
      <c r="K164" s="1">
        <v>23</v>
      </c>
      <c r="L164" s="1">
        <v>46</v>
      </c>
      <c r="M164" s="1">
        <v>14</v>
      </c>
      <c r="N164" s="1">
        <v>35</v>
      </c>
      <c r="O164" s="1">
        <v>67</v>
      </c>
      <c r="P164" s="1">
        <v>66</v>
      </c>
      <c r="Q164" s="1">
        <v>47</v>
      </c>
      <c r="R164" s="1">
        <v>12</v>
      </c>
      <c r="S164" s="1">
        <v>45</v>
      </c>
      <c r="T164" s="1">
        <v>51</v>
      </c>
      <c r="U164" s="1">
        <v>41</v>
      </c>
      <c r="V164" s="1">
        <v>59</v>
      </c>
      <c r="W164" s="1">
        <v>19</v>
      </c>
      <c r="X164" s="1">
        <v>17</v>
      </c>
      <c r="Y164" s="1">
        <v>35</v>
      </c>
      <c r="Z164" s="1">
        <v>39</v>
      </c>
      <c r="AA164" s="1">
        <v>61</v>
      </c>
      <c r="AB164" s="1">
        <v>16</v>
      </c>
      <c r="AC164" s="1">
        <v>76</v>
      </c>
      <c r="AD164" s="1">
        <v>55</v>
      </c>
      <c r="AE164" s="1">
        <v>51</v>
      </c>
      <c r="AF164" s="18">
        <f t="shared" si="2"/>
        <v>46.866666666666667</v>
      </c>
    </row>
    <row r="165" spans="1:32" x14ac:dyDescent="0.35">
      <c r="A165" s="1" t="s">
        <v>126</v>
      </c>
      <c r="B165" s="1">
        <v>82</v>
      </c>
      <c r="C165" s="1">
        <v>20</v>
      </c>
      <c r="D165" s="1">
        <v>65</v>
      </c>
      <c r="E165" s="1">
        <v>124</v>
      </c>
      <c r="F165" s="1">
        <v>17</v>
      </c>
      <c r="G165" s="1">
        <v>217</v>
      </c>
      <c r="H165" s="1">
        <v>83</v>
      </c>
      <c r="I165" s="1">
        <v>101</v>
      </c>
      <c r="J165" s="1">
        <v>30</v>
      </c>
      <c r="K165" s="1">
        <v>50</v>
      </c>
      <c r="L165" s="1">
        <v>121</v>
      </c>
      <c r="M165" s="1">
        <v>75</v>
      </c>
      <c r="N165" s="1">
        <v>35</v>
      </c>
      <c r="O165" s="1">
        <v>32</v>
      </c>
      <c r="P165" s="1">
        <v>78</v>
      </c>
      <c r="Q165" s="1">
        <v>67</v>
      </c>
      <c r="R165" s="1">
        <v>142</v>
      </c>
      <c r="S165" s="1">
        <v>258</v>
      </c>
      <c r="T165" s="1">
        <v>27</v>
      </c>
      <c r="U165" s="1">
        <v>43</v>
      </c>
      <c r="V165" s="1">
        <v>43</v>
      </c>
      <c r="W165" s="1">
        <v>74</v>
      </c>
      <c r="X165" s="1">
        <v>257</v>
      </c>
      <c r="Y165" s="1">
        <v>75</v>
      </c>
      <c r="Z165" s="1">
        <v>100</v>
      </c>
      <c r="AA165" s="1">
        <v>41</v>
      </c>
      <c r="AB165" s="1">
        <v>21</v>
      </c>
      <c r="AC165" s="1">
        <v>39</v>
      </c>
      <c r="AD165" s="1">
        <v>20</v>
      </c>
      <c r="AE165" s="1">
        <v>13</v>
      </c>
      <c r="AF165" s="18">
        <f t="shared" si="2"/>
        <v>78.333333333333329</v>
      </c>
    </row>
    <row r="166" spans="1:32" x14ac:dyDescent="0.35">
      <c r="A166" s="1" t="s">
        <v>127</v>
      </c>
      <c r="B166" s="1">
        <v>16</v>
      </c>
      <c r="C166" s="1">
        <v>21</v>
      </c>
      <c r="D166" s="1">
        <v>13</v>
      </c>
      <c r="E166" s="1">
        <v>15</v>
      </c>
      <c r="F166" s="1">
        <v>36</v>
      </c>
      <c r="G166" s="1">
        <v>28</v>
      </c>
      <c r="H166" s="1">
        <v>60</v>
      </c>
      <c r="I166" s="1">
        <v>59</v>
      </c>
      <c r="J166" s="1">
        <v>96</v>
      </c>
      <c r="K166" s="1">
        <v>36</v>
      </c>
      <c r="L166" s="1">
        <v>17</v>
      </c>
      <c r="M166" s="1">
        <v>66</v>
      </c>
      <c r="N166" s="1">
        <v>12</v>
      </c>
      <c r="O166" s="1">
        <v>12</v>
      </c>
      <c r="P166" s="1">
        <v>33</v>
      </c>
      <c r="Q166" s="1">
        <v>20</v>
      </c>
      <c r="R166" s="1">
        <v>38</v>
      </c>
      <c r="S166" s="1">
        <v>29</v>
      </c>
      <c r="T166" s="1">
        <v>20</v>
      </c>
      <c r="U166" s="1">
        <v>35</v>
      </c>
      <c r="V166" s="1">
        <v>21</v>
      </c>
      <c r="W166" s="1">
        <v>59</v>
      </c>
      <c r="X166" s="1">
        <v>78</v>
      </c>
      <c r="Y166" s="1">
        <v>31</v>
      </c>
      <c r="Z166" s="1">
        <v>47</v>
      </c>
      <c r="AA166" s="1">
        <v>23</v>
      </c>
      <c r="AB166" s="1">
        <v>28</v>
      </c>
      <c r="AC166" s="1">
        <v>54</v>
      </c>
      <c r="AD166" s="1">
        <v>13</v>
      </c>
      <c r="AE166" s="1">
        <v>65</v>
      </c>
      <c r="AF166" s="18">
        <f t="shared" si="2"/>
        <v>36.033333333333331</v>
      </c>
    </row>
    <row r="167" spans="1:32" x14ac:dyDescent="0.35">
      <c r="A167" s="1" t="s">
        <v>128</v>
      </c>
      <c r="B167" s="1">
        <v>32</v>
      </c>
      <c r="C167" s="1">
        <v>92</v>
      </c>
      <c r="D167" s="1">
        <v>23</v>
      </c>
      <c r="E167" s="1">
        <v>50</v>
      </c>
      <c r="F167" s="1">
        <v>47</v>
      </c>
      <c r="G167" s="1">
        <v>29</v>
      </c>
      <c r="H167" s="1">
        <v>14</v>
      </c>
      <c r="I167" s="1">
        <v>25</v>
      </c>
      <c r="J167" s="1">
        <v>21</v>
      </c>
      <c r="K167" s="1">
        <v>119</v>
      </c>
      <c r="L167" s="1">
        <v>39</v>
      </c>
      <c r="M167" s="1">
        <v>67</v>
      </c>
      <c r="N167" s="1">
        <v>30</v>
      </c>
      <c r="O167" s="1">
        <v>115</v>
      </c>
      <c r="P167" s="1">
        <v>23</v>
      </c>
      <c r="Q167" s="1">
        <v>105</v>
      </c>
      <c r="R167" s="1">
        <v>34</v>
      </c>
      <c r="S167" s="1">
        <v>42</v>
      </c>
      <c r="T167" s="1">
        <v>20</v>
      </c>
      <c r="U167" s="1">
        <v>12</v>
      </c>
      <c r="V167" s="1">
        <v>64</v>
      </c>
      <c r="W167" s="1">
        <v>103</v>
      </c>
      <c r="X167" s="1">
        <v>72</v>
      </c>
      <c r="Y167" s="1">
        <v>26</v>
      </c>
      <c r="Z167" s="1">
        <v>50</v>
      </c>
      <c r="AA167" s="1">
        <v>21</v>
      </c>
      <c r="AB167" s="1">
        <v>20</v>
      </c>
      <c r="AC167" s="1">
        <v>144</v>
      </c>
      <c r="AD167" s="1">
        <v>23</v>
      </c>
      <c r="AE167" s="1">
        <v>88</v>
      </c>
      <c r="AF167" s="18">
        <f t="shared" si="2"/>
        <v>51.666666666666664</v>
      </c>
    </row>
    <row r="168" spans="1:32" x14ac:dyDescent="0.35">
      <c r="A168" s="1" t="s">
        <v>156</v>
      </c>
      <c r="B168" s="1">
        <v>97</v>
      </c>
      <c r="C168" s="1">
        <v>94</v>
      </c>
      <c r="D168" s="1">
        <v>170</v>
      </c>
      <c r="E168" s="1">
        <v>12</v>
      </c>
      <c r="F168" s="1">
        <v>13</v>
      </c>
      <c r="G168" s="1">
        <v>80</v>
      </c>
      <c r="H168" s="1">
        <v>101</v>
      </c>
      <c r="I168" s="1">
        <v>19</v>
      </c>
      <c r="J168" s="1">
        <v>25</v>
      </c>
      <c r="K168" s="1">
        <v>13</v>
      </c>
      <c r="L168" s="1">
        <v>139</v>
      </c>
      <c r="M168" s="1">
        <v>115</v>
      </c>
      <c r="N168" s="1">
        <v>18</v>
      </c>
      <c r="O168" s="1">
        <v>110</v>
      </c>
      <c r="P168" s="1">
        <v>22</v>
      </c>
      <c r="Q168" s="1">
        <v>59</v>
      </c>
      <c r="R168" s="1">
        <v>77</v>
      </c>
      <c r="S168" s="1">
        <v>117</v>
      </c>
      <c r="T168" s="1">
        <v>126</v>
      </c>
      <c r="U168" s="1">
        <v>47</v>
      </c>
      <c r="V168" s="1">
        <v>194</v>
      </c>
      <c r="W168" s="1">
        <v>18</v>
      </c>
      <c r="X168" s="1">
        <v>34</v>
      </c>
      <c r="Y168" s="1">
        <v>91</v>
      </c>
      <c r="Z168" s="1">
        <v>14</v>
      </c>
      <c r="AA168" s="1">
        <v>163</v>
      </c>
      <c r="AB168" s="1">
        <v>87</v>
      </c>
      <c r="AC168" s="1">
        <v>133</v>
      </c>
      <c r="AD168" s="1">
        <v>12</v>
      </c>
      <c r="AE168" s="1">
        <v>42</v>
      </c>
      <c r="AF168" s="18">
        <f t="shared" si="2"/>
        <v>74.733333333333334</v>
      </c>
    </row>
    <row r="169" spans="1:32" x14ac:dyDescent="0.35">
      <c r="A169" s="1" t="s">
        <v>129</v>
      </c>
      <c r="B169" s="1">
        <v>98</v>
      </c>
      <c r="C169" s="1">
        <v>65</v>
      </c>
      <c r="D169" s="1">
        <v>95</v>
      </c>
      <c r="E169" s="1">
        <v>34</v>
      </c>
      <c r="F169" s="1">
        <v>39</v>
      </c>
      <c r="G169" s="1">
        <v>37</v>
      </c>
      <c r="H169" s="1">
        <v>53</v>
      </c>
      <c r="I169" s="1">
        <v>12</v>
      </c>
      <c r="J169" s="1">
        <v>84</v>
      </c>
      <c r="K169" s="1">
        <v>30</v>
      </c>
      <c r="L169" s="1">
        <v>20</v>
      </c>
      <c r="M169" s="1">
        <v>142</v>
      </c>
      <c r="N169" s="1">
        <v>15</v>
      </c>
      <c r="O169" s="1">
        <v>39</v>
      </c>
      <c r="P169" s="1">
        <v>23</v>
      </c>
      <c r="Q169" s="1">
        <v>61</v>
      </c>
      <c r="R169" s="1">
        <v>15</v>
      </c>
      <c r="S169" s="1">
        <v>29</v>
      </c>
      <c r="T169" s="1">
        <v>16</v>
      </c>
      <c r="U169" s="1">
        <v>48</v>
      </c>
      <c r="V169" s="1">
        <v>79</v>
      </c>
      <c r="W169" s="1">
        <v>39</v>
      </c>
      <c r="X169" s="1">
        <v>109</v>
      </c>
      <c r="Y169" s="1">
        <v>78</v>
      </c>
      <c r="Z169" s="1">
        <v>120</v>
      </c>
      <c r="AA169" s="1">
        <v>158</v>
      </c>
      <c r="AB169" s="1">
        <v>72</v>
      </c>
      <c r="AC169" s="1">
        <v>12</v>
      </c>
      <c r="AD169" s="1">
        <v>70</v>
      </c>
      <c r="AE169" s="1">
        <v>194</v>
      </c>
      <c r="AF169" s="18">
        <f t="shared" si="2"/>
        <v>62.866666666666667</v>
      </c>
    </row>
    <row r="170" spans="1:32" x14ac:dyDescent="0.35">
      <c r="A170" s="1" t="s">
        <v>130</v>
      </c>
      <c r="B170" s="1">
        <v>38</v>
      </c>
      <c r="C170" s="1">
        <v>18</v>
      </c>
      <c r="D170" s="1">
        <v>21</v>
      </c>
      <c r="E170" s="1">
        <v>39</v>
      </c>
      <c r="F170" s="1">
        <v>30</v>
      </c>
      <c r="G170" s="1">
        <v>12</v>
      </c>
      <c r="H170" s="1">
        <v>15</v>
      </c>
      <c r="I170" s="1">
        <v>148</v>
      </c>
      <c r="J170" s="1">
        <v>51</v>
      </c>
      <c r="K170" s="1">
        <v>80</v>
      </c>
      <c r="L170" s="1">
        <v>23</v>
      </c>
      <c r="M170" s="1">
        <v>86</v>
      </c>
      <c r="N170" s="1">
        <v>12</v>
      </c>
      <c r="O170" s="1">
        <v>69</v>
      </c>
      <c r="P170" s="1">
        <v>15</v>
      </c>
      <c r="Q170" s="1">
        <v>36</v>
      </c>
      <c r="R170" s="1">
        <v>77</v>
      </c>
      <c r="S170" s="1">
        <v>49</v>
      </c>
      <c r="T170" s="1">
        <v>21</v>
      </c>
      <c r="U170" s="1">
        <v>19</v>
      </c>
      <c r="V170" s="1">
        <v>237</v>
      </c>
      <c r="W170" s="1">
        <v>119</v>
      </c>
      <c r="X170" s="1">
        <v>149</v>
      </c>
      <c r="Y170" s="1">
        <v>72</v>
      </c>
      <c r="Z170" s="1">
        <v>31</v>
      </c>
      <c r="AA170" s="1">
        <v>53</v>
      </c>
      <c r="AB170" s="1">
        <v>15</v>
      </c>
      <c r="AC170" s="1">
        <v>78</v>
      </c>
      <c r="AD170" s="1">
        <v>86</v>
      </c>
      <c r="AE170" s="1">
        <v>119</v>
      </c>
      <c r="AF170" s="18">
        <f t="shared" si="2"/>
        <v>60.6</v>
      </c>
    </row>
    <row r="171" spans="1:32" x14ac:dyDescent="0.35">
      <c r="A171" s="1" t="s">
        <v>192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8">
        <f t="shared" si="2"/>
        <v>0</v>
      </c>
    </row>
    <row r="172" spans="1:32" x14ac:dyDescent="0.35">
      <c r="A172" s="1" t="s">
        <v>131</v>
      </c>
      <c r="B172" s="1">
        <v>181</v>
      </c>
      <c r="C172" s="1">
        <v>121</v>
      </c>
      <c r="D172" s="1">
        <v>79</v>
      </c>
      <c r="E172" s="1">
        <v>17</v>
      </c>
      <c r="F172" s="1">
        <v>149</v>
      </c>
      <c r="G172" s="1">
        <v>12</v>
      </c>
      <c r="H172" s="1">
        <v>45</v>
      </c>
      <c r="I172" s="1">
        <v>40</v>
      </c>
      <c r="J172" s="1">
        <v>186</v>
      </c>
      <c r="K172" s="1">
        <v>60</v>
      </c>
      <c r="L172" s="1">
        <v>30</v>
      </c>
      <c r="M172" s="1">
        <v>281</v>
      </c>
      <c r="N172" s="1">
        <v>94</v>
      </c>
      <c r="O172" s="1">
        <v>127</v>
      </c>
      <c r="P172" s="1">
        <v>146</v>
      </c>
      <c r="Q172" s="1">
        <v>23</v>
      </c>
      <c r="R172" s="1">
        <v>84</v>
      </c>
      <c r="S172" s="1">
        <v>156</v>
      </c>
      <c r="T172" s="1">
        <v>157</v>
      </c>
      <c r="U172" s="1">
        <v>43</v>
      </c>
      <c r="V172" s="1">
        <v>35</v>
      </c>
      <c r="W172" s="1">
        <v>137</v>
      </c>
      <c r="X172" s="1">
        <v>13</v>
      </c>
      <c r="Y172" s="1">
        <v>53</v>
      </c>
      <c r="Z172" s="1">
        <v>20</v>
      </c>
      <c r="AA172" s="1">
        <v>52</v>
      </c>
      <c r="AB172" s="1">
        <v>148</v>
      </c>
      <c r="AC172" s="1">
        <v>204</v>
      </c>
      <c r="AD172" s="1">
        <v>14</v>
      </c>
      <c r="AE172" s="1">
        <v>151</v>
      </c>
      <c r="AF172" s="18">
        <f t="shared" si="2"/>
        <v>95.266666666666666</v>
      </c>
    </row>
    <row r="173" spans="1:32" x14ac:dyDescent="0.35">
      <c r="A173" s="1" t="s">
        <v>132</v>
      </c>
      <c r="B173" s="1">
        <v>35</v>
      </c>
      <c r="C173" s="1">
        <v>23</v>
      </c>
      <c r="D173" s="1">
        <v>27</v>
      </c>
      <c r="E173" s="1">
        <v>51</v>
      </c>
      <c r="F173" s="1">
        <v>19</v>
      </c>
      <c r="G173" s="1">
        <v>92</v>
      </c>
      <c r="H173" s="1">
        <v>93</v>
      </c>
      <c r="I173" s="1">
        <v>15</v>
      </c>
      <c r="J173" s="1">
        <v>22</v>
      </c>
      <c r="K173" s="1">
        <v>45</v>
      </c>
      <c r="L173" s="1">
        <v>27</v>
      </c>
      <c r="M173" s="1">
        <v>100</v>
      </c>
      <c r="N173" s="1">
        <v>68</v>
      </c>
      <c r="O173" s="1">
        <v>52</v>
      </c>
      <c r="P173" s="1">
        <v>31</v>
      </c>
      <c r="Q173" s="1">
        <v>32</v>
      </c>
      <c r="R173" s="1">
        <v>58</v>
      </c>
      <c r="S173" s="1">
        <v>42</v>
      </c>
      <c r="T173" s="1">
        <v>63</v>
      </c>
      <c r="U173" s="1">
        <v>81</v>
      </c>
      <c r="V173" s="1">
        <v>13</v>
      </c>
      <c r="W173" s="1">
        <v>28</v>
      </c>
      <c r="X173" s="1">
        <v>21</v>
      </c>
      <c r="Y173" s="1">
        <v>42</v>
      </c>
      <c r="Z173" s="1">
        <v>33</v>
      </c>
      <c r="AA173" s="1">
        <v>25</v>
      </c>
      <c r="AB173" s="1">
        <v>15</v>
      </c>
      <c r="AC173" s="1">
        <v>52</v>
      </c>
      <c r="AD173" s="1">
        <v>36</v>
      </c>
      <c r="AE173" s="1">
        <v>184</v>
      </c>
      <c r="AF173" s="18">
        <f t="shared" si="2"/>
        <v>47.5</v>
      </c>
    </row>
    <row r="174" spans="1:32" x14ac:dyDescent="0.35">
      <c r="A174" s="1" t="s">
        <v>133</v>
      </c>
      <c r="B174" s="1">
        <v>104</v>
      </c>
      <c r="C174" s="1">
        <v>86</v>
      </c>
      <c r="D174" s="1">
        <v>23</v>
      </c>
      <c r="E174" s="1">
        <v>21</v>
      </c>
      <c r="F174" s="1">
        <v>27</v>
      </c>
      <c r="G174" s="1">
        <v>15</v>
      </c>
      <c r="H174" s="1">
        <v>18</v>
      </c>
      <c r="I174" s="1">
        <v>84</v>
      </c>
      <c r="J174" s="1">
        <v>22</v>
      </c>
      <c r="K174" s="1">
        <v>15</v>
      </c>
      <c r="L174" s="1">
        <v>20</v>
      </c>
      <c r="M174" s="1">
        <v>34</v>
      </c>
      <c r="N174" s="1">
        <v>56</v>
      </c>
      <c r="O174" s="1">
        <v>46</v>
      </c>
      <c r="P174" s="1">
        <v>15</v>
      </c>
      <c r="Q174" s="1">
        <v>32</v>
      </c>
      <c r="R174" s="1">
        <v>42</v>
      </c>
      <c r="S174" s="1">
        <v>40</v>
      </c>
      <c r="T174" s="1">
        <v>15</v>
      </c>
      <c r="U174" s="1">
        <v>12</v>
      </c>
      <c r="V174" s="1">
        <v>199</v>
      </c>
      <c r="W174" s="1">
        <v>60</v>
      </c>
      <c r="X174" s="1">
        <v>17</v>
      </c>
      <c r="Y174" s="1">
        <v>46</v>
      </c>
      <c r="Z174" s="1">
        <v>22</v>
      </c>
      <c r="AA174" s="1">
        <v>58</v>
      </c>
      <c r="AB174" s="1">
        <v>12</v>
      </c>
      <c r="AC174" s="1">
        <v>99</v>
      </c>
      <c r="AD174" s="1">
        <v>34</v>
      </c>
      <c r="AE174" s="1">
        <v>22</v>
      </c>
      <c r="AF174" s="18">
        <f t="shared" si="2"/>
        <v>43.2</v>
      </c>
    </row>
    <row r="175" spans="1:32" x14ac:dyDescent="0.35">
      <c r="A175" s="1" t="s">
        <v>134</v>
      </c>
      <c r="B175" s="1">
        <v>19</v>
      </c>
      <c r="C175" s="1">
        <v>40</v>
      </c>
      <c r="D175" s="1">
        <v>15</v>
      </c>
      <c r="E175" s="1">
        <v>94</v>
      </c>
      <c r="F175" s="1">
        <v>24</v>
      </c>
      <c r="G175" s="1">
        <v>56</v>
      </c>
      <c r="H175" s="1">
        <v>16</v>
      </c>
      <c r="I175" s="1">
        <v>43</v>
      </c>
      <c r="J175" s="1">
        <v>87</v>
      </c>
      <c r="K175" s="1">
        <v>37</v>
      </c>
      <c r="L175" s="1">
        <v>25</v>
      </c>
      <c r="M175" s="1">
        <v>36</v>
      </c>
      <c r="N175" s="1">
        <v>40</v>
      </c>
      <c r="O175" s="1">
        <v>98</v>
      </c>
      <c r="P175" s="1">
        <v>41</v>
      </c>
      <c r="Q175" s="1">
        <v>20</v>
      </c>
      <c r="R175" s="1">
        <v>28</v>
      </c>
      <c r="S175" s="1">
        <v>39</v>
      </c>
      <c r="T175" s="1">
        <v>51</v>
      </c>
      <c r="U175" s="1">
        <v>12</v>
      </c>
      <c r="V175" s="1">
        <v>23</v>
      </c>
      <c r="W175" s="1">
        <v>34</v>
      </c>
      <c r="X175" s="1">
        <v>82</v>
      </c>
      <c r="Y175" s="1">
        <v>106</v>
      </c>
      <c r="Z175" s="1">
        <v>49</v>
      </c>
      <c r="AA175" s="1">
        <v>19</v>
      </c>
      <c r="AB175" s="1">
        <v>12</v>
      </c>
      <c r="AC175" s="1">
        <v>62</v>
      </c>
      <c r="AD175" s="1">
        <v>21</v>
      </c>
      <c r="AE175" s="1">
        <v>17</v>
      </c>
      <c r="AF175" s="18">
        <f t="shared" si="2"/>
        <v>41.533333333333331</v>
      </c>
    </row>
    <row r="176" spans="1:32" x14ac:dyDescent="0.35">
      <c r="A176" s="1" t="s">
        <v>135</v>
      </c>
      <c r="B176" s="1">
        <v>26</v>
      </c>
      <c r="C176" s="1">
        <v>41</v>
      </c>
      <c r="D176" s="1">
        <v>40</v>
      </c>
      <c r="E176" s="1">
        <v>81</v>
      </c>
      <c r="F176" s="1">
        <v>40</v>
      </c>
      <c r="G176" s="1">
        <v>102</v>
      </c>
      <c r="H176" s="1">
        <v>33</v>
      </c>
      <c r="I176" s="1">
        <v>28</v>
      </c>
      <c r="J176" s="1">
        <v>23</v>
      </c>
      <c r="K176" s="1">
        <v>43</v>
      </c>
      <c r="L176" s="1">
        <v>12</v>
      </c>
      <c r="M176" s="1">
        <v>19</v>
      </c>
      <c r="N176" s="1">
        <v>43</v>
      </c>
      <c r="O176" s="1">
        <v>56</v>
      </c>
      <c r="P176" s="1">
        <v>13</v>
      </c>
      <c r="Q176" s="1">
        <v>33</v>
      </c>
      <c r="R176" s="1">
        <v>33</v>
      </c>
      <c r="S176" s="1">
        <v>102</v>
      </c>
      <c r="T176" s="1">
        <v>53</v>
      </c>
      <c r="U176" s="1">
        <v>59</v>
      </c>
      <c r="V176" s="1">
        <v>34</v>
      </c>
      <c r="W176" s="1">
        <v>26</v>
      </c>
      <c r="X176" s="1">
        <v>25</v>
      </c>
      <c r="Y176" s="1">
        <v>77</v>
      </c>
      <c r="Z176" s="1">
        <v>55</v>
      </c>
      <c r="AA176" s="1">
        <v>23</v>
      </c>
      <c r="AB176" s="1">
        <v>46</v>
      </c>
      <c r="AC176" s="1">
        <v>40</v>
      </c>
      <c r="AD176" s="1">
        <v>84</v>
      </c>
      <c r="AE176" s="1">
        <v>18</v>
      </c>
      <c r="AF176" s="18">
        <f t="shared" si="2"/>
        <v>43.6</v>
      </c>
    </row>
    <row r="177" spans="1:32" x14ac:dyDescent="0.35">
      <c r="A177" s="1" t="s">
        <v>162</v>
      </c>
      <c r="B177" s="1">
        <v>201</v>
      </c>
      <c r="C177" s="1">
        <v>101</v>
      </c>
      <c r="D177" s="1">
        <v>25</v>
      </c>
      <c r="E177" s="1">
        <v>36</v>
      </c>
      <c r="F177" s="1">
        <v>28</v>
      </c>
      <c r="G177" s="1">
        <v>19</v>
      </c>
      <c r="H177" s="1">
        <v>106</v>
      </c>
      <c r="I177" s="1">
        <v>51</v>
      </c>
      <c r="J177" s="1">
        <v>204</v>
      </c>
      <c r="K177" s="1">
        <v>37</v>
      </c>
      <c r="L177" s="1">
        <v>14</v>
      </c>
      <c r="M177" s="1">
        <v>93</v>
      </c>
      <c r="N177" s="1">
        <v>28</v>
      </c>
      <c r="O177" s="1">
        <v>22</v>
      </c>
      <c r="P177" s="1">
        <v>98</v>
      </c>
      <c r="Q177" s="1">
        <v>69</v>
      </c>
      <c r="R177" s="1">
        <v>43</v>
      </c>
      <c r="S177" s="1">
        <v>28</v>
      </c>
      <c r="T177" s="1">
        <v>39</v>
      </c>
      <c r="U177" s="1">
        <v>53</v>
      </c>
      <c r="V177" s="1">
        <v>84</v>
      </c>
      <c r="W177" s="1">
        <v>12</v>
      </c>
      <c r="X177" s="1">
        <v>30</v>
      </c>
      <c r="Y177" s="1">
        <v>124</v>
      </c>
      <c r="Z177" s="1">
        <v>92</v>
      </c>
      <c r="AA177" s="1">
        <v>37</v>
      </c>
      <c r="AB177" s="1">
        <v>152</v>
      </c>
      <c r="AC177" s="1">
        <v>30</v>
      </c>
      <c r="AD177" s="1">
        <v>145</v>
      </c>
      <c r="AE177" s="1">
        <v>14</v>
      </c>
      <c r="AF177" s="18">
        <f t="shared" si="2"/>
        <v>67.166666666666671</v>
      </c>
    </row>
    <row r="178" spans="1:32" x14ac:dyDescent="0.35">
      <c r="A178" s="1" t="s">
        <v>136</v>
      </c>
      <c r="B178" s="1">
        <v>109</v>
      </c>
      <c r="C178" s="1">
        <v>135</v>
      </c>
      <c r="D178" s="1">
        <v>131</v>
      </c>
      <c r="E178" s="1">
        <v>20</v>
      </c>
      <c r="F178" s="1">
        <v>53</v>
      </c>
      <c r="G178" s="1">
        <v>25</v>
      </c>
      <c r="H178" s="1">
        <v>108</v>
      </c>
      <c r="I178" s="1">
        <v>55</v>
      </c>
      <c r="J178" s="1">
        <v>21</v>
      </c>
      <c r="K178" s="1">
        <v>80</v>
      </c>
      <c r="L178" s="1">
        <v>16</v>
      </c>
      <c r="M178" s="1">
        <v>28</v>
      </c>
      <c r="N178" s="1">
        <v>55</v>
      </c>
      <c r="O178" s="1">
        <v>300</v>
      </c>
      <c r="P178" s="1">
        <v>104</v>
      </c>
      <c r="Q178" s="1">
        <v>118</v>
      </c>
      <c r="R178" s="1">
        <v>23</v>
      </c>
      <c r="S178" s="1">
        <v>30</v>
      </c>
      <c r="T178" s="1">
        <v>172</v>
      </c>
      <c r="U178" s="1">
        <v>138</v>
      </c>
      <c r="V178" s="1">
        <v>101</v>
      </c>
      <c r="W178" s="1">
        <v>63</v>
      </c>
      <c r="X178" s="1">
        <v>38</v>
      </c>
      <c r="Y178" s="1">
        <v>14</v>
      </c>
      <c r="Z178" s="1">
        <v>32</v>
      </c>
      <c r="AA178" s="1">
        <v>141</v>
      </c>
      <c r="AB178" s="1">
        <v>70</v>
      </c>
      <c r="AC178" s="1">
        <v>34</v>
      </c>
      <c r="AD178" s="1">
        <v>29</v>
      </c>
      <c r="AE178" s="1">
        <v>66</v>
      </c>
      <c r="AF178" s="18">
        <f t="shared" si="2"/>
        <v>76.966666666666669</v>
      </c>
    </row>
    <row r="179" spans="1:32" x14ac:dyDescent="0.35">
      <c r="A179" s="1" t="s">
        <v>142</v>
      </c>
      <c r="B179" s="1">
        <v>157</v>
      </c>
      <c r="C179" s="1">
        <v>31</v>
      </c>
      <c r="D179" s="1">
        <v>79</v>
      </c>
      <c r="E179" s="1">
        <v>149</v>
      </c>
      <c r="F179" s="1">
        <v>16</v>
      </c>
      <c r="G179" s="1">
        <v>136</v>
      </c>
      <c r="H179" s="1">
        <v>115</v>
      </c>
      <c r="I179" s="1">
        <v>46</v>
      </c>
      <c r="J179" s="1">
        <v>12</v>
      </c>
      <c r="K179" s="1">
        <v>24</v>
      </c>
      <c r="L179" s="1">
        <v>19</v>
      </c>
      <c r="M179" s="1">
        <v>387</v>
      </c>
      <c r="N179" s="1">
        <v>47</v>
      </c>
      <c r="O179" s="1">
        <v>68</v>
      </c>
      <c r="P179" s="1">
        <v>67</v>
      </c>
      <c r="Q179" s="1">
        <v>115</v>
      </c>
      <c r="R179" s="1">
        <v>20</v>
      </c>
      <c r="S179" s="1">
        <v>60</v>
      </c>
      <c r="T179" s="1">
        <v>89</v>
      </c>
      <c r="U179" s="1">
        <v>18</v>
      </c>
      <c r="V179" s="1">
        <v>212</v>
      </c>
      <c r="W179" s="1">
        <v>68</v>
      </c>
      <c r="X179" s="1">
        <v>18</v>
      </c>
      <c r="Y179" s="1">
        <v>39</v>
      </c>
      <c r="Z179" s="1">
        <v>71</v>
      </c>
      <c r="AA179" s="1">
        <v>192</v>
      </c>
      <c r="AB179" s="1">
        <v>21</v>
      </c>
      <c r="AC179" s="1">
        <v>87</v>
      </c>
      <c r="AD179" s="1">
        <v>48</v>
      </c>
      <c r="AE179" s="1">
        <v>99</v>
      </c>
      <c r="AF179" s="18">
        <f t="shared" si="2"/>
        <v>83.666666666666671</v>
      </c>
    </row>
    <row r="180" spans="1:32" x14ac:dyDescent="0.35">
      <c r="A180" s="1" t="s">
        <v>137</v>
      </c>
      <c r="B180" s="1">
        <v>47</v>
      </c>
      <c r="C180" s="1">
        <v>31</v>
      </c>
      <c r="D180" s="1">
        <v>17</v>
      </c>
      <c r="E180" s="1">
        <v>36</v>
      </c>
      <c r="F180" s="1">
        <v>25</v>
      </c>
      <c r="G180" s="1">
        <v>96</v>
      </c>
      <c r="H180" s="1">
        <v>22</v>
      </c>
      <c r="I180" s="1">
        <v>125</v>
      </c>
      <c r="J180" s="1">
        <v>12</v>
      </c>
      <c r="K180" s="1">
        <v>16</v>
      </c>
      <c r="L180" s="1">
        <v>71</v>
      </c>
      <c r="M180" s="1">
        <v>19</v>
      </c>
      <c r="N180" s="1">
        <v>44</v>
      </c>
      <c r="O180" s="1">
        <v>21</v>
      </c>
      <c r="P180" s="1">
        <v>41</v>
      </c>
      <c r="Q180" s="1">
        <v>68</v>
      </c>
      <c r="R180" s="1">
        <v>47</v>
      </c>
      <c r="S180" s="1">
        <v>34</v>
      </c>
      <c r="T180" s="1">
        <v>79</v>
      </c>
      <c r="U180" s="1">
        <v>43</v>
      </c>
      <c r="V180" s="1">
        <v>23</v>
      </c>
      <c r="W180" s="1">
        <v>60</v>
      </c>
      <c r="X180" s="1">
        <v>51</v>
      </c>
      <c r="Y180" s="1">
        <v>74</v>
      </c>
      <c r="Z180" s="1">
        <v>15</v>
      </c>
      <c r="AA180" s="1">
        <v>18</v>
      </c>
      <c r="AB180" s="1">
        <v>16</v>
      </c>
      <c r="AC180" s="1">
        <v>37</v>
      </c>
      <c r="AD180" s="1">
        <v>20</v>
      </c>
      <c r="AE180" s="1">
        <v>14</v>
      </c>
      <c r="AF180" s="18">
        <f t="shared" si="2"/>
        <v>40.733333333333334</v>
      </c>
    </row>
    <row r="181" spans="1:32" x14ac:dyDescent="0.35">
      <c r="A181" s="1" t="s">
        <v>138</v>
      </c>
      <c r="B181" s="1">
        <v>21</v>
      </c>
      <c r="C181" s="1">
        <v>37</v>
      </c>
      <c r="D181" s="1">
        <v>24</v>
      </c>
      <c r="E181" s="1">
        <v>61</v>
      </c>
      <c r="F181" s="1">
        <v>28</v>
      </c>
      <c r="G181" s="1">
        <v>131</v>
      </c>
      <c r="H181" s="1">
        <v>65</v>
      </c>
      <c r="I181" s="1">
        <v>80</v>
      </c>
      <c r="J181" s="1">
        <v>60</v>
      </c>
      <c r="K181" s="1">
        <v>170</v>
      </c>
      <c r="L181" s="1">
        <v>33</v>
      </c>
      <c r="M181" s="1">
        <v>116</v>
      </c>
      <c r="N181" s="1">
        <v>21</v>
      </c>
      <c r="O181" s="1">
        <v>293</v>
      </c>
      <c r="P181" s="1">
        <v>131</v>
      </c>
      <c r="Q181" s="1">
        <v>68</v>
      </c>
      <c r="R181" s="1">
        <v>67</v>
      </c>
      <c r="S181" s="1">
        <v>64</v>
      </c>
      <c r="T181" s="1">
        <v>77</v>
      </c>
      <c r="U181" s="1">
        <v>23</v>
      </c>
      <c r="V181" s="1">
        <v>122</v>
      </c>
      <c r="W181" s="1">
        <v>30</v>
      </c>
      <c r="X181" s="1">
        <v>20</v>
      </c>
      <c r="Y181" s="1">
        <v>202</v>
      </c>
      <c r="Z181" s="1">
        <v>21</v>
      </c>
      <c r="AA181" s="1">
        <v>25</v>
      </c>
      <c r="AB181" s="1">
        <v>40</v>
      </c>
      <c r="AC181" s="1">
        <v>142</v>
      </c>
      <c r="AD181" s="1">
        <v>62</v>
      </c>
      <c r="AE181" s="1">
        <v>22</v>
      </c>
      <c r="AF181" s="18">
        <f t="shared" si="2"/>
        <v>75.2</v>
      </c>
    </row>
    <row r="182" spans="1:32" x14ac:dyDescent="0.35">
      <c r="A182" s="1" t="s">
        <v>139</v>
      </c>
      <c r="B182" s="1">
        <v>119</v>
      </c>
      <c r="C182" s="1">
        <v>97</v>
      </c>
      <c r="D182" s="1">
        <v>79</v>
      </c>
      <c r="E182" s="1">
        <v>45</v>
      </c>
      <c r="F182" s="1">
        <v>27</v>
      </c>
      <c r="G182" s="1">
        <v>20</v>
      </c>
      <c r="H182" s="1">
        <v>13</v>
      </c>
      <c r="I182" s="1">
        <v>85</v>
      </c>
      <c r="J182" s="1">
        <v>68</v>
      </c>
      <c r="K182" s="1">
        <v>26</v>
      </c>
      <c r="L182" s="1">
        <v>37</v>
      </c>
      <c r="M182" s="1">
        <v>52</v>
      </c>
      <c r="N182" s="1">
        <v>50</v>
      </c>
      <c r="O182" s="1">
        <v>58</v>
      </c>
      <c r="P182" s="1">
        <v>27</v>
      </c>
      <c r="Q182" s="1">
        <v>95</v>
      </c>
      <c r="R182" s="1">
        <v>206</v>
      </c>
      <c r="S182" s="1">
        <v>19</v>
      </c>
      <c r="T182" s="1">
        <v>23</v>
      </c>
      <c r="U182" s="1">
        <v>23</v>
      </c>
      <c r="V182" s="1">
        <v>18</v>
      </c>
      <c r="W182" s="1">
        <v>42</v>
      </c>
      <c r="X182" s="1">
        <v>108</v>
      </c>
      <c r="Y182" s="1">
        <v>22</v>
      </c>
      <c r="Z182" s="1">
        <v>20</v>
      </c>
      <c r="AA182" s="1">
        <v>63</v>
      </c>
      <c r="AB182" s="1">
        <v>16</v>
      </c>
      <c r="AC182" s="1">
        <v>27</v>
      </c>
      <c r="AD182" s="1">
        <v>42</v>
      </c>
      <c r="AE182" s="1">
        <v>15</v>
      </c>
      <c r="AF182" s="18">
        <f t="shared" si="2"/>
        <v>51.4</v>
      </c>
    </row>
    <row r="183" spans="1:32" x14ac:dyDescent="0.35">
      <c r="A183" s="1" t="s">
        <v>140</v>
      </c>
      <c r="B183" s="1">
        <v>44</v>
      </c>
      <c r="C183" s="1">
        <v>118</v>
      </c>
      <c r="D183" s="1">
        <v>44</v>
      </c>
      <c r="E183" s="1">
        <v>160</v>
      </c>
      <c r="F183" s="1">
        <v>87</v>
      </c>
      <c r="G183" s="1">
        <v>163</v>
      </c>
      <c r="H183" s="1">
        <v>134</v>
      </c>
      <c r="I183" s="1">
        <v>33</v>
      </c>
      <c r="J183" s="1">
        <v>141</v>
      </c>
      <c r="K183" s="1">
        <v>110</v>
      </c>
      <c r="L183" s="1">
        <v>39</v>
      </c>
      <c r="M183" s="1">
        <v>42</v>
      </c>
      <c r="N183" s="1">
        <v>16</v>
      </c>
      <c r="O183" s="1">
        <v>32</v>
      </c>
      <c r="P183" s="1">
        <v>212</v>
      </c>
      <c r="Q183" s="1">
        <v>180</v>
      </c>
      <c r="R183" s="1">
        <v>83</v>
      </c>
      <c r="S183" s="1">
        <v>24</v>
      </c>
      <c r="T183" s="1">
        <v>42</v>
      </c>
      <c r="U183" s="1">
        <v>85</v>
      </c>
      <c r="V183" s="1">
        <v>92</v>
      </c>
      <c r="W183" s="1">
        <v>72</v>
      </c>
      <c r="X183" s="1">
        <v>15</v>
      </c>
      <c r="Y183" s="1">
        <v>34</v>
      </c>
      <c r="Z183" s="1">
        <v>61</v>
      </c>
      <c r="AA183" s="1">
        <v>16</v>
      </c>
      <c r="AB183" s="1">
        <v>120</v>
      </c>
      <c r="AC183" s="1">
        <v>219</v>
      </c>
      <c r="AD183" s="1">
        <v>92</v>
      </c>
      <c r="AE183" s="1">
        <v>52</v>
      </c>
      <c r="AF183" s="18">
        <f t="shared" si="2"/>
        <v>85.4</v>
      </c>
    </row>
    <row r="184" spans="1:32" x14ac:dyDescent="0.35">
      <c r="A184" s="1" t="s">
        <v>143</v>
      </c>
      <c r="B184" s="1">
        <v>153</v>
      </c>
      <c r="C184" s="1">
        <v>23</v>
      </c>
      <c r="D184" s="1">
        <v>14</v>
      </c>
      <c r="E184" s="1">
        <v>85</v>
      </c>
      <c r="F184" s="1">
        <v>46</v>
      </c>
      <c r="G184" s="1">
        <v>13</v>
      </c>
      <c r="H184" s="1">
        <v>18</v>
      </c>
      <c r="I184" s="1">
        <v>21</v>
      </c>
      <c r="J184" s="1">
        <v>55</v>
      </c>
      <c r="K184" s="1">
        <v>22</v>
      </c>
      <c r="L184" s="1">
        <v>26</v>
      </c>
      <c r="M184" s="1">
        <v>37</v>
      </c>
      <c r="N184" s="1">
        <v>19</v>
      </c>
      <c r="O184" s="1">
        <v>21</v>
      </c>
      <c r="P184" s="1">
        <v>80</v>
      </c>
      <c r="Q184" s="1">
        <v>72</v>
      </c>
      <c r="R184" s="1">
        <v>168</v>
      </c>
      <c r="S184" s="1">
        <v>30</v>
      </c>
      <c r="T184" s="1">
        <v>37</v>
      </c>
      <c r="U184" s="1">
        <v>84</v>
      </c>
      <c r="V184" s="1">
        <v>123</v>
      </c>
      <c r="W184" s="1">
        <v>177</v>
      </c>
      <c r="X184" s="1">
        <v>27</v>
      </c>
      <c r="Y184" s="1">
        <v>54</v>
      </c>
      <c r="Z184" s="1">
        <v>43</v>
      </c>
      <c r="AA184" s="1">
        <v>35</v>
      </c>
      <c r="AB184" s="1">
        <v>26</v>
      </c>
      <c r="AC184" s="1">
        <v>40</v>
      </c>
      <c r="AD184" s="1">
        <v>61</v>
      </c>
      <c r="AE184" s="1">
        <v>62</v>
      </c>
      <c r="AF184" s="18">
        <f t="shared" si="2"/>
        <v>55.733333333333334</v>
      </c>
    </row>
    <row r="185" spans="1:32" x14ac:dyDescent="0.35">
      <c r="A185" s="1" t="s">
        <v>144</v>
      </c>
      <c r="B185" s="1">
        <v>86</v>
      </c>
      <c r="C185" s="1">
        <v>140</v>
      </c>
      <c r="D185" s="1">
        <v>88</v>
      </c>
      <c r="E185" s="1">
        <v>106</v>
      </c>
      <c r="F185" s="1">
        <v>46</v>
      </c>
      <c r="G185" s="1">
        <v>41</v>
      </c>
      <c r="H185" s="1">
        <v>85</v>
      </c>
      <c r="I185" s="1">
        <v>30</v>
      </c>
      <c r="J185" s="1">
        <v>26</v>
      </c>
      <c r="K185" s="1">
        <v>14</v>
      </c>
      <c r="L185" s="1">
        <v>24</v>
      </c>
      <c r="M185" s="1">
        <v>31</v>
      </c>
      <c r="N185" s="1">
        <v>13</v>
      </c>
      <c r="O185" s="1">
        <v>15</v>
      </c>
      <c r="P185" s="1">
        <v>34</v>
      </c>
      <c r="Q185" s="1">
        <v>13</v>
      </c>
      <c r="R185" s="1">
        <v>27</v>
      </c>
      <c r="S185" s="1">
        <v>66</v>
      </c>
      <c r="T185" s="1">
        <v>53</v>
      </c>
      <c r="U185" s="1">
        <v>27</v>
      </c>
      <c r="V185" s="1">
        <v>18</v>
      </c>
      <c r="W185" s="1">
        <v>45</v>
      </c>
      <c r="X185" s="1">
        <v>75</v>
      </c>
      <c r="Y185" s="1">
        <v>30</v>
      </c>
      <c r="Z185" s="1">
        <v>45</v>
      </c>
      <c r="AA185" s="1">
        <v>40</v>
      </c>
      <c r="AB185" s="1">
        <v>121</v>
      </c>
      <c r="AC185" s="1">
        <v>17</v>
      </c>
      <c r="AD185" s="1">
        <v>103</v>
      </c>
      <c r="AE185" s="1">
        <v>153</v>
      </c>
      <c r="AF185" s="18">
        <f t="shared" si="2"/>
        <v>53.733333333333334</v>
      </c>
    </row>
    <row r="186" spans="1:32" x14ac:dyDescent="0.35">
      <c r="A186" s="1" t="s">
        <v>145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8">
        <f t="shared" si="2"/>
        <v>0</v>
      </c>
    </row>
    <row r="187" spans="1:32" x14ac:dyDescent="0.35">
      <c r="A187" s="1" t="s">
        <v>146</v>
      </c>
      <c r="B187" s="1">
        <v>35</v>
      </c>
      <c r="C187" s="1">
        <v>30</v>
      </c>
      <c r="D187" s="1">
        <v>62</v>
      </c>
      <c r="E187" s="1">
        <v>22</v>
      </c>
      <c r="F187" s="1">
        <v>64</v>
      </c>
      <c r="G187" s="1">
        <v>68</v>
      </c>
      <c r="H187" s="1">
        <v>12</v>
      </c>
      <c r="I187" s="1">
        <v>78</v>
      </c>
      <c r="J187" s="1">
        <v>18</v>
      </c>
      <c r="K187" s="1">
        <v>68</v>
      </c>
      <c r="L187" s="1">
        <v>22</v>
      </c>
      <c r="M187" s="1">
        <v>142</v>
      </c>
      <c r="N187" s="1">
        <v>98</v>
      </c>
      <c r="O187" s="1">
        <v>19</v>
      </c>
      <c r="P187" s="1">
        <v>123</v>
      </c>
      <c r="Q187" s="1">
        <v>21</v>
      </c>
      <c r="R187" s="1">
        <v>26</v>
      </c>
      <c r="S187" s="1">
        <v>142</v>
      </c>
      <c r="T187" s="1">
        <v>60</v>
      </c>
      <c r="U187" s="1">
        <v>14</v>
      </c>
      <c r="V187" s="1">
        <v>48</v>
      </c>
      <c r="W187" s="1">
        <v>116</v>
      </c>
      <c r="X187" s="1">
        <v>17</v>
      </c>
      <c r="Y187" s="1">
        <v>48</v>
      </c>
      <c r="Z187" s="1">
        <v>62</v>
      </c>
      <c r="AA187" s="1">
        <v>24</v>
      </c>
      <c r="AB187" s="1">
        <v>15</v>
      </c>
      <c r="AC187" s="1">
        <v>42</v>
      </c>
      <c r="AD187" s="1">
        <v>76</v>
      </c>
      <c r="AE187" s="1">
        <v>88</v>
      </c>
      <c r="AF187" s="18">
        <f t="shared" si="2"/>
        <v>55.333333333333336</v>
      </c>
    </row>
    <row r="188" spans="1:32" x14ac:dyDescent="0.35">
      <c r="A188" s="1" t="s">
        <v>147</v>
      </c>
      <c r="B188" s="1">
        <v>48</v>
      </c>
      <c r="C188" s="1">
        <v>146</v>
      </c>
      <c r="D188" s="1">
        <v>49</v>
      </c>
      <c r="E188" s="1">
        <v>167</v>
      </c>
      <c r="F188" s="1">
        <v>12</v>
      </c>
      <c r="G188" s="1">
        <v>79</v>
      </c>
      <c r="H188" s="1">
        <v>76</v>
      </c>
      <c r="I188" s="1">
        <v>56</v>
      </c>
      <c r="J188" s="1">
        <v>83</v>
      </c>
      <c r="K188" s="1">
        <v>64</v>
      </c>
      <c r="L188" s="1">
        <v>39</v>
      </c>
      <c r="M188" s="1">
        <v>34</v>
      </c>
      <c r="N188" s="1">
        <v>110</v>
      </c>
      <c r="O188" s="1">
        <v>103</v>
      </c>
      <c r="P188" s="1">
        <v>110</v>
      </c>
      <c r="Q188" s="1">
        <v>22</v>
      </c>
      <c r="R188" s="1">
        <v>34</v>
      </c>
      <c r="S188" s="1">
        <v>24</v>
      </c>
      <c r="T188" s="1">
        <v>62</v>
      </c>
      <c r="U188" s="1">
        <v>79</v>
      </c>
      <c r="V188" s="1">
        <v>20</v>
      </c>
      <c r="W188" s="1">
        <v>140</v>
      </c>
      <c r="X188" s="1">
        <v>98</v>
      </c>
      <c r="Y188" s="1">
        <v>59</v>
      </c>
      <c r="Z188" s="1">
        <v>25</v>
      </c>
      <c r="AA188" s="1">
        <v>256</v>
      </c>
      <c r="AB188" s="1">
        <v>217</v>
      </c>
      <c r="AC188" s="1">
        <v>27</v>
      </c>
      <c r="AD188" s="1">
        <v>94</v>
      </c>
      <c r="AE188" s="1">
        <v>60</v>
      </c>
      <c r="AF188" s="18">
        <f t="shared" si="2"/>
        <v>79.766666666666666</v>
      </c>
    </row>
    <row r="189" spans="1:32" x14ac:dyDescent="0.35">
      <c r="A189" s="1" t="s">
        <v>148</v>
      </c>
      <c r="B189" s="1">
        <v>16</v>
      </c>
      <c r="C189" s="1">
        <v>12</v>
      </c>
      <c r="D189" s="1">
        <v>26</v>
      </c>
      <c r="E189" s="1">
        <v>13</v>
      </c>
      <c r="F189" s="1">
        <v>56</v>
      </c>
      <c r="G189" s="1">
        <v>12</v>
      </c>
      <c r="H189" s="1">
        <v>46</v>
      </c>
      <c r="I189" s="1">
        <v>27</v>
      </c>
      <c r="J189" s="1">
        <v>103</v>
      </c>
      <c r="K189" s="1">
        <v>42</v>
      </c>
      <c r="L189" s="1">
        <v>12</v>
      </c>
      <c r="M189" s="1">
        <v>71</v>
      </c>
      <c r="N189" s="1">
        <v>38</v>
      </c>
      <c r="O189" s="1">
        <v>15</v>
      </c>
      <c r="P189" s="1">
        <v>26</v>
      </c>
      <c r="Q189" s="1">
        <v>15</v>
      </c>
      <c r="R189" s="1">
        <v>18</v>
      </c>
      <c r="S189" s="1">
        <v>35</v>
      </c>
      <c r="T189" s="1">
        <v>74</v>
      </c>
      <c r="U189" s="1">
        <v>124</v>
      </c>
      <c r="V189" s="1">
        <v>20</v>
      </c>
      <c r="W189" s="1">
        <v>28</v>
      </c>
      <c r="X189" s="1">
        <v>20</v>
      </c>
      <c r="Y189" s="1">
        <v>12</v>
      </c>
      <c r="Z189" s="1">
        <v>77</v>
      </c>
      <c r="AA189" s="1">
        <v>29</v>
      </c>
      <c r="AB189" s="1">
        <v>13</v>
      </c>
      <c r="AC189" s="1">
        <v>111</v>
      </c>
      <c r="AD189" s="1">
        <v>87</v>
      </c>
      <c r="AE189" s="1">
        <v>100</v>
      </c>
      <c r="AF189" s="18">
        <f t="shared" si="2"/>
        <v>42.6</v>
      </c>
    </row>
    <row r="190" spans="1:32" x14ac:dyDescent="0.35">
      <c r="A190" s="1" t="s">
        <v>149</v>
      </c>
      <c r="B190" s="1">
        <v>18</v>
      </c>
      <c r="C190" s="1">
        <v>86</v>
      </c>
      <c r="D190" s="1">
        <v>94</v>
      </c>
      <c r="E190" s="1">
        <v>24</v>
      </c>
      <c r="F190" s="1">
        <v>63</v>
      </c>
      <c r="G190" s="1">
        <v>40</v>
      </c>
      <c r="H190" s="1">
        <v>55</v>
      </c>
      <c r="I190" s="1">
        <v>32</v>
      </c>
      <c r="J190" s="1">
        <v>13</v>
      </c>
      <c r="K190" s="1">
        <v>96</v>
      </c>
      <c r="L190" s="1">
        <v>13</v>
      </c>
      <c r="M190" s="1">
        <v>62</v>
      </c>
      <c r="N190" s="1">
        <v>36</v>
      </c>
      <c r="O190" s="1">
        <v>121</v>
      </c>
      <c r="P190" s="1">
        <v>59</v>
      </c>
      <c r="Q190" s="1">
        <v>37</v>
      </c>
      <c r="R190" s="1">
        <v>106</v>
      </c>
      <c r="S190" s="1">
        <v>31</v>
      </c>
      <c r="T190" s="1">
        <v>96</v>
      </c>
      <c r="U190" s="1">
        <v>99</v>
      </c>
      <c r="V190" s="1">
        <v>60</v>
      </c>
      <c r="W190" s="1">
        <v>66</v>
      </c>
      <c r="X190" s="1">
        <v>64</v>
      </c>
      <c r="Y190" s="1">
        <v>51</v>
      </c>
      <c r="Z190" s="1">
        <v>36</v>
      </c>
      <c r="AA190" s="1">
        <v>246</v>
      </c>
      <c r="AB190" s="1">
        <v>33</v>
      </c>
      <c r="AC190" s="1">
        <v>85</v>
      </c>
      <c r="AD190" s="1">
        <v>38</v>
      </c>
      <c r="AE190" s="1">
        <v>22</v>
      </c>
      <c r="AF190" s="18">
        <f t="shared" si="2"/>
        <v>62.733333333333334</v>
      </c>
    </row>
    <row r="191" spans="1:32" x14ac:dyDescent="0.35">
      <c r="A191" s="1" t="s">
        <v>150</v>
      </c>
      <c r="B191" s="1">
        <v>102</v>
      </c>
      <c r="C191" s="1">
        <v>127</v>
      </c>
      <c r="D191" s="1">
        <v>122</v>
      </c>
      <c r="E191" s="1">
        <v>31</v>
      </c>
      <c r="F191" s="1">
        <v>37</v>
      </c>
      <c r="G191" s="1">
        <v>91</v>
      </c>
      <c r="H191" s="1">
        <v>56</v>
      </c>
      <c r="I191" s="1">
        <v>35</v>
      </c>
      <c r="J191" s="1">
        <v>63</v>
      </c>
      <c r="K191" s="1">
        <v>14</v>
      </c>
      <c r="L191" s="1">
        <v>37</v>
      </c>
      <c r="M191" s="1">
        <v>25</v>
      </c>
      <c r="N191" s="1">
        <v>42</v>
      </c>
      <c r="O191" s="1">
        <v>121</v>
      </c>
      <c r="P191" s="1">
        <v>74</v>
      </c>
      <c r="Q191" s="1">
        <v>21</v>
      </c>
      <c r="R191" s="1">
        <v>29</v>
      </c>
      <c r="S191" s="1">
        <v>47</v>
      </c>
      <c r="T191" s="1">
        <v>44</v>
      </c>
      <c r="U191" s="1">
        <v>16</v>
      </c>
      <c r="V191" s="1">
        <v>13</v>
      </c>
      <c r="W191" s="1">
        <v>68</v>
      </c>
      <c r="X191" s="1">
        <v>38</v>
      </c>
      <c r="Y191" s="1">
        <v>62</v>
      </c>
      <c r="Z191" s="1">
        <v>26</v>
      </c>
      <c r="AA191" s="1">
        <v>23</v>
      </c>
      <c r="AB191" s="1">
        <v>24</v>
      </c>
      <c r="AC191" s="1">
        <v>15</v>
      </c>
      <c r="AD191" s="1">
        <v>12</v>
      </c>
      <c r="AE191" s="1">
        <v>23</v>
      </c>
      <c r="AF191" s="18">
        <f t="shared" si="2"/>
        <v>47.93333333333333</v>
      </c>
    </row>
    <row r="192" spans="1:32" x14ac:dyDescent="0.35">
      <c r="A192" s="1" t="s">
        <v>159</v>
      </c>
      <c r="B192" s="1">
        <v>30</v>
      </c>
      <c r="C192" s="1">
        <v>96</v>
      </c>
      <c r="D192" s="1">
        <v>13</v>
      </c>
      <c r="E192" s="1">
        <v>23</v>
      </c>
      <c r="F192" s="1">
        <v>121</v>
      </c>
      <c r="G192" s="1">
        <v>30</v>
      </c>
      <c r="H192" s="1">
        <v>40</v>
      </c>
      <c r="I192" s="1">
        <v>35</v>
      </c>
      <c r="J192" s="1">
        <v>20</v>
      </c>
      <c r="K192" s="1">
        <v>93</v>
      </c>
      <c r="L192" s="1">
        <v>18</v>
      </c>
      <c r="M192" s="1">
        <v>20</v>
      </c>
      <c r="N192" s="1">
        <v>78</v>
      </c>
      <c r="O192" s="1">
        <v>90</v>
      </c>
      <c r="P192" s="1">
        <v>110</v>
      </c>
      <c r="Q192" s="1">
        <v>55</v>
      </c>
      <c r="R192" s="1">
        <v>14</v>
      </c>
      <c r="S192" s="1">
        <v>30</v>
      </c>
      <c r="T192" s="1">
        <v>30</v>
      </c>
      <c r="U192" s="1">
        <v>118</v>
      </c>
      <c r="V192" s="1">
        <v>57</v>
      </c>
      <c r="W192" s="1">
        <v>14</v>
      </c>
      <c r="X192" s="1">
        <v>47</v>
      </c>
      <c r="Y192" s="1">
        <v>46</v>
      </c>
      <c r="Z192" s="1">
        <v>16</v>
      </c>
      <c r="AA192" s="1">
        <v>236</v>
      </c>
      <c r="AB192" s="1">
        <v>18</v>
      </c>
      <c r="AC192" s="1">
        <v>23</v>
      </c>
      <c r="AD192" s="1">
        <v>139</v>
      </c>
      <c r="AE192" s="1">
        <v>105</v>
      </c>
      <c r="AF192" s="18">
        <f t="shared" si="2"/>
        <v>58.833333333333336</v>
      </c>
    </row>
    <row r="193" spans="1:32" x14ac:dyDescent="0.35">
      <c r="A193" s="1" t="s">
        <v>151</v>
      </c>
      <c r="B193" s="1">
        <v>61</v>
      </c>
      <c r="C193" s="1">
        <v>14</v>
      </c>
      <c r="D193" s="1">
        <v>60</v>
      </c>
      <c r="E193" s="1">
        <v>17</v>
      </c>
      <c r="F193" s="1">
        <v>31</v>
      </c>
      <c r="G193" s="1">
        <v>23</v>
      </c>
      <c r="H193" s="1">
        <v>51</v>
      </c>
      <c r="I193" s="1">
        <v>35</v>
      </c>
      <c r="J193" s="1">
        <v>23</v>
      </c>
      <c r="K193" s="1">
        <v>19</v>
      </c>
      <c r="L193" s="1">
        <v>25</v>
      </c>
      <c r="M193" s="1">
        <v>60</v>
      </c>
      <c r="N193" s="1">
        <v>20</v>
      </c>
      <c r="O193" s="1">
        <v>29</v>
      </c>
      <c r="P193" s="1">
        <v>34</v>
      </c>
      <c r="Q193" s="1">
        <v>66</v>
      </c>
      <c r="R193" s="1">
        <v>73</v>
      </c>
      <c r="S193" s="1">
        <v>96</v>
      </c>
      <c r="T193" s="1">
        <v>21</v>
      </c>
      <c r="U193" s="1">
        <v>53</v>
      </c>
      <c r="V193" s="1">
        <v>32</v>
      </c>
      <c r="W193" s="1">
        <v>31</v>
      </c>
      <c r="X193" s="1">
        <v>40</v>
      </c>
      <c r="Y193" s="1">
        <v>18</v>
      </c>
      <c r="Z193" s="1">
        <v>56</v>
      </c>
      <c r="AA193" s="1">
        <v>27</v>
      </c>
      <c r="AB193" s="1">
        <v>24</v>
      </c>
      <c r="AC193" s="1">
        <v>62</v>
      </c>
      <c r="AD193" s="1">
        <v>53</v>
      </c>
      <c r="AE193" s="1">
        <v>35</v>
      </c>
      <c r="AF193" s="18">
        <f t="shared" si="2"/>
        <v>39.633333333333333</v>
      </c>
    </row>
    <row r="194" spans="1:32" x14ac:dyDescent="0.35">
      <c r="A194" s="1" t="s">
        <v>152</v>
      </c>
      <c r="B194" s="1">
        <v>31</v>
      </c>
      <c r="C194" s="1">
        <v>128</v>
      </c>
      <c r="D194" s="1">
        <v>34</v>
      </c>
      <c r="E194" s="1">
        <v>35</v>
      </c>
      <c r="F194" s="1">
        <v>46</v>
      </c>
      <c r="G194" s="1">
        <v>106</v>
      </c>
      <c r="H194" s="1">
        <v>31</v>
      </c>
      <c r="I194" s="1">
        <v>21</v>
      </c>
      <c r="J194" s="1">
        <v>22</v>
      </c>
      <c r="K194" s="1">
        <v>45</v>
      </c>
      <c r="L194" s="1">
        <v>14</v>
      </c>
      <c r="M194" s="1">
        <v>15</v>
      </c>
      <c r="N194" s="1">
        <v>48</v>
      </c>
      <c r="O194" s="1">
        <v>37</v>
      </c>
      <c r="P194" s="1">
        <v>24</v>
      </c>
      <c r="Q194" s="1">
        <v>64</v>
      </c>
      <c r="R194" s="1">
        <v>47</v>
      </c>
      <c r="S194" s="1">
        <v>96</v>
      </c>
      <c r="T194" s="1">
        <v>15</v>
      </c>
      <c r="U194" s="1">
        <v>43</v>
      </c>
      <c r="V194" s="1">
        <v>92</v>
      </c>
      <c r="W194" s="1">
        <v>154</v>
      </c>
      <c r="X194" s="1">
        <v>17</v>
      </c>
      <c r="Y194" s="1">
        <v>20</v>
      </c>
      <c r="Z194" s="1">
        <v>41</v>
      </c>
      <c r="AA194" s="1">
        <v>147</v>
      </c>
      <c r="AB194" s="1">
        <v>154</v>
      </c>
      <c r="AC194" s="1">
        <v>43</v>
      </c>
      <c r="AD194" s="1">
        <v>20</v>
      </c>
      <c r="AE194" s="1">
        <v>124</v>
      </c>
      <c r="AF194" s="18">
        <f t="shared" si="2"/>
        <v>57.133333333333333</v>
      </c>
    </row>
    <row r="195" spans="1:32" x14ac:dyDescent="0.35">
      <c r="A195" s="1" t="s">
        <v>153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8">
        <f t="shared" si="2"/>
        <v>0</v>
      </c>
    </row>
    <row r="196" spans="1:32" x14ac:dyDescent="0.35">
      <c r="A196" s="1" t="s">
        <v>193</v>
      </c>
      <c r="B196" s="1">
        <v>18</v>
      </c>
      <c r="C196" s="1">
        <v>62</v>
      </c>
      <c r="D196" s="1">
        <v>185</v>
      </c>
      <c r="E196" s="1">
        <v>90</v>
      </c>
      <c r="F196" s="1">
        <v>169</v>
      </c>
      <c r="G196" s="1">
        <v>85</v>
      </c>
      <c r="H196" s="1">
        <v>34</v>
      </c>
      <c r="I196" s="1">
        <v>98</v>
      </c>
      <c r="J196" s="1">
        <v>137</v>
      </c>
      <c r="K196" s="1">
        <v>112</v>
      </c>
      <c r="L196" s="1">
        <v>25</v>
      </c>
      <c r="M196" s="1">
        <v>69</v>
      </c>
      <c r="N196" s="1">
        <v>23</v>
      </c>
      <c r="O196" s="1">
        <v>90</v>
      </c>
      <c r="P196" s="1">
        <v>75</v>
      </c>
      <c r="Q196" s="1">
        <v>26</v>
      </c>
      <c r="R196" s="1">
        <v>46</v>
      </c>
      <c r="S196" s="1">
        <v>66</v>
      </c>
      <c r="T196" s="1">
        <v>156</v>
      </c>
      <c r="U196" s="1">
        <v>25</v>
      </c>
      <c r="V196" s="1">
        <v>80</v>
      </c>
      <c r="W196" s="1">
        <v>15</v>
      </c>
      <c r="X196" s="1">
        <v>76</v>
      </c>
      <c r="Y196" s="1">
        <v>34</v>
      </c>
      <c r="Z196" s="1">
        <v>32</v>
      </c>
      <c r="AA196" s="1">
        <v>92</v>
      </c>
      <c r="AB196" s="1">
        <v>38</v>
      </c>
      <c r="AC196" s="1">
        <v>46</v>
      </c>
      <c r="AD196" s="1">
        <v>27</v>
      </c>
      <c r="AE196" s="1">
        <v>85</v>
      </c>
      <c r="AF196" s="18">
        <f t="shared" ref="AF196:AF202" si="3">AVERAGE(B196:AE196)</f>
        <v>70.533333333333331</v>
      </c>
    </row>
    <row r="197" spans="1:32" x14ac:dyDescent="0.35">
      <c r="A197" s="1" t="s">
        <v>154</v>
      </c>
      <c r="B197" s="1">
        <v>60</v>
      </c>
      <c r="C197" s="1">
        <v>28</v>
      </c>
      <c r="D197" s="1">
        <v>26</v>
      </c>
      <c r="E197" s="1">
        <v>37</v>
      </c>
      <c r="F197" s="1">
        <v>47</v>
      </c>
      <c r="G197" s="1">
        <v>12</v>
      </c>
      <c r="H197" s="1">
        <v>59</v>
      </c>
      <c r="I197" s="1">
        <v>105</v>
      </c>
      <c r="J197" s="1">
        <v>29</v>
      </c>
      <c r="K197" s="1">
        <v>74</v>
      </c>
      <c r="L197" s="1">
        <v>37</v>
      </c>
      <c r="M197" s="1">
        <v>58</v>
      </c>
      <c r="N197" s="1">
        <v>101</v>
      </c>
      <c r="O197" s="1">
        <v>52</v>
      </c>
      <c r="P197" s="1">
        <v>42</v>
      </c>
      <c r="Q197" s="1">
        <v>53</v>
      </c>
      <c r="R197" s="1">
        <v>31</v>
      </c>
      <c r="S197" s="1">
        <v>18</v>
      </c>
      <c r="T197" s="1">
        <v>60</v>
      </c>
      <c r="U197" s="1">
        <v>61</v>
      </c>
      <c r="V197" s="1">
        <v>57</v>
      </c>
      <c r="W197" s="1">
        <v>124</v>
      </c>
      <c r="X197" s="1">
        <v>19</v>
      </c>
      <c r="Y197" s="1">
        <v>46</v>
      </c>
      <c r="Z197" s="1">
        <v>25</v>
      </c>
      <c r="AA197" s="1">
        <v>70</v>
      </c>
      <c r="AB197" s="1">
        <v>69</v>
      </c>
      <c r="AC197" s="1">
        <v>48</v>
      </c>
      <c r="AD197" s="1">
        <v>14</v>
      </c>
      <c r="AE197" s="1">
        <v>56</v>
      </c>
      <c r="AF197" s="18">
        <f t="shared" si="3"/>
        <v>50.6</v>
      </c>
    </row>
    <row r="198" spans="1:32" x14ac:dyDescent="0.35">
      <c r="A198" s="1" t="s">
        <v>155</v>
      </c>
      <c r="B198" s="1">
        <v>47</v>
      </c>
      <c r="C198" s="1">
        <v>62</v>
      </c>
      <c r="D198" s="1">
        <v>98</v>
      </c>
      <c r="E198" s="1">
        <v>34</v>
      </c>
      <c r="F198" s="1">
        <v>74</v>
      </c>
      <c r="G198" s="1">
        <v>149</v>
      </c>
      <c r="H198" s="1">
        <v>96</v>
      </c>
      <c r="I198" s="1">
        <v>40</v>
      </c>
      <c r="J198" s="1">
        <v>14</v>
      </c>
      <c r="K198" s="1">
        <v>17</v>
      </c>
      <c r="L198" s="1">
        <v>25</v>
      </c>
      <c r="M198" s="1">
        <v>37</v>
      </c>
      <c r="N198" s="1">
        <v>63</v>
      </c>
      <c r="O198" s="1">
        <v>206</v>
      </c>
      <c r="P198" s="1">
        <v>135</v>
      </c>
      <c r="Q198" s="1">
        <v>38</v>
      </c>
      <c r="R198" s="1">
        <v>105</v>
      </c>
      <c r="S198" s="1">
        <v>27</v>
      </c>
      <c r="T198" s="1">
        <v>15</v>
      </c>
      <c r="U198" s="1">
        <v>40</v>
      </c>
      <c r="V198" s="1">
        <v>75</v>
      </c>
      <c r="W198" s="1">
        <v>29</v>
      </c>
      <c r="X198" s="1">
        <v>46</v>
      </c>
      <c r="Y198" s="1">
        <v>54</v>
      </c>
      <c r="Z198" s="1">
        <v>69</v>
      </c>
      <c r="AA198" s="1">
        <v>41</v>
      </c>
      <c r="AB198" s="1">
        <v>116</v>
      </c>
      <c r="AC198" s="1">
        <v>145</v>
      </c>
      <c r="AD198" s="1">
        <v>13</v>
      </c>
      <c r="AE198" s="1">
        <v>63</v>
      </c>
      <c r="AF198" s="18">
        <f t="shared" si="3"/>
        <v>65.766666666666666</v>
      </c>
    </row>
    <row r="199" spans="1:32" x14ac:dyDescent="0.35">
      <c r="A199" s="1" t="s">
        <v>163</v>
      </c>
      <c r="B199" s="1">
        <v>66</v>
      </c>
      <c r="C199" s="1">
        <v>53</v>
      </c>
      <c r="D199" s="1">
        <v>45</v>
      </c>
      <c r="E199" s="1">
        <v>53</v>
      </c>
      <c r="F199" s="1">
        <v>30</v>
      </c>
      <c r="G199" s="1">
        <v>39</v>
      </c>
      <c r="H199" s="1">
        <v>137</v>
      </c>
      <c r="I199" s="1">
        <v>15</v>
      </c>
      <c r="J199" s="1">
        <v>58</v>
      </c>
      <c r="K199" s="1">
        <v>53</v>
      </c>
      <c r="L199" s="1">
        <v>31</v>
      </c>
      <c r="M199" s="1">
        <v>38</v>
      </c>
      <c r="N199" s="1">
        <v>135</v>
      </c>
      <c r="O199" s="1">
        <v>142</v>
      </c>
      <c r="P199" s="1">
        <v>16</v>
      </c>
      <c r="Q199" s="1">
        <v>62</v>
      </c>
      <c r="R199" s="1">
        <v>45</v>
      </c>
      <c r="S199" s="1">
        <v>103</v>
      </c>
      <c r="T199" s="1">
        <v>70</v>
      </c>
      <c r="U199" s="1">
        <v>44</v>
      </c>
      <c r="V199" s="1">
        <v>47</v>
      </c>
      <c r="W199" s="1">
        <v>47</v>
      </c>
      <c r="X199" s="1">
        <v>55</v>
      </c>
      <c r="Y199" s="1">
        <v>14</v>
      </c>
      <c r="Z199" s="1">
        <v>37</v>
      </c>
      <c r="AA199" s="1">
        <v>21</v>
      </c>
      <c r="AB199" s="1">
        <v>21</v>
      </c>
      <c r="AC199" s="1">
        <v>28</v>
      </c>
      <c r="AD199" s="1">
        <v>24</v>
      </c>
      <c r="AE199" s="1">
        <v>135</v>
      </c>
      <c r="AF199" s="18">
        <f t="shared" si="3"/>
        <v>55.466666666666669</v>
      </c>
    </row>
    <row r="200" spans="1:32" x14ac:dyDescent="0.35">
      <c r="A200" s="1" t="s">
        <v>194</v>
      </c>
      <c r="B200" s="1">
        <v>55</v>
      </c>
      <c r="C200" s="1">
        <v>29</v>
      </c>
      <c r="D200" s="1">
        <v>19</v>
      </c>
      <c r="E200" s="1">
        <v>48</v>
      </c>
      <c r="F200" s="1">
        <v>105</v>
      </c>
      <c r="G200" s="1">
        <v>23</v>
      </c>
      <c r="H200" s="1">
        <v>69</v>
      </c>
      <c r="I200" s="1">
        <v>23</v>
      </c>
      <c r="J200" s="1">
        <v>63</v>
      </c>
      <c r="K200" s="1">
        <v>15</v>
      </c>
      <c r="L200" s="1">
        <v>78</v>
      </c>
      <c r="M200" s="1">
        <v>29</v>
      </c>
      <c r="N200" s="1">
        <v>36</v>
      </c>
      <c r="O200" s="1">
        <v>40</v>
      </c>
      <c r="P200" s="1">
        <v>44</v>
      </c>
      <c r="Q200" s="1">
        <v>31</v>
      </c>
      <c r="R200" s="1">
        <v>38</v>
      </c>
      <c r="S200" s="1">
        <v>33</v>
      </c>
      <c r="T200" s="1">
        <v>17</v>
      </c>
      <c r="U200" s="1">
        <v>62</v>
      </c>
      <c r="V200" s="1">
        <v>80</v>
      </c>
      <c r="W200" s="1">
        <v>20</v>
      </c>
      <c r="X200" s="1">
        <v>22</v>
      </c>
      <c r="Y200" s="1">
        <v>63</v>
      </c>
      <c r="Z200" s="1">
        <v>27</v>
      </c>
      <c r="AA200" s="1">
        <v>26</v>
      </c>
      <c r="AB200" s="1">
        <v>17</v>
      </c>
      <c r="AC200" s="1">
        <v>54</v>
      </c>
      <c r="AD200" s="1">
        <v>42</v>
      </c>
      <c r="AE200" s="1">
        <v>15</v>
      </c>
      <c r="AF200" s="18">
        <f t="shared" si="3"/>
        <v>40.766666666666666</v>
      </c>
    </row>
    <row r="201" spans="1:32" x14ac:dyDescent="0.35">
      <c r="A201" s="1" t="s">
        <v>157</v>
      </c>
      <c r="B201" s="1">
        <v>20</v>
      </c>
      <c r="C201" s="1">
        <v>48</v>
      </c>
      <c r="D201" s="1">
        <v>26</v>
      </c>
      <c r="E201" s="1">
        <v>24</v>
      </c>
      <c r="F201" s="1">
        <v>18</v>
      </c>
      <c r="G201" s="1">
        <v>24</v>
      </c>
      <c r="H201" s="1">
        <v>49</v>
      </c>
      <c r="I201" s="1">
        <v>17</v>
      </c>
      <c r="J201" s="1">
        <v>33</v>
      </c>
      <c r="K201" s="1">
        <v>15</v>
      </c>
      <c r="L201" s="1">
        <v>24</v>
      </c>
      <c r="M201" s="1">
        <v>14</v>
      </c>
      <c r="N201" s="1">
        <v>15</v>
      </c>
      <c r="O201" s="1">
        <v>65</v>
      </c>
      <c r="P201" s="1">
        <v>14</v>
      </c>
      <c r="Q201" s="1">
        <v>13</v>
      </c>
      <c r="R201" s="1">
        <v>74</v>
      </c>
      <c r="S201" s="1">
        <v>15</v>
      </c>
      <c r="T201" s="1">
        <v>62</v>
      </c>
      <c r="U201" s="1">
        <v>35</v>
      </c>
      <c r="V201" s="1">
        <v>23</v>
      </c>
      <c r="W201" s="1">
        <v>32</v>
      </c>
      <c r="X201" s="1">
        <v>12</v>
      </c>
      <c r="Y201" s="1">
        <v>19</v>
      </c>
      <c r="Z201" s="1">
        <v>19</v>
      </c>
      <c r="AA201" s="1">
        <v>73</v>
      </c>
      <c r="AB201" s="1">
        <v>35</v>
      </c>
      <c r="AC201" s="1">
        <v>44</v>
      </c>
      <c r="AD201" s="1">
        <v>22</v>
      </c>
      <c r="AE201" s="1">
        <v>14</v>
      </c>
      <c r="AF201" s="18">
        <f t="shared" si="3"/>
        <v>29.933333333333334</v>
      </c>
    </row>
    <row r="202" spans="1:32" x14ac:dyDescent="0.35">
      <c r="A202" s="1" t="s">
        <v>158</v>
      </c>
      <c r="B202" s="1">
        <v>37</v>
      </c>
      <c r="C202" s="1">
        <v>42</v>
      </c>
      <c r="D202" s="1">
        <v>18</v>
      </c>
      <c r="E202" s="1">
        <v>46</v>
      </c>
      <c r="F202" s="1">
        <v>13</v>
      </c>
      <c r="G202" s="1">
        <v>55</v>
      </c>
      <c r="H202" s="1">
        <v>21</v>
      </c>
      <c r="I202" s="1">
        <v>61</v>
      </c>
      <c r="J202" s="1">
        <v>21</v>
      </c>
      <c r="K202" s="1">
        <v>86</v>
      </c>
      <c r="L202" s="1">
        <v>64</v>
      </c>
      <c r="M202" s="1">
        <v>13</v>
      </c>
      <c r="N202" s="1">
        <v>31</v>
      </c>
      <c r="O202" s="1">
        <v>55</v>
      </c>
      <c r="P202" s="1">
        <v>109</v>
      </c>
      <c r="Q202" s="1">
        <v>14</v>
      </c>
      <c r="R202" s="1">
        <v>22</v>
      </c>
      <c r="S202" s="1">
        <v>20</v>
      </c>
      <c r="T202" s="1">
        <v>61</v>
      </c>
      <c r="U202" s="1">
        <v>21</v>
      </c>
      <c r="V202" s="1">
        <v>19</v>
      </c>
      <c r="W202" s="1">
        <v>30</v>
      </c>
      <c r="X202" s="1">
        <v>16</v>
      </c>
      <c r="Y202" s="1">
        <v>70</v>
      </c>
      <c r="Z202" s="1">
        <v>52</v>
      </c>
      <c r="AA202" s="1">
        <v>46</v>
      </c>
      <c r="AB202" s="1">
        <v>12</v>
      </c>
      <c r="AC202" s="1">
        <v>50</v>
      </c>
      <c r="AD202" s="1">
        <v>14</v>
      </c>
      <c r="AE202" s="1">
        <v>89</v>
      </c>
      <c r="AF202" s="18">
        <f t="shared" si="3"/>
        <v>40.266666666666666</v>
      </c>
    </row>
    <row r="203" spans="1:32" x14ac:dyDescent="0.35">
      <c r="B203" s="1">
        <v>22</v>
      </c>
      <c r="C203" s="1">
        <v>47</v>
      </c>
      <c r="D203" s="1">
        <v>28</v>
      </c>
      <c r="E203" s="1">
        <v>12</v>
      </c>
      <c r="F203" s="1">
        <v>43</v>
      </c>
      <c r="G203" s="1">
        <v>12</v>
      </c>
      <c r="H203" s="1">
        <v>83</v>
      </c>
      <c r="I203" s="1">
        <v>35</v>
      </c>
      <c r="J203" s="1">
        <v>32</v>
      </c>
      <c r="K203" s="1">
        <v>19</v>
      </c>
      <c r="L203" s="1">
        <v>117</v>
      </c>
      <c r="M203" s="1">
        <v>45</v>
      </c>
      <c r="N203" s="1">
        <v>13</v>
      </c>
      <c r="O203" s="1">
        <v>114</v>
      </c>
      <c r="P203" s="1">
        <v>48</v>
      </c>
      <c r="Q203" s="1">
        <v>31</v>
      </c>
      <c r="R203" s="1">
        <v>46</v>
      </c>
      <c r="S203" s="1">
        <v>56</v>
      </c>
      <c r="T203" s="1">
        <v>57</v>
      </c>
      <c r="U203" s="1">
        <v>140</v>
      </c>
      <c r="V203" s="1">
        <v>54</v>
      </c>
      <c r="W203" s="1">
        <v>38</v>
      </c>
      <c r="X203" s="1">
        <v>61</v>
      </c>
      <c r="Y203" s="1">
        <v>28</v>
      </c>
      <c r="Z203" s="1">
        <v>29</v>
      </c>
      <c r="AA203" s="1">
        <v>76</v>
      </c>
      <c r="AB203" s="1">
        <v>58</v>
      </c>
      <c r="AC203" s="1">
        <v>79</v>
      </c>
      <c r="AD203" s="1">
        <v>52</v>
      </c>
      <c r="AE203" s="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B65A-6E4C-4153-9263-636E4E8F5400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84</v>
      </c>
      <c r="C3" s="1">
        <v>12</v>
      </c>
      <c r="D3" s="1">
        <v>65</v>
      </c>
      <c r="E3" s="1">
        <v>43</v>
      </c>
      <c r="F3" s="1">
        <v>19</v>
      </c>
      <c r="G3" s="1">
        <v>38</v>
      </c>
      <c r="H3" s="1">
        <v>131</v>
      </c>
      <c r="I3" s="1">
        <v>24</v>
      </c>
      <c r="J3" s="1">
        <v>28</v>
      </c>
      <c r="K3" s="1">
        <v>83</v>
      </c>
      <c r="L3" s="1">
        <v>17</v>
      </c>
      <c r="M3" s="1">
        <v>23</v>
      </c>
      <c r="N3" s="1">
        <v>26</v>
      </c>
      <c r="O3" s="1">
        <v>12</v>
      </c>
      <c r="P3" s="1">
        <v>25</v>
      </c>
      <c r="Q3" s="1">
        <v>14</v>
      </c>
      <c r="R3" s="1">
        <v>25</v>
      </c>
      <c r="S3" s="1">
        <v>19</v>
      </c>
      <c r="T3" s="1">
        <v>29</v>
      </c>
      <c r="U3" s="1">
        <v>42</v>
      </c>
      <c r="V3" s="1">
        <v>24</v>
      </c>
      <c r="W3" s="1">
        <v>33</v>
      </c>
      <c r="X3" s="1">
        <v>41</v>
      </c>
      <c r="Y3" s="1">
        <v>28</v>
      </c>
      <c r="Z3" s="1">
        <v>21</v>
      </c>
      <c r="AA3" s="1">
        <v>52</v>
      </c>
      <c r="AB3" s="1">
        <v>40</v>
      </c>
      <c r="AC3" s="1">
        <v>50</v>
      </c>
      <c r="AD3" s="1">
        <v>25</v>
      </c>
      <c r="AE3" s="1">
        <v>42</v>
      </c>
      <c r="AF3" s="18">
        <f>AVERAGE(B3:AE3)</f>
        <v>37.166666666666664</v>
      </c>
    </row>
    <row r="4" spans="1:32" x14ac:dyDescent="0.35">
      <c r="A4" s="1" t="s">
        <v>166</v>
      </c>
      <c r="B4" s="1">
        <v>54</v>
      </c>
      <c r="C4" s="1">
        <v>84</v>
      </c>
      <c r="D4" s="1">
        <v>31</v>
      </c>
      <c r="E4" s="1">
        <v>55</v>
      </c>
      <c r="F4" s="1">
        <v>83</v>
      </c>
      <c r="G4" s="1">
        <v>16</v>
      </c>
      <c r="H4" s="1">
        <v>25</v>
      </c>
      <c r="I4" s="1">
        <v>74</v>
      </c>
      <c r="J4" s="1">
        <v>39</v>
      </c>
      <c r="K4" s="1">
        <v>26</v>
      </c>
      <c r="L4" s="1">
        <v>24</v>
      </c>
      <c r="M4" s="1">
        <v>24</v>
      </c>
      <c r="N4" s="1">
        <v>23</v>
      </c>
      <c r="O4" s="1">
        <v>43</v>
      </c>
      <c r="P4" s="1">
        <v>28</v>
      </c>
      <c r="Q4" s="1">
        <v>75</v>
      </c>
      <c r="R4" s="1">
        <v>51</v>
      </c>
      <c r="S4" s="1">
        <v>16</v>
      </c>
      <c r="T4" s="1">
        <v>32</v>
      </c>
      <c r="U4" s="1">
        <v>79</v>
      </c>
      <c r="V4" s="1">
        <v>25</v>
      </c>
      <c r="W4" s="1">
        <v>55</v>
      </c>
      <c r="X4" s="1">
        <v>33</v>
      </c>
      <c r="Y4" s="1">
        <v>57</v>
      </c>
      <c r="Z4" s="1">
        <v>34</v>
      </c>
      <c r="AA4" s="1">
        <v>76</v>
      </c>
      <c r="AB4" s="1">
        <v>81</v>
      </c>
      <c r="AC4" s="1">
        <v>23</v>
      </c>
      <c r="AD4" s="1">
        <v>16</v>
      </c>
      <c r="AE4" s="1">
        <v>21</v>
      </c>
      <c r="AF4" s="18">
        <f t="shared" ref="AF4:AF67" si="0">AVERAGE(B4:AE4)</f>
        <v>43.43333333333333</v>
      </c>
    </row>
    <row r="5" spans="1:32" x14ac:dyDescent="0.35">
      <c r="A5" s="1" t="s">
        <v>167</v>
      </c>
      <c r="B5" s="1">
        <v>40</v>
      </c>
      <c r="C5" s="1">
        <v>20</v>
      </c>
      <c r="D5" s="1">
        <v>26</v>
      </c>
      <c r="E5" s="1">
        <v>101</v>
      </c>
      <c r="F5" s="1">
        <v>76</v>
      </c>
      <c r="G5" s="1">
        <v>75</v>
      </c>
      <c r="H5" s="1">
        <v>66</v>
      </c>
      <c r="I5" s="1">
        <v>13</v>
      </c>
      <c r="J5" s="1">
        <v>69</v>
      </c>
      <c r="K5" s="1">
        <v>85</v>
      </c>
      <c r="L5" s="1">
        <v>86</v>
      </c>
      <c r="M5" s="1">
        <v>68</v>
      </c>
      <c r="N5" s="1">
        <v>19</v>
      </c>
      <c r="O5" s="1">
        <v>13</v>
      </c>
      <c r="P5" s="1">
        <v>12</v>
      </c>
      <c r="Q5" s="1">
        <v>29</v>
      </c>
      <c r="R5" s="1">
        <v>52</v>
      </c>
      <c r="S5" s="1">
        <v>22</v>
      </c>
      <c r="T5" s="1">
        <v>17</v>
      </c>
      <c r="U5" s="1">
        <v>101</v>
      </c>
      <c r="V5" s="1">
        <v>32</v>
      </c>
      <c r="W5" s="1">
        <v>12</v>
      </c>
      <c r="X5" s="1">
        <v>12</v>
      </c>
      <c r="Y5" s="1">
        <v>18</v>
      </c>
      <c r="Z5" s="1">
        <v>38</v>
      </c>
      <c r="AA5" s="1">
        <v>39</v>
      </c>
      <c r="AB5" s="1">
        <v>21</v>
      </c>
      <c r="AC5" s="1">
        <v>12</v>
      </c>
      <c r="AD5" s="1">
        <v>26</v>
      </c>
      <c r="AE5" s="1">
        <v>57</v>
      </c>
      <c r="AF5" s="18">
        <f t="shared" si="0"/>
        <v>41.9</v>
      </c>
    </row>
    <row r="6" spans="1:32" x14ac:dyDescent="0.35">
      <c r="A6" s="1" t="s">
        <v>211</v>
      </c>
      <c r="B6" s="1">
        <v>66</v>
      </c>
      <c r="C6" s="1">
        <v>30</v>
      </c>
      <c r="D6" s="1">
        <v>32</v>
      </c>
      <c r="E6" s="1">
        <v>42</v>
      </c>
      <c r="F6" s="1">
        <v>79</v>
      </c>
      <c r="G6" s="1">
        <v>91</v>
      </c>
      <c r="H6" s="1">
        <v>135</v>
      </c>
      <c r="I6" s="1">
        <v>86</v>
      </c>
      <c r="J6" s="1">
        <v>94</v>
      </c>
      <c r="K6" s="1">
        <v>32</v>
      </c>
      <c r="L6" s="1">
        <v>29</v>
      </c>
      <c r="M6" s="1">
        <v>24</v>
      </c>
      <c r="N6" s="1">
        <v>59</v>
      </c>
      <c r="O6" s="1">
        <v>75</v>
      </c>
      <c r="P6" s="1">
        <v>374</v>
      </c>
      <c r="Q6" s="1">
        <v>70</v>
      </c>
      <c r="R6" s="1">
        <v>110</v>
      </c>
      <c r="S6" s="1">
        <v>147</v>
      </c>
      <c r="T6" s="1">
        <v>151</v>
      </c>
      <c r="U6" s="1">
        <v>45</v>
      </c>
      <c r="V6" s="1">
        <v>111</v>
      </c>
      <c r="W6" s="1">
        <v>26</v>
      </c>
      <c r="X6" s="1">
        <v>64</v>
      </c>
      <c r="Y6" s="1">
        <v>37</v>
      </c>
      <c r="Z6" s="1">
        <v>12</v>
      </c>
      <c r="AA6" s="1">
        <v>518</v>
      </c>
      <c r="AB6" s="1">
        <v>53</v>
      </c>
      <c r="AC6" s="1">
        <v>84</v>
      </c>
      <c r="AD6" s="1">
        <v>294</v>
      </c>
      <c r="AE6" s="1">
        <v>33</v>
      </c>
      <c r="AF6" s="18">
        <f t="shared" si="0"/>
        <v>100.1</v>
      </c>
    </row>
    <row r="7" spans="1:32" x14ac:dyDescent="0.35">
      <c r="A7" s="1" t="s">
        <v>168</v>
      </c>
      <c r="B7" s="1">
        <v>16</v>
      </c>
      <c r="C7" s="1">
        <v>179</v>
      </c>
      <c r="D7" s="1">
        <v>66</v>
      </c>
      <c r="E7" s="1">
        <v>22</v>
      </c>
      <c r="F7" s="1">
        <v>81</v>
      </c>
      <c r="G7" s="1">
        <v>93</v>
      </c>
      <c r="H7" s="1">
        <v>167</v>
      </c>
      <c r="I7" s="1">
        <v>27</v>
      </c>
      <c r="J7" s="1">
        <v>101</v>
      </c>
      <c r="K7" s="1">
        <v>93</v>
      </c>
      <c r="L7" s="1">
        <v>75</v>
      </c>
      <c r="M7" s="1">
        <v>17</v>
      </c>
      <c r="N7" s="1">
        <v>37</v>
      </c>
      <c r="O7" s="1">
        <v>182</v>
      </c>
      <c r="P7" s="1">
        <v>102</v>
      </c>
      <c r="Q7" s="1">
        <v>48</v>
      </c>
      <c r="R7" s="1">
        <v>53</v>
      </c>
      <c r="S7" s="1">
        <v>82</v>
      </c>
      <c r="T7" s="1">
        <v>260</v>
      </c>
      <c r="U7" s="1">
        <v>14</v>
      </c>
      <c r="V7" s="1">
        <v>169</v>
      </c>
      <c r="W7" s="1">
        <v>140</v>
      </c>
      <c r="X7" s="1">
        <v>89</v>
      </c>
      <c r="Y7" s="1">
        <v>48</v>
      </c>
      <c r="Z7" s="1">
        <v>81</v>
      </c>
      <c r="AA7" s="1">
        <v>45</v>
      </c>
      <c r="AB7" s="1">
        <v>34</v>
      </c>
      <c r="AC7" s="1">
        <v>52</v>
      </c>
      <c r="AD7" s="1">
        <v>91</v>
      </c>
      <c r="AE7" s="1">
        <v>25</v>
      </c>
      <c r="AF7" s="18">
        <f t="shared" si="0"/>
        <v>82.966666666666669</v>
      </c>
    </row>
    <row r="8" spans="1:32" x14ac:dyDescent="0.35">
      <c r="A8" s="1" t="s">
        <v>169</v>
      </c>
      <c r="B8" s="1">
        <v>94</v>
      </c>
      <c r="C8" s="1">
        <v>17</v>
      </c>
      <c r="D8" s="1">
        <v>21</v>
      </c>
      <c r="E8" s="1">
        <v>21</v>
      </c>
      <c r="F8" s="1">
        <v>41</v>
      </c>
      <c r="G8" s="1">
        <v>18</v>
      </c>
      <c r="H8" s="1">
        <v>30</v>
      </c>
      <c r="I8" s="1">
        <v>13</v>
      </c>
      <c r="J8" s="1">
        <v>57</v>
      </c>
      <c r="K8" s="1">
        <v>39</v>
      </c>
      <c r="L8" s="1">
        <v>14</v>
      </c>
      <c r="M8" s="1">
        <v>64</v>
      </c>
      <c r="N8" s="1">
        <v>13</v>
      </c>
      <c r="O8" s="1">
        <v>16</v>
      </c>
      <c r="P8" s="1">
        <v>29</v>
      </c>
      <c r="Q8" s="1">
        <v>32</v>
      </c>
      <c r="R8" s="1">
        <v>100</v>
      </c>
      <c r="S8" s="1">
        <v>13</v>
      </c>
      <c r="T8" s="1">
        <v>67</v>
      </c>
      <c r="U8" s="1">
        <v>47</v>
      </c>
      <c r="V8" s="1">
        <v>61</v>
      </c>
      <c r="W8" s="1">
        <v>26</v>
      </c>
      <c r="X8" s="1">
        <v>75</v>
      </c>
      <c r="Y8" s="1">
        <v>63</v>
      </c>
      <c r="Z8" s="1">
        <v>73</v>
      </c>
      <c r="AA8" s="1">
        <v>24</v>
      </c>
      <c r="AB8" s="1">
        <v>25</v>
      </c>
      <c r="AC8" s="1">
        <v>20</v>
      </c>
      <c r="AD8" s="1">
        <v>189</v>
      </c>
      <c r="AE8" s="1">
        <v>36</v>
      </c>
      <c r="AF8" s="18">
        <f t="shared" si="0"/>
        <v>44.6</v>
      </c>
    </row>
    <row r="9" spans="1:32" x14ac:dyDescent="0.35">
      <c r="A9" s="1" t="s">
        <v>170</v>
      </c>
      <c r="B9" s="1">
        <v>71</v>
      </c>
      <c r="C9" s="1">
        <v>25</v>
      </c>
      <c r="D9" s="1">
        <v>53</v>
      </c>
      <c r="E9" s="1">
        <v>30</v>
      </c>
      <c r="F9" s="1">
        <v>106</v>
      </c>
      <c r="G9" s="1">
        <v>250</v>
      </c>
      <c r="H9" s="1">
        <v>53</v>
      </c>
      <c r="I9" s="1">
        <v>172</v>
      </c>
      <c r="J9" s="1">
        <v>72</v>
      </c>
      <c r="K9" s="1">
        <v>35</v>
      </c>
      <c r="L9" s="1">
        <v>43</v>
      </c>
      <c r="M9" s="1">
        <v>25</v>
      </c>
      <c r="N9" s="1">
        <v>45</v>
      </c>
      <c r="O9" s="1">
        <v>17</v>
      </c>
      <c r="P9" s="1">
        <v>18</v>
      </c>
      <c r="Q9" s="1">
        <v>39</v>
      </c>
      <c r="R9" s="1">
        <v>38</v>
      </c>
      <c r="S9" s="1">
        <v>23</v>
      </c>
      <c r="T9" s="1">
        <v>35</v>
      </c>
      <c r="U9" s="1">
        <v>99</v>
      </c>
      <c r="V9" s="1">
        <v>13</v>
      </c>
      <c r="W9" s="1">
        <v>47</v>
      </c>
      <c r="X9" s="1">
        <v>129</v>
      </c>
      <c r="Y9" s="1">
        <v>79</v>
      </c>
      <c r="Z9" s="1">
        <v>25</v>
      </c>
      <c r="AA9" s="1">
        <v>25</v>
      </c>
      <c r="AB9" s="1">
        <v>34</v>
      </c>
      <c r="AC9" s="1">
        <v>39</v>
      </c>
      <c r="AD9" s="1">
        <v>20</v>
      </c>
      <c r="AE9" s="1">
        <v>16</v>
      </c>
      <c r="AF9" s="18">
        <f t="shared" si="0"/>
        <v>55.866666666666667</v>
      </c>
    </row>
    <row r="10" spans="1:32" x14ac:dyDescent="0.35">
      <c r="A10" s="1" t="s">
        <v>4</v>
      </c>
      <c r="B10" s="1">
        <v>13</v>
      </c>
      <c r="C10" s="1">
        <v>116</v>
      </c>
      <c r="D10" s="1">
        <v>36</v>
      </c>
      <c r="E10" s="1">
        <v>34</v>
      </c>
      <c r="F10" s="1">
        <v>45</v>
      </c>
      <c r="G10" s="1">
        <v>140</v>
      </c>
      <c r="H10" s="1">
        <v>16</v>
      </c>
      <c r="I10" s="1">
        <v>60</v>
      </c>
      <c r="J10" s="1">
        <v>64</v>
      </c>
      <c r="K10" s="1">
        <v>12</v>
      </c>
      <c r="L10" s="1">
        <v>64</v>
      </c>
      <c r="M10" s="1">
        <v>19</v>
      </c>
      <c r="N10" s="1">
        <v>15</v>
      </c>
      <c r="O10" s="1">
        <v>14</v>
      </c>
      <c r="P10" s="1">
        <v>25</v>
      </c>
      <c r="Q10" s="1">
        <v>102</v>
      </c>
      <c r="R10" s="1">
        <v>42</v>
      </c>
      <c r="S10" s="1">
        <v>19</v>
      </c>
      <c r="T10" s="1">
        <v>55</v>
      </c>
      <c r="U10" s="1">
        <v>24</v>
      </c>
      <c r="V10" s="1">
        <v>114</v>
      </c>
      <c r="W10" s="1">
        <v>17</v>
      </c>
      <c r="X10" s="1">
        <v>29</v>
      </c>
      <c r="Y10" s="1">
        <v>12</v>
      </c>
      <c r="Z10" s="1">
        <v>39</v>
      </c>
      <c r="AA10" s="1">
        <v>18</v>
      </c>
      <c r="AB10" s="1">
        <v>71</v>
      </c>
      <c r="AC10" s="1">
        <v>18</v>
      </c>
      <c r="AD10" s="1">
        <v>106</v>
      </c>
      <c r="AE10" s="1">
        <v>96</v>
      </c>
      <c r="AF10" s="18">
        <f t="shared" si="0"/>
        <v>47.833333333333336</v>
      </c>
    </row>
    <row r="11" spans="1:32" x14ac:dyDescent="0.35">
      <c r="A11" s="1" t="s">
        <v>5</v>
      </c>
      <c r="B11" s="1">
        <v>33</v>
      </c>
      <c r="C11" s="1">
        <v>16</v>
      </c>
      <c r="D11" s="1">
        <v>44</v>
      </c>
      <c r="E11" s="1">
        <v>14</v>
      </c>
      <c r="F11" s="1">
        <v>43</v>
      </c>
      <c r="G11" s="1">
        <v>20</v>
      </c>
      <c r="H11" s="1">
        <v>84</v>
      </c>
      <c r="I11" s="1">
        <v>44</v>
      </c>
      <c r="J11" s="1">
        <v>21</v>
      </c>
      <c r="K11" s="1">
        <v>16</v>
      </c>
      <c r="L11" s="1">
        <v>25</v>
      </c>
      <c r="M11" s="1">
        <v>76</v>
      </c>
      <c r="N11" s="1">
        <v>50</v>
      </c>
      <c r="O11" s="1">
        <v>32</v>
      </c>
      <c r="P11" s="1">
        <v>15</v>
      </c>
      <c r="Q11" s="1">
        <v>37</v>
      </c>
      <c r="R11" s="1">
        <v>110</v>
      </c>
      <c r="S11" s="1">
        <v>61</v>
      </c>
      <c r="T11" s="1">
        <v>22</v>
      </c>
      <c r="U11" s="1">
        <v>18</v>
      </c>
      <c r="V11" s="1">
        <v>28</v>
      </c>
      <c r="W11" s="1">
        <v>14</v>
      </c>
      <c r="X11" s="1">
        <v>24</v>
      </c>
      <c r="Y11" s="1">
        <v>57</v>
      </c>
      <c r="Z11" s="1">
        <v>16</v>
      </c>
      <c r="AA11" s="1">
        <v>28</v>
      </c>
      <c r="AB11" s="1">
        <v>13</v>
      </c>
      <c r="AC11" s="1">
        <v>54</v>
      </c>
      <c r="AD11" s="1">
        <v>46</v>
      </c>
      <c r="AE11" s="1">
        <v>55</v>
      </c>
      <c r="AF11" s="18">
        <f t="shared" si="0"/>
        <v>37.200000000000003</v>
      </c>
    </row>
    <row r="12" spans="1:32" x14ac:dyDescent="0.35">
      <c r="A12" s="1" t="s">
        <v>161</v>
      </c>
      <c r="B12" s="1">
        <v>57</v>
      </c>
      <c r="C12" s="1">
        <v>46</v>
      </c>
      <c r="D12" s="1">
        <v>157</v>
      </c>
      <c r="E12" s="1">
        <v>97</v>
      </c>
      <c r="F12" s="1">
        <v>45</v>
      </c>
      <c r="G12" s="1">
        <v>23</v>
      </c>
      <c r="H12" s="1">
        <v>119</v>
      </c>
      <c r="I12" s="1">
        <v>159</v>
      </c>
      <c r="J12" s="1">
        <v>21</v>
      </c>
      <c r="K12" s="1">
        <v>279</v>
      </c>
      <c r="L12" s="1">
        <v>16</v>
      </c>
      <c r="M12" s="1">
        <v>52</v>
      </c>
      <c r="N12" s="1">
        <v>17</v>
      </c>
      <c r="O12" s="1">
        <v>83</v>
      </c>
      <c r="P12" s="1">
        <v>20</v>
      </c>
      <c r="Q12" s="1">
        <v>145</v>
      </c>
      <c r="R12" s="1">
        <v>61</v>
      </c>
      <c r="S12" s="1">
        <v>162</v>
      </c>
      <c r="T12" s="1">
        <v>59</v>
      </c>
      <c r="U12" s="1">
        <v>21</v>
      </c>
      <c r="V12" s="1">
        <v>41</v>
      </c>
      <c r="W12" s="1">
        <v>21</v>
      </c>
      <c r="X12" s="1">
        <v>47</v>
      </c>
      <c r="Y12" s="1">
        <v>159</v>
      </c>
      <c r="Z12" s="1">
        <v>108</v>
      </c>
      <c r="AA12" s="1">
        <v>47</v>
      </c>
      <c r="AB12" s="1">
        <v>17</v>
      </c>
      <c r="AC12" s="1">
        <v>20</v>
      </c>
      <c r="AD12" s="1">
        <v>117</v>
      </c>
      <c r="AE12" s="1">
        <v>90</v>
      </c>
      <c r="AF12" s="18">
        <f t="shared" si="0"/>
        <v>76.86666666666666</v>
      </c>
    </row>
    <row r="13" spans="1:32" x14ac:dyDescent="0.35">
      <c r="A13" s="1" t="s">
        <v>212</v>
      </c>
      <c r="B13" s="1">
        <v>16</v>
      </c>
      <c r="C13" s="1">
        <v>29</v>
      </c>
      <c r="D13" s="1">
        <v>15</v>
      </c>
      <c r="E13" s="1">
        <v>24</v>
      </c>
      <c r="F13" s="1">
        <v>15</v>
      </c>
      <c r="G13" s="1">
        <v>20</v>
      </c>
      <c r="H13" s="1">
        <v>20</v>
      </c>
      <c r="I13" s="1">
        <v>26</v>
      </c>
      <c r="J13" s="1">
        <v>34</v>
      </c>
      <c r="K13" s="1">
        <v>23</v>
      </c>
      <c r="L13" s="1">
        <v>15</v>
      </c>
      <c r="M13" s="1">
        <v>47</v>
      </c>
      <c r="N13" s="1">
        <v>39</v>
      </c>
      <c r="O13" s="1">
        <v>28</v>
      </c>
      <c r="P13" s="1">
        <v>50</v>
      </c>
      <c r="Q13" s="1">
        <v>13</v>
      </c>
      <c r="R13" s="1">
        <v>59</v>
      </c>
      <c r="S13" s="1">
        <v>15</v>
      </c>
      <c r="T13" s="1">
        <v>18</v>
      </c>
      <c r="U13" s="1">
        <v>53</v>
      </c>
      <c r="V13" s="1">
        <v>24</v>
      </c>
      <c r="W13" s="1">
        <v>32</v>
      </c>
      <c r="X13" s="1">
        <v>35</v>
      </c>
      <c r="Y13" s="1">
        <v>24</v>
      </c>
      <c r="Z13" s="1">
        <v>95</v>
      </c>
      <c r="AA13" s="1">
        <v>24</v>
      </c>
      <c r="AB13" s="1">
        <v>33</v>
      </c>
      <c r="AC13" s="1">
        <v>76</v>
      </c>
      <c r="AD13" s="1">
        <v>51</v>
      </c>
      <c r="AE13" s="1">
        <v>41</v>
      </c>
      <c r="AF13" s="18">
        <f t="shared" si="0"/>
        <v>33.133333333333333</v>
      </c>
    </row>
    <row r="14" spans="1:32" x14ac:dyDescent="0.35">
      <c r="A14" s="1" t="s">
        <v>6</v>
      </c>
      <c r="B14" s="1">
        <v>43</v>
      </c>
      <c r="C14" s="1">
        <v>19</v>
      </c>
      <c r="D14" s="1">
        <v>98</v>
      </c>
      <c r="E14" s="1">
        <v>53</v>
      </c>
      <c r="F14" s="1">
        <v>58</v>
      </c>
      <c r="G14" s="1">
        <v>15</v>
      </c>
      <c r="H14" s="1">
        <v>52</v>
      </c>
      <c r="I14" s="1">
        <v>183</v>
      </c>
      <c r="J14" s="1">
        <v>40</v>
      </c>
      <c r="K14" s="1">
        <v>57</v>
      </c>
      <c r="L14" s="1">
        <v>57</v>
      </c>
      <c r="M14" s="1">
        <v>13</v>
      </c>
      <c r="N14" s="1">
        <v>56</v>
      </c>
      <c r="O14" s="1">
        <v>21</v>
      </c>
      <c r="P14" s="1">
        <v>36</v>
      </c>
      <c r="Q14" s="1">
        <v>76</v>
      </c>
      <c r="R14" s="1">
        <v>12</v>
      </c>
      <c r="S14" s="1">
        <v>41</v>
      </c>
      <c r="T14" s="1">
        <v>81</v>
      </c>
      <c r="U14" s="1">
        <v>128</v>
      </c>
      <c r="V14" s="1">
        <v>59</v>
      </c>
      <c r="W14" s="1">
        <v>182</v>
      </c>
      <c r="X14" s="1">
        <v>138</v>
      </c>
      <c r="Y14" s="1">
        <v>40</v>
      </c>
      <c r="Z14" s="1">
        <v>32</v>
      </c>
      <c r="AA14" s="1">
        <v>67</v>
      </c>
      <c r="AB14" s="1">
        <v>42</v>
      </c>
      <c r="AC14" s="1">
        <v>17</v>
      </c>
      <c r="AD14" s="1">
        <v>118</v>
      </c>
      <c r="AE14" s="1">
        <v>12</v>
      </c>
      <c r="AF14" s="18">
        <f t="shared" si="0"/>
        <v>61.533333333333331</v>
      </c>
    </row>
    <row r="15" spans="1:32" x14ac:dyDescent="0.35">
      <c r="A15" s="1" t="s">
        <v>7</v>
      </c>
      <c r="B15" s="1">
        <v>29</v>
      </c>
      <c r="C15" s="1">
        <v>202</v>
      </c>
      <c r="D15" s="1">
        <v>20</v>
      </c>
      <c r="E15" s="1">
        <v>111</v>
      </c>
      <c r="F15" s="1">
        <v>116</v>
      </c>
      <c r="G15" s="1">
        <v>54</v>
      </c>
      <c r="H15" s="1">
        <v>23</v>
      </c>
      <c r="I15" s="1">
        <v>28</v>
      </c>
      <c r="J15" s="1">
        <v>25</v>
      </c>
      <c r="K15" s="1">
        <v>79</v>
      </c>
      <c r="L15" s="1">
        <v>25</v>
      </c>
      <c r="M15" s="1">
        <v>44</v>
      </c>
      <c r="N15" s="1">
        <v>14</v>
      </c>
      <c r="O15" s="1">
        <v>24</v>
      </c>
      <c r="P15" s="1">
        <v>46</v>
      </c>
      <c r="Q15" s="1">
        <v>34</v>
      </c>
      <c r="R15" s="1">
        <v>49</v>
      </c>
      <c r="S15" s="1">
        <v>80</v>
      </c>
      <c r="T15" s="1">
        <v>18</v>
      </c>
      <c r="U15" s="1">
        <v>107</v>
      </c>
      <c r="V15" s="1">
        <v>35</v>
      </c>
      <c r="W15" s="1">
        <v>45</v>
      </c>
      <c r="X15" s="1">
        <v>73</v>
      </c>
      <c r="Y15" s="1">
        <v>81</v>
      </c>
      <c r="Z15" s="1">
        <v>13</v>
      </c>
      <c r="AA15" s="1">
        <v>78</v>
      </c>
      <c r="AB15" s="1">
        <v>25</v>
      </c>
      <c r="AC15" s="1">
        <v>20</v>
      </c>
      <c r="AD15" s="1">
        <v>16</v>
      </c>
      <c r="AE15" s="1">
        <v>115</v>
      </c>
      <c r="AF15" s="18">
        <f t="shared" si="0"/>
        <v>54.3</v>
      </c>
    </row>
    <row r="16" spans="1:32" x14ac:dyDescent="0.35">
      <c r="A16" s="1" t="s">
        <v>8</v>
      </c>
      <c r="B16" s="1">
        <v>15</v>
      </c>
      <c r="C16" s="1">
        <v>40</v>
      </c>
      <c r="D16" s="1">
        <v>23</v>
      </c>
      <c r="E16" s="1">
        <v>20</v>
      </c>
      <c r="F16" s="1">
        <v>124</v>
      </c>
      <c r="G16" s="1">
        <v>36</v>
      </c>
      <c r="H16" s="1">
        <v>71</v>
      </c>
      <c r="I16" s="1">
        <v>49</v>
      </c>
      <c r="J16" s="1">
        <v>50</v>
      </c>
      <c r="K16" s="1">
        <v>101</v>
      </c>
      <c r="L16" s="1">
        <v>63</v>
      </c>
      <c r="M16" s="1">
        <v>21</v>
      </c>
      <c r="N16" s="1">
        <v>72</v>
      </c>
      <c r="O16" s="1">
        <v>81</v>
      </c>
      <c r="P16" s="1">
        <v>13</v>
      </c>
      <c r="Q16" s="1">
        <v>105</v>
      </c>
      <c r="R16" s="1">
        <v>130</v>
      </c>
      <c r="S16" s="1">
        <v>29</v>
      </c>
      <c r="T16" s="1">
        <v>60</v>
      </c>
      <c r="U16" s="1">
        <v>118</v>
      </c>
      <c r="V16" s="1">
        <v>27</v>
      </c>
      <c r="W16" s="1">
        <v>74</v>
      </c>
      <c r="X16" s="1">
        <v>159</v>
      </c>
      <c r="Y16" s="1">
        <v>54</v>
      </c>
      <c r="Z16" s="1">
        <v>78</v>
      </c>
      <c r="AA16" s="1">
        <v>54</v>
      </c>
      <c r="AB16" s="1">
        <v>49</v>
      </c>
      <c r="AC16" s="1">
        <v>130</v>
      </c>
      <c r="AD16" s="1">
        <v>40</v>
      </c>
      <c r="AE16" s="1">
        <v>115</v>
      </c>
      <c r="AF16" s="18">
        <f t="shared" si="0"/>
        <v>66.7</v>
      </c>
    </row>
    <row r="17" spans="1:32" x14ac:dyDescent="0.35">
      <c r="A17" s="1" t="s">
        <v>9</v>
      </c>
      <c r="B17" s="1">
        <v>29</v>
      </c>
      <c r="C17" s="1">
        <v>63</v>
      </c>
      <c r="D17" s="1">
        <v>71</v>
      </c>
      <c r="E17" s="1">
        <v>68</v>
      </c>
      <c r="F17" s="1">
        <v>41</v>
      </c>
      <c r="G17" s="1">
        <v>168</v>
      </c>
      <c r="H17" s="1">
        <v>35</v>
      </c>
      <c r="I17" s="1">
        <v>37</v>
      </c>
      <c r="J17" s="1">
        <v>33</v>
      </c>
      <c r="K17" s="1">
        <v>33</v>
      </c>
      <c r="L17" s="1">
        <v>18</v>
      </c>
      <c r="M17" s="1">
        <v>71</v>
      </c>
      <c r="N17" s="1">
        <v>13</v>
      </c>
      <c r="O17" s="1">
        <v>29</v>
      </c>
      <c r="P17" s="1">
        <v>42</v>
      </c>
      <c r="Q17" s="1">
        <v>29</v>
      </c>
      <c r="R17" s="1">
        <v>13</v>
      </c>
      <c r="S17" s="1">
        <v>99</v>
      </c>
      <c r="T17" s="1">
        <v>87</v>
      </c>
      <c r="U17" s="1">
        <v>52</v>
      </c>
      <c r="V17" s="1">
        <v>234</v>
      </c>
      <c r="W17" s="1">
        <v>82</v>
      </c>
      <c r="X17" s="1">
        <v>41</v>
      </c>
      <c r="Y17" s="1">
        <v>17</v>
      </c>
      <c r="Z17" s="1">
        <v>39</v>
      </c>
      <c r="AA17" s="1">
        <v>40</v>
      </c>
      <c r="AB17" s="1">
        <v>46</v>
      </c>
      <c r="AC17" s="1">
        <v>20</v>
      </c>
      <c r="AD17" s="1">
        <v>15</v>
      </c>
      <c r="AE17" s="1">
        <v>44</v>
      </c>
      <c r="AF17" s="18">
        <f t="shared" si="0"/>
        <v>53.633333333333333</v>
      </c>
    </row>
    <row r="18" spans="1:32" x14ac:dyDescent="0.35">
      <c r="A18" s="1" t="s">
        <v>213</v>
      </c>
      <c r="B18" s="1">
        <v>141</v>
      </c>
      <c r="C18" s="1">
        <v>32</v>
      </c>
      <c r="D18" s="1">
        <v>35</v>
      </c>
      <c r="E18" s="1">
        <v>25</v>
      </c>
      <c r="F18" s="1">
        <v>13</v>
      </c>
      <c r="G18" s="1">
        <v>96</v>
      </c>
      <c r="H18" s="1">
        <v>21</v>
      </c>
      <c r="I18" s="1">
        <v>13</v>
      </c>
      <c r="J18" s="1">
        <v>33</v>
      </c>
      <c r="K18" s="1">
        <v>68</v>
      </c>
      <c r="L18" s="1">
        <v>105</v>
      </c>
      <c r="M18" s="1">
        <v>30</v>
      </c>
      <c r="N18" s="1">
        <v>64</v>
      </c>
      <c r="O18" s="1">
        <v>40</v>
      </c>
      <c r="P18" s="1">
        <v>50</v>
      </c>
      <c r="Q18" s="1">
        <v>43</v>
      </c>
      <c r="R18" s="1">
        <v>63</v>
      </c>
      <c r="S18" s="1">
        <v>107</v>
      </c>
      <c r="T18" s="1">
        <v>81</v>
      </c>
      <c r="U18" s="1">
        <v>58</v>
      </c>
      <c r="V18" s="1">
        <v>38</v>
      </c>
      <c r="W18" s="1">
        <v>31</v>
      </c>
      <c r="X18" s="1">
        <v>131</v>
      </c>
      <c r="Y18" s="1">
        <v>20</v>
      </c>
      <c r="Z18" s="1">
        <v>158</v>
      </c>
      <c r="AA18" s="1">
        <v>79</v>
      </c>
      <c r="AB18" s="1">
        <v>64</v>
      </c>
      <c r="AC18" s="1">
        <v>25</v>
      </c>
      <c r="AD18" s="1">
        <v>110</v>
      </c>
      <c r="AE18" s="1">
        <v>24</v>
      </c>
      <c r="AF18" s="18">
        <f t="shared" si="0"/>
        <v>59.93333333333333</v>
      </c>
    </row>
    <row r="19" spans="1:32" x14ac:dyDescent="0.35">
      <c r="A19" s="1" t="s">
        <v>171</v>
      </c>
      <c r="B19" s="1">
        <v>28</v>
      </c>
      <c r="C19" s="1">
        <v>50</v>
      </c>
      <c r="D19" s="1">
        <v>34</v>
      </c>
      <c r="E19" s="1">
        <v>42</v>
      </c>
      <c r="F19" s="1">
        <v>86</v>
      </c>
      <c r="G19" s="1">
        <v>73</v>
      </c>
      <c r="H19" s="1">
        <v>32</v>
      </c>
      <c r="I19" s="1">
        <v>13</v>
      </c>
      <c r="J19" s="1">
        <v>33</v>
      </c>
      <c r="K19" s="1">
        <v>40</v>
      </c>
      <c r="L19" s="1">
        <v>15</v>
      </c>
      <c r="M19" s="1">
        <v>81</v>
      </c>
      <c r="N19" s="1">
        <v>32</v>
      </c>
      <c r="O19" s="1">
        <v>52</v>
      </c>
      <c r="P19" s="1">
        <v>41</v>
      </c>
      <c r="Q19" s="1">
        <v>31</v>
      </c>
      <c r="R19" s="1">
        <v>48</v>
      </c>
      <c r="S19" s="1">
        <v>45</v>
      </c>
      <c r="T19" s="1">
        <v>53</v>
      </c>
      <c r="U19" s="1">
        <v>107</v>
      </c>
      <c r="V19" s="1">
        <v>17</v>
      </c>
      <c r="W19" s="1">
        <v>56</v>
      </c>
      <c r="X19" s="1">
        <v>14</v>
      </c>
      <c r="Y19" s="1">
        <v>18</v>
      </c>
      <c r="Z19" s="1">
        <v>23</v>
      </c>
      <c r="AA19" s="1">
        <v>38</v>
      </c>
      <c r="AB19" s="1">
        <v>33</v>
      </c>
      <c r="AC19" s="1">
        <v>13</v>
      </c>
      <c r="AD19" s="1">
        <v>92</v>
      </c>
      <c r="AE19" s="1">
        <v>16</v>
      </c>
      <c r="AF19" s="18">
        <f t="shared" si="0"/>
        <v>41.866666666666667</v>
      </c>
    </row>
    <row r="20" spans="1:32" x14ac:dyDescent="0.35">
      <c r="A20" s="1" t="s">
        <v>214</v>
      </c>
      <c r="B20" s="1">
        <v>16</v>
      </c>
      <c r="C20" s="1">
        <v>99</v>
      </c>
      <c r="D20" s="1">
        <v>21</v>
      </c>
      <c r="E20" s="1">
        <v>35</v>
      </c>
      <c r="F20" s="1">
        <v>15</v>
      </c>
      <c r="G20" s="1">
        <v>37</v>
      </c>
      <c r="H20" s="1">
        <v>38</v>
      </c>
      <c r="I20" s="1">
        <v>28</v>
      </c>
      <c r="J20" s="1">
        <v>25</v>
      </c>
      <c r="K20" s="1">
        <v>51</v>
      </c>
      <c r="L20" s="1">
        <v>14</v>
      </c>
      <c r="M20" s="1">
        <v>14</v>
      </c>
      <c r="N20" s="1">
        <v>13</v>
      </c>
      <c r="O20" s="1">
        <v>18</v>
      </c>
      <c r="P20" s="1">
        <v>25</v>
      </c>
      <c r="Q20" s="1">
        <v>32</v>
      </c>
      <c r="R20" s="1">
        <v>19</v>
      </c>
      <c r="S20" s="1">
        <v>46</v>
      </c>
      <c r="T20" s="1">
        <v>14</v>
      </c>
      <c r="U20" s="1">
        <v>12</v>
      </c>
      <c r="V20" s="1">
        <v>53</v>
      </c>
      <c r="W20" s="1">
        <v>74</v>
      </c>
      <c r="X20" s="1">
        <v>45</v>
      </c>
      <c r="Y20" s="1">
        <v>14</v>
      </c>
      <c r="Z20" s="1">
        <v>74</v>
      </c>
      <c r="AA20" s="1">
        <v>18</v>
      </c>
      <c r="AB20" s="1">
        <v>31</v>
      </c>
      <c r="AC20" s="1">
        <v>24</v>
      </c>
      <c r="AD20" s="1">
        <v>61</v>
      </c>
      <c r="AE20" s="1">
        <v>24</v>
      </c>
      <c r="AF20" s="18">
        <f t="shared" si="0"/>
        <v>33</v>
      </c>
    </row>
    <row r="21" spans="1:32" x14ac:dyDescent="0.35">
      <c r="A21" s="1" t="s">
        <v>10</v>
      </c>
      <c r="B21" s="1">
        <v>33</v>
      </c>
      <c r="C21" s="1">
        <v>18</v>
      </c>
      <c r="D21" s="1">
        <v>122</v>
      </c>
      <c r="E21" s="1">
        <v>27</v>
      </c>
      <c r="F21" s="1">
        <v>12</v>
      </c>
      <c r="G21" s="1">
        <v>21</v>
      </c>
      <c r="H21" s="1">
        <v>15</v>
      </c>
      <c r="I21" s="1">
        <v>29</v>
      </c>
      <c r="J21" s="1">
        <v>47</v>
      </c>
      <c r="K21" s="1">
        <v>41</v>
      </c>
      <c r="L21" s="1">
        <v>13</v>
      </c>
      <c r="M21" s="1">
        <v>93</v>
      </c>
      <c r="N21" s="1">
        <v>253</v>
      </c>
      <c r="O21" s="1">
        <v>21</v>
      </c>
      <c r="P21" s="1">
        <v>40</v>
      </c>
      <c r="Q21" s="1">
        <v>55</v>
      </c>
      <c r="R21" s="1">
        <v>138</v>
      </c>
      <c r="S21" s="1">
        <v>28</v>
      </c>
      <c r="T21" s="1">
        <v>20</v>
      </c>
      <c r="U21" s="1">
        <v>103</v>
      </c>
      <c r="V21" s="1">
        <v>22</v>
      </c>
      <c r="W21" s="1">
        <v>74</v>
      </c>
      <c r="X21" s="1">
        <v>36</v>
      </c>
      <c r="Y21" s="1">
        <v>21</v>
      </c>
      <c r="Z21" s="1">
        <v>126</v>
      </c>
      <c r="AA21" s="1">
        <v>30</v>
      </c>
      <c r="AB21" s="1">
        <v>45</v>
      </c>
      <c r="AC21" s="1">
        <v>36</v>
      </c>
      <c r="AD21" s="1">
        <v>63</v>
      </c>
      <c r="AE21" s="1">
        <v>21</v>
      </c>
      <c r="AF21" s="18">
        <f t="shared" si="0"/>
        <v>53.43333333333333</v>
      </c>
    </row>
    <row r="22" spans="1:32" x14ac:dyDescent="0.35">
      <c r="A22" s="1" t="s">
        <v>11</v>
      </c>
      <c r="B22" s="1">
        <v>109</v>
      </c>
      <c r="C22" s="1">
        <v>164</v>
      </c>
      <c r="D22" s="1">
        <v>12</v>
      </c>
      <c r="E22" s="1">
        <v>83</v>
      </c>
      <c r="F22" s="1">
        <v>51</v>
      </c>
      <c r="G22" s="1">
        <v>69</v>
      </c>
      <c r="H22" s="1">
        <v>30</v>
      </c>
      <c r="I22" s="1">
        <v>101</v>
      </c>
      <c r="J22" s="1">
        <v>70</v>
      </c>
      <c r="K22" s="1">
        <v>32</v>
      </c>
      <c r="L22" s="1">
        <v>68</v>
      </c>
      <c r="M22" s="1">
        <v>40</v>
      </c>
      <c r="N22" s="1">
        <v>50</v>
      </c>
      <c r="O22" s="1">
        <v>66</v>
      </c>
      <c r="P22" s="1">
        <v>252</v>
      </c>
      <c r="Q22" s="1">
        <v>65</v>
      </c>
      <c r="R22" s="1">
        <v>47</v>
      </c>
      <c r="S22" s="1">
        <v>17</v>
      </c>
      <c r="T22" s="1">
        <v>24</v>
      </c>
      <c r="U22" s="1">
        <v>23</v>
      </c>
      <c r="V22" s="1">
        <v>46</v>
      </c>
      <c r="W22" s="1">
        <v>284</v>
      </c>
      <c r="X22" s="1">
        <v>60</v>
      </c>
      <c r="Y22" s="1">
        <v>68</v>
      </c>
      <c r="Z22" s="1">
        <v>39</v>
      </c>
      <c r="AA22" s="1">
        <v>121</v>
      </c>
      <c r="AB22" s="1">
        <v>32</v>
      </c>
      <c r="AC22" s="1">
        <v>16</v>
      </c>
      <c r="AD22" s="1">
        <v>15</v>
      </c>
      <c r="AE22" s="1">
        <v>37</v>
      </c>
      <c r="AF22" s="18">
        <f t="shared" si="0"/>
        <v>69.7</v>
      </c>
    </row>
    <row r="23" spans="1:32" x14ac:dyDescent="0.35">
      <c r="A23" s="1" t="s">
        <v>12</v>
      </c>
      <c r="B23" s="1">
        <v>41</v>
      </c>
      <c r="C23" s="1">
        <v>18</v>
      </c>
      <c r="D23" s="1">
        <v>115</v>
      </c>
      <c r="E23" s="1">
        <v>56</v>
      </c>
      <c r="F23" s="1">
        <v>24</v>
      </c>
      <c r="G23" s="1">
        <v>93</v>
      </c>
      <c r="H23" s="1">
        <v>64</v>
      </c>
      <c r="I23" s="1">
        <v>20</v>
      </c>
      <c r="J23" s="1">
        <v>37</v>
      </c>
      <c r="K23" s="1">
        <v>71</v>
      </c>
      <c r="L23" s="1">
        <v>36</v>
      </c>
      <c r="M23" s="1">
        <v>135</v>
      </c>
      <c r="N23" s="1">
        <v>28</v>
      </c>
      <c r="O23" s="1">
        <v>82</v>
      </c>
      <c r="P23" s="1">
        <v>29</v>
      </c>
      <c r="Q23" s="1">
        <v>70</v>
      </c>
      <c r="R23" s="1">
        <v>25</v>
      </c>
      <c r="S23" s="1">
        <v>33</v>
      </c>
      <c r="T23" s="1">
        <v>37</v>
      </c>
      <c r="U23" s="1">
        <v>56</v>
      </c>
      <c r="V23" s="1">
        <v>12</v>
      </c>
      <c r="W23" s="1">
        <v>46</v>
      </c>
      <c r="X23" s="1">
        <v>28</v>
      </c>
      <c r="Y23" s="1">
        <v>36</v>
      </c>
      <c r="Z23" s="1">
        <v>112</v>
      </c>
      <c r="AA23" s="1">
        <v>233</v>
      </c>
      <c r="AB23" s="1">
        <v>66</v>
      </c>
      <c r="AC23" s="1">
        <v>34</v>
      </c>
      <c r="AD23" s="1">
        <v>16</v>
      </c>
      <c r="AE23" s="1">
        <v>71</v>
      </c>
      <c r="AF23" s="18">
        <f t="shared" si="0"/>
        <v>57.466666666666669</v>
      </c>
    </row>
    <row r="24" spans="1:32" x14ac:dyDescent="0.35">
      <c r="A24" s="1" t="s">
        <v>13</v>
      </c>
      <c r="B24" s="1">
        <v>39</v>
      </c>
      <c r="C24" s="1">
        <v>16</v>
      </c>
      <c r="D24" s="1">
        <v>84</v>
      </c>
      <c r="E24" s="1">
        <v>56</v>
      </c>
      <c r="F24" s="1">
        <v>120</v>
      </c>
      <c r="G24" s="1">
        <v>77</v>
      </c>
      <c r="H24" s="1">
        <v>58</v>
      </c>
      <c r="I24" s="1">
        <v>12</v>
      </c>
      <c r="J24" s="1">
        <v>107</v>
      </c>
      <c r="K24" s="1">
        <v>91</v>
      </c>
      <c r="L24" s="1">
        <v>33</v>
      </c>
      <c r="M24" s="1">
        <v>63</v>
      </c>
      <c r="N24" s="1">
        <v>12</v>
      </c>
      <c r="O24" s="1">
        <v>33</v>
      </c>
      <c r="P24" s="1">
        <v>70</v>
      </c>
      <c r="Q24" s="1">
        <v>131</v>
      </c>
      <c r="R24" s="1">
        <v>29</v>
      </c>
      <c r="S24" s="1">
        <v>80</v>
      </c>
      <c r="T24" s="1">
        <v>74</v>
      </c>
      <c r="U24" s="1">
        <v>69</v>
      </c>
      <c r="V24" s="1">
        <v>92</v>
      </c>
      <c r="W24" s="1">
        <v>44</v>
      </c>
      <c r="X24" s="1">
        <v>174</v>
      </c>
      <c r="Y24" s="1">
        <v>45</v>
      </c>
      <c r="Z24" s="1">
        <v>73</v>
      </c>
      <c r="AA24" s="1">
        <v>166</v>
      </c>
      <c r="AB24" s="1">
        <v>80</v>
      </c>
      <c r="AC24" s="1">
        <v>42</v>
      </c>
      <c r="AD24" s="1">
        <v>20</v>
      </c>
      <c r="AE24" s="1">
        <v>44</v>
      </c>
      <c r="AF24" s="18">
        <f t="shared" si="0"/>
        <v>67.8</v>
      </c>
    </row>
    <row r="25" spans="1:32" x14ac:dyDescent="0.35">
      <c r="A25" s="1" t="s">
        <v>14</v>
      </c>
      <c r="B25" s="1">
        <v>63</v>
      </c>
      <c r="C25" s="1">
        <v>87</v>
      </c>
      <c r="D25" s="1">
        <v>142</v>
      </c>
      <c r="E25" s="1">
        <v>157</v>
      </c>
      <c r="F25" s="1">
        <v>96</v>
      </c>
      <c r="G25" s="1">
        <v>49</v>
      </c>
      <c r="H25" s="1">
        <v>43</v>
      </c>
      <c r="I25" s="1">
        <v>17</v>
      </c>
      <c r="J25" s="1">
        <v>38</v>
      </c>
      <c r="K25" s="1">
        <v>188</v>
      </c>
      <c r="L25" s="1">
        <v>45</v>
      </c>
      <c r="M25" s="1">
        <v>49</v>
      </c>
      <c r="N25" s="1">
        <v>177</v>
      </c>
      <c r="O25" s="1">
        <v>41</v>
      </c>
      <c r="P25" s="1">
        <v>51</v>
      </c>
      <c r="Q25" s="1">
        <v>58</v>
      </c>
      <c r="R25" s="1">
        <v>53</v>
      </c>
      <c r="S25" s="1">
        <v>23</v>
      </c>
      <c r="T25" s="1">
        <v>119</v>
      </c>
      <c r="U25" s="1">
        <v>47</v>
      </c>
      <c r="V25" s="1">
        <v>32</v>
      </c>
      <c r="W25" s="1">
        <v>15</v>
      </c>
      <c r="X25" s="1">
        <v>119</v>
      </c>
      <c r="Y25" s="1">
        <v>78</v>
      </c>
      <c r="Z25" s="1">
        <v>58</v>
      </c>
      <c r="AA25" s="1">
        <v>151</v>
      </c>
      <c r="AB25" s="1">
        <v>75</v>
      </c>
      <c r="AC25" s="1">
        <v>27</v>
      </c>
      <c r="AD25" s="1">
        <v>49</v>
      </c>
      <c r="AE25" s="1">
        <v>91</v>
      </c>
      <c r="AF25" s="18">
        <f t="shared" si="0"/>
        <v>74.599999999999994</v>
      </c>
    </row>
    <row r="26" spans="1:32" x14ac:dyDescent="0.35">
      <c r="A26" s="1" t="s">
        <v>15</v>
      </c>
      <c r="B26" s="1">
        <v>37</v>
      </c>
      <c r="C26" s="1">
        <v>33</v>
      </c>
      <c r="D26" s="1">
        <v>45</v>
      </c>
      <c r="E26" s="1">
        <v>62</v>
      </c>
      <c r="F26" s="1">
        <v>50</v>
      </c>
      <c r="G26" s="1">
        <v>46</v>
      </c>
      <c r="H26" s="1">
        <v>48</v>
      </c>
      <c r="I26" s="1">
        <v>95</v>
      </c>
      <c r="J26" s="1">
        <v>97</v>
      </c>
      <c r="K26" s="1">
        <v>14</v>
      </c>
      <c r="L26" s="1">
        <v>69</v>
      </c>
      <c r="M26" s="1">
        <v>140</v>
      </c>
      <c r="N26" s="1">
        <v>15</v>
      </c>
      <c r="O26" s="1">
        <v>142</v>
      </c>
      <c r="P26" s="1">
        <v>32</v>
      </c>
      <c r="Q26" s="1">
        <v>37</v>
      </c>
      <c r="R26" s="1">
        <v>54</v>
      </c>
      <c r="S26" s="1">
        <v>58</v>
      </c>
      <c r="T26" s="1">
        <v>18</v>
      </c>
      <c r="U26" s="1">
        <v>20</v>
      </c>
      <c r="V26" s="1">
        <v>20</v>
      </c>
      <c r="W26" s="1">
        <v>122</v>
      </c>
      <c r="X26" s="1">
        <v>52</v>
      </c>
      <c r="Y26" s="1">
        <v>154</v>
      </c>
      <c r="Z26" s="1">
        <v>67</v>
      </c>
      <c r="AA26" s="1">
        <v>62</v>
      </c>
      <c r="AB26" s="1">
        <v>16</v>
      </c>
      <c r="AC26" s="1">
        <v>135</v>
      </c>
      <c r="AD26" s="1">
        <v>17</v>
      </c>
      <c r="AE26" s="1">
        <v>125</v>
      </c>
      <c r="AF26" s="18">
        <f t="shared" si="0"/>
        <v>62.733333333333334</v>
      </c>
    </row>
    <row r="27" spans="1:32" x14ac:dyDescent="0.35">
      <c r="A27" s="1" t="s">
        <v>172</v>
      </c>
      <c r="B27" s="1">
        <v>51</v>
      </c>
      <c r="C27" s="1">
        <v>126</v>
      </c>
      <c r="D27" s="1">
        <v>65</v>
      </c>
      <c r="E27" s="1">
        <v>64</v>
      </c>
      <c r="F27" s="1">
        <v>74</v>
      </c>
      <c r="G27" s="1">
        <v>72</v>
      </c>
      <c r="H27" s="1">
        <v>81</v>
      </c>
      <c r="I27" s="1">
        <v>66</v>
      </c>
      <c r="J27" s="1">
        <v>23</v>
      </c>
      <c r="K27" s="1">
        <v>20</v>
      </c>
      <c r="L27" s="1">
        <v>108</v>
      </c>
      <c r="M27" s="1">
        <v>26</v>
      </c>
      <c r="N27" s="1">
        <v>54</v>
      </c>
      <c r="O27" s="1">
        <v>12</v>
      </c>
      <c r="P27" s="1">
        <v>37</v>
      </c>
      <c r="Q27" s="1">
        <v>13</v>
      </c>
      <c r="R27" s="1">
        <v>41</v>
      </c>
      <c r="S27" s="1">
        <v>32</v>
      </c>
      <c r="T27" s="1">
        <v>18</v>
      </c>
      <c r="U27" s="1">
        <v>55</v>
      </c>
      <c r="V27" s="1">
        <v>35</v>
      </c>
      <c r="W27" s="1">
        <v>39</v>
      </c>
      <c r="X27" s="1">
        <v>57</v>
      </c>
      <c r="Y27" s="1">
        <v>90</v>
      </c>
      <c r="Z27" s="1">
        <v>36</v>
      </c>
      <c r="AA27" s="1">
        <v>74</v>
      </c>
      <c r="AB27" s="1">
        <v>30</v>
      </c>
      <c r="AC27" s="1">
        <v>25</v>
      </c>
      <c r="AD27" s="1">
        <v>23</v>
      </c>
      <c r="AE27" s="1">
        <v>12</v>
      </c>
      <c r="AF27" s="18">
        <f t="shared" si="0"/>
        <v>48.633333333333333</v>
      </c>
    </row>
    <row r="28" spans="1:32" x14ac:dyDescent="0.35">
      <c r="A28" s="1" t="s">
        <v>16</v>
      </c>
      <c r="B28" s="1">
        <v>27</v>
      </c>
      <c r="C28" s="1">
        <v>88</v>
      </c>
      <c r="D28" s="1">
        <v>169</v>
      </c>
      <c r="E28" s="1">
        <v>67</v>
      </c>
      <c r="F28" s="1">
        <v>58</v>
      </c>
      <c r="G28" s="1">
        <v>12</v>
      </c>
      <c r="H28" s="1">
        <v>48</v>
      </c>
      <c r="I28" s="1">
        <v>71</v>
      </c>
      <c r="J28" s="1">
        <v>97</v>
      </c>
      <c r="K28" s="1">
        <v>55</v>
      </c>
      <c r="L28" s="1">
        <v>76</v>
      </c>
      <c r="M28" s="1">
        <v>364</v>
      </c>
      <c r="N28" s="1">
        <v>93</v>
      </c>
      <c r="O28" s="1">
        <v>63</v>
      </c>
      <c r="P28" s="1">
        <v>25</v>
      </c>
      <c r="Q28" s="1">
        <v>115</v>
      </c>
      <c r="R28" s="1">
        <v>54</v>
      </c>
      <c r="S28" s="1">
        <v>21</v>
      </c>
      <c r="T28" s="1">
        <v>76</v>
      </c>
      <c r="U28" s="1">
        <v>155</v>
      </c>
      <c r="V28" s="1">
        <v>42</v>
      </c>
      <c r="W28" s="1">
        <v>101</v>
      </c>
      <c r="X28" s="1">
        <v>43</v>
      </c>
      <c r="Y28" s="1">
        <v>38</v>
      </c>
      <c r="Z28" s="1">
        <v>15</v>
      </c>
      <c r="AA28" s="1">
        <v>152</v>
      </c>
      <c r="AB28" s="1">
        <v>33</v>
      </c>
      <c r="AC28" s="1">
        <v>59</v>
      </c>
      <c r="AD28" s="1">
        <v>13</v>
      </c>
      <c r="AE28" s="1">
        <v>12</v>
      </c>
      <c r="AF28" s="18">
        <f t="shared" si="0"/>
        <v>74.733333333333334</v>
      </c>
    </row>
    <row r="29" spans="1:32" x14ac:dyDescent="0.35">
      <c r="A29" s="1" t="s">
        <v>195</v>
      </c>
      <c r="B29" s="1">
        <v>99</v>
      </c>
      <c r="C29" s="1">
        <v>53</v>
      </c>
      <c r="D29" s="1">
        <v>60</v>
      </c>
      <c r="E29" s="1">
        <v>67</v>
      </c>
      <c r="F29" s="1">
        <v>57</v>
      </c>
      <c r="G29" s="1">
        <v>79</v>
      </c>
      <c r="H29" s="1">
        <v>33</v>
      </c>
      <c r="I29" s="1">
        <v>163</v>
      </c>
      <c r="J29" s="1">
        <v>27</v>
      </c>
      <c r="K29" s="1">
        <v>83</v>
      </c>
      <c r="L29" s="1">
        <v>15</v>
      </c>
      <c r="M29" s="1">
        <v>77</v>
      </c>
      <c r="N29" s="1">
        <v>30</v>
      </c>
      <c r="O29" s="1">
        <v>76</v>
      </c>
      <c r="P29" s="1">
        <v>31</v>
      </c>
      <c r="Q29" s="1">
        <v>35</v>
      </c>
      <c r="R29" s="1">
        <v>40</v>
      </c>
      <c r="S29" s="1">
        <v>155</v>
      </c>
      <c r="T29" s="1">
        <v>30</v>
      </c>
      <c r="U29" s="1">
        <v>58</v>
      </c>
      <c r="V29" s="1">
        <v>143</v>
      </c>
      <c r="W29" s="1">
        <v>35</v>
      </c>
      <c r="X29" s="1">
        <v>120</v>
      </c>
      <c r="Y29" s="1">
        <v>62</v>
      </c>
      <c r="Z29" s="1">
        <v>63</v>
      </c>
      <c r="AA29" s="1">
        <v>28</v>
      </c>
      <c r="AB29" s="1">
        <v>42</v>
      </c>
      <c r="AC29" s="1">
        <v>60</v>
      </c>
      <c r="AD29" s="1">
        <v>12</v>
      </c>
      <c r="AE29" s="1">
        <v>17</v>
      </c>
      <c r="AF29" s="18">
        <f t="shared" si="0"/>
        <v>61.666666666666664</v>
      </c>
    </row>
    <row r="30" spans="1:32" x14ac:dyDescent="0.35">
      <c r="A30" s="1" t="s">
        <v>173</v>
      </c>
      <c r="B30" s="1">
        <v>134</v>
      </c>
      <c r="C30" s="1">
        <v>26</v>
      </c>
      <c r="D30" s="1">
        <v>64</v>
      </c>
      <c r="E30" s="1">
        <v>186</v>
      </c>
      <c r="F30" s="1">
        <v>54</v>
      </c>
      <c r="G30" s="1">
        <v>60</v>
      </c>
      <c r="H30" s="1">
        <v>27</v>
      </c>
      <c r="I30" s="1">
        <v>14</v>
      </c>
      <c r="J30" s="1">
        <v>17</v>
      </c>
      <c r="K30" s="1">
        <v>78</v>
      </c>
      <c r="L30" s="1">
        <v>55</v>
      </c>
      <c r="M30" s="1">
        <v>33</v>
      </c>
      <c r="N30" s="1">
        <v>13</v>
      </c>
      <c r="O30" s="1">
        <v>233</v>
      </c>
      <c r="P30" s="1">
        <v>108</v>
      </c>
      <c r="Q30" s="1">
        <v>24</v>
      </c>
      <c r="R30" s="1">
        <v>30</v>
      </c>
      <c r="S30" s="1">
        <v>120</v>
      </c>
      <c r="T30" s="1">
        <v>16</v>
      </c>
      <c r="U30" s="1">
        <v>72</v>
      </c>
      <c r="V30" s="1">
        <v>41</v>
      </c>
      <c r="W30" s="1">
        <v>76</v>
      </c>
      <c r="X30" s="1">
        <v>43</v>
      </c>
      <c r="Y30" s="1">
        <v>44</v>
      </c>
      <c r="Z30" s="1">
        <v>47</v>
      </c>
      <c r="AA30" s="1">
        <v>72</v>
      </c>
      <c r="AB30" s="1">
        <v>132</v>
      </c>
      <c r="AC30" s="1">
        <v>190</v>
      </c>
      <c r="AD30" s="1">
        <v>36</v>
      </c>
      <c r="AE30" s="1">
        <v>76</v>
      </c>
      <c r="AF30" s="18">
        <f t="shared" si="0"/>
        <v>70.7</v>
      </c>
    </row>
    <row r="31" spans="1:32" x14ac:dyDescent="0.35">
      <c r="A31" s="1" t="s">
        <v>17</v>
      </c>
      <c r="B31" s="1">
        <v>40</v>
      </c>
      <c r="C31" s="1">
        <v>111</v>
      </c>
      <c r="D31" s="1">
        <v>14</v>
      </c>
      <c r="E31" s="1">
        <v>46</v>
      </c>
      <c r="F31" s="1">
        <v>149</v>
      </c>
      <c r="G31" s="1">
        <v>18</v>
      </c>
      <c r="H31" s="1">
        <v>92</v>
      </c>
      <c r="I31" s="1">
        <v>37</v>
      </c>
      <c r="J31" s="1">
        <v>273</v>
      </c>
      <c r="K31" s="1">
        <v>43</v>
      </c>
      <c r="L31" s="1">
        <v>16</v>
      </c>
      <c r="M31" s="1">
        <v>45</v>
      </c>
      <c r="N31" s="1">
        <v>26</v>
      </c>
      <c r="O31" s="1">
        <v>26</v>
      </c>
      <c r="P31" s="1">
        <v>31</v>
      </c>
      <c r="Q31" s="1">
        <v>12</v>
      </c>
      <c r="R31" s="1">
        <v>127</v>
      </c>
      <c r="S31" s="1">
        <v>33</v>
      </c>
      <c r="T31" s="1">
        <v>108</v>
      </c>
      <c r="U31" s="1">
        <v>30</v>
      </c>
      <c r="V31" s="1">
        <v>30</v>
      </c>
      <c r="W31" s="1">
        <v>41</v>
      </c>
      <c r="X31" s="1">
        <v>45</v>
      </c>
      <c r="Y31" s="1">
        <v>65</v>
      </c>
      <c r="Z31" s="1">
        <v>122</v>
      </c>
      <c r="AA31" s="1">
        <v>47</v>
      </c>
      <c r="AB31" s="1">
        <v>162</v>
      </c>
      <c r="AC31" s="1">
        <v>38</v>
      </c>
      <c r="AD31" s="1">
        <v>25</v>
      </c>
      <c r="AE31" s="1">
        <v>35</v>
      </c>
      <c r="AF31" s="18">
        <f t="shared" si="0"/>
        <v>62.9</v>
      </c>
    </row>
    <row r="32" spans="1:32" x14ac:dyDescent="0.35">
      <c r="A32" s="1" t="s">
        <v>18</v>
      </c>
      <c r="B32" s="1">
        <v>19</v>
      </c>
      <c r="C32" s="1">
        <v>90</v>
      </c>
      <c r="D32" s="1">
        <v>12</v>
      </c>
      <c r="E32" s="1">
        <v>140</v>
      </c>
      <c r="F32" s="1">
        <v>57</v>
      </c>
      <c r="G32" s="1">
        <v>86</v>
      </c>
      <c r="H32" s="1">
        <v>124</v>
      </c>
      <c r="I32" s="1">
        <v>14</v>
      </c>
      <c r="J32" s="1">
        <v>27</v>
      </c>
      <c r="K32" s="1">
        <v>38</v>
      </c>
      <c r="L32" s="1">
        <v>118</v>
      </c>
      <c r="M32" s="1">
        <v>55</v>
      </c>
      <c r="N32" s="1">
        <v>103</v>
      </c>
      <c r="O32" s="1">
        <v>108</v>
      </c>
      <c r="P32" s="1">
        <v>58</v>
      </c>
      <c r="Q32" s="1">
        <v>62</v>
      </c>
      <c r="R32" s="1">
        <v>23</v>
      </c>
      <c r="S32" s="1">
        <v>36</v>
      </c>
      <c r="T32" s="1">
        <v>53</v>
      </c>
      <c r="U32" s="1">
        <v>31</v>
      </c>
      <c r="V32" s="1">
        <v>267</v>
      </c>
      <c r="W32" s="1">
        <v>23</v>
      </c>
      <c r="X32" s="1">
        <v>35</v>
      </c>
      <c r="Y32" s="1">
        <v>15</v>
      </c>
      <c r="Z32" s="1">
        <v>31</v>
      </c>
      <c r="AA32" s="1">
        <v>69</v>
      </c>
      <c r="AB32" s="1">
        <v>27</v>
      </c>
      <c r="AC32" s="1">
        <v>90</v>
      </c>
      <c r="AD32" s="1">
        <v>63</v>
      </c>
      <c r="AE32" s="1">
        <v>85</v>
      </c>
      <c r="AF32" s="18">
        <f t="shared" si="0"/>
        <v>65.3</v>
      </c>
    </row>
    <row r="33" spans="1:32" x14ac:dyDescent="0.35">
      <c r="A33" s="1" t="s">
        <v>19</v>
      </c>
      <c r="B33" s="1">
        <v>54</v>
      </c>
      <c r="C33" s="1">
        <v>21</v>
      </c>
      <c r="D33" s="1">
        <v>145</v>
      </c>
      <c r="E33" s="1">
        <v>43</v>
      </c>
      <c r="F33" s="1">
        <v>41</v>
      </c>
      <c r="G33" s="1">
        <v>34</v>
      </c>
      <c r="H33" s="1">
        <v>63</v>
      </c>
      <c r="I33" s="1">
        <v>16</v>
      </c>
      <c r="J33" s="1">
        <v>232</v>
      </c>
      <c r="K33" s="1">
        <v>29</v>
      </c>
      <c r="L33" s="1">
        <v>81</v>
      </c>
      <c r="M33" s="1">
        <v>31</v>
      </c>
      <c r="N33" s="1">
        <v>51</v>
      </c>
      <c r="O33" s="1">
        <v>237</v>
      </c>
      <c r="P33" s="1">
        <v>71</v>
      </c>
      <c r="Q33" s="1">
        <v>55</v>
      </c>
      <c r="R33" s="1">
        <v>101</v>
      </c>
      <c r="S33" s="1">
        <v>65</v>
      </c>
      <c r="T33" s="1">
        <v>132</v>
      </c>
      <c r="U33" s="1">
        <v>35</v>
      </c>
      <c r="V33" s="1">
        <v>37</v>
      </c>
      <c r="W33" s="1">
        <v>54</v>
      </c>
      <c r="X33" s="1">
        <v>50</v>
      </c>
      <c r="Y33" s="1">
        <v>33</v>
      </c>
      <c r="Z33" s="1">
        <v>44</v>
      </c>
      <c r="AA33" s="1">
        <v>28</v>
      </c>
      <c r="AB33" s="1">
        <v>15</v>
      </c>
      <c r="AC33" s="1">
        <v>69</v>
      </c>
      <c r="AD33" s="1">
        <v>58</v>
      </c>
      <c r="AE33" s="1">
        <v>14</v>
      </c>
      <c r="AF33" s="18">
        <f t="shared" si="0"/>
        <v>64.63333333333334</v>
      </c>
    </row>
    <row r="34" spans="1:32" x14ac:dyDescent="0.35">
      <c r="A34" s="1" t="s">
        <v>174</v>
      </c>
      <c r="B34" s="1">
        <v>47</v>
      </c>
      <c r="C34" s="1">
        <v>27</v>
      </c>
      <c r="D34" s="1">
        <v>60</v>
      </c>
      <c r="E34" s="1">
        <v>45</v>
      </c>
      <c r="F34" s="1">
        <v>34</v>
      </c>
      <c r="G34" s="1">
        <v>16</v>
      </c>
      <c r="H34" s="1">
        <v>14</v>
      </c>
      <c r="I34" s="1">
        <v>13</v>
      </c>
      <c r="J34" s="1">
        <v>33</v>
      </c>
      <c r="K34" s="1">
        <v>46</v>
      </c>
      <c r="L34" s="1">
        <v>45</v>
      </c>
      <c r="M34" s="1">
        <v>57</v>
      </c>
      <c r="N34" s="1">
        <v>95</v>
      </c>
      <c r="O34" s="1">
        <v>15</v>
      </c>
      <c r="P34" s="1">
        <v>19</v>
      </c>
      <c r="Q34" s="1">
        <v>14</v>
      </c>
      <c r="R34" s="1">
        <v>59</v>
      </c>
      <c r="S34" s="1">
        <v>20</v>
      </c>
      <c r="T34" s="1">
        <v>12</v>
      </c>
      <c r="U34" s="1">
        <v>23</v>
      </c>
      <c r="V34" s="1">
        <v>33</v>
      </c>
      <c r="W34" s="1">
        <v>21</v>
      </c>
      <c r="X34" s="1">
        <v>81</v>
      </c>
      <c r="Y34" s="1">
        <v>14</v>
      </c>
      <c r="Z34" s="1">
        <v>20</v>
      </c>
      <c r="AA34" s="1">
        <v>25</v>
      </c>
      <c r="AB34" s="1">
        <v>12</v>
      </c>
      <c r="AC34" s="1">
        <v>16</v>
      </c>
      <c r="AD34" s="1">
        <v>36</v>
      </c>
      <c r="AE34" s="1">
        <v>22</v>
      </c>
      <c r="AF34" s="18">
        <f t="shared" si="0"/>
        <v>32.466666666666669</v>
      </c>
    </row>
    <row r="35" spans="1:32" x14ac:dyDescent="0.35">
      <c r="A35" s="1" t="s">
        <v>20</v>
      </c>
      <c r="B35" s="1">
        <v>15</v>
      </c>
      <c r="C35" s="1">
        <v>149</v>
      </c>
      <c r="D35" s="1">
        <v>12</v>
      </c>
      <c r="E35" s="1">
        <v>34</v>
      </c>
      <c r="F35" s="1">
        <v>22</v>
      </c>
      <c r="G35" s="1">
        <v>42</v>
      </c>
      <c r="H35" s="1">
        <v>23</v>
      </c>
      <c r="I35" s="1">
        <v>56</v>
      </c>
      <c r="J35" s="1">
        <v>25</v>
      </c>
      <c r="K35" s="1">
        <v>45</v>
      </c>
      <c r="L35" s="1">
        <v>18</v>
      </c>
      <c r="M35" s="1">
        <v>27</v>
      </c>
      <c r="N35" s="1">
        <v>76</v>
      </c>
      <c r="O35" s="1">
        <v>81</v>
      </c>
      <c r="P35" s="1">
        <v>42</v>
      </c>
      <c r="Q35" s="1">
        <v>19</v>
      </c>
      <c r="R35" s="1">
        <v>28</v>
      </c>
      <c r="S35" s="1">
        <v>36</v>
      </c>
      <c r="T35" s="1">
        <v>30</v>
      </c>
      <c r="U35" s="1">
        <v>67</v>
      </c>
      <c r="V35" s="1">
        <v>100</v>
      </c>
      <c r="W35" s="1">
        <v>19</v>
      </c>
      <c r="X35" s="1">
        <v>12</v>
      </c>
      <c r="Y35" s="1">
        <v>23</v>
      </c>
      <c r="Z35" s="1">
        <v>202</v>
      </c>
      <c r="AA35" s="1">
        <v>157</v>
      </c>
      <c r="AB35" s="1">
        <v>116</v>
      </c>
      <c r="AC35" s="1">
        <v>57</v>
      </c>
      <c r="AD35" s="1">
        <v>33</v>
      </c>
      <c r="AE35" s="1">
        <v>15</v>
      </c>
      <c r="AF35" s="18">
        <f t="shared" si="0"/>
        <v>52.7</v>
      </c>
    </row>
    <row r="36" spans="1:32" x14ac:dyDescent="0.35">
      <c r="A36" s="1" t="s">
        <v>21</v>
      </c>
      <c r="B36" s="1">
        <v>130</v>
      </c>
      <c r="C36" s="1">
        <v>18</v>
      </c>
      <c r="D36" s="1">
        <v>89</v>
      </c>
      <c r="E36" s="1">
        <v>12</v>
      </c>
      <c r="F36" s="1">
        <v>105</v>
      </c>
      <c r="G36" s="1">
        <v>46</v>
      </c>
      <c r="H36" s="1">
        <v>51</v>
      </c>
      <c r="I36" s="1">
        <v>77</v>
      </c>
      <c r="J36" s="1">
        <v>63</v>
      </c>
      <c r="K36" s="1">
        <v>13</v>
      </c>
      <c r="L36" s="1">
        <v>36</v>
      </c>
      <c r="M36" s="1">
        <v>83</v>
      </c>
      <c r="N36" s="1">
        <v>53</v>
      </c>
      <c r="O36" s="1">
        <v>105</v>
      </c>
      <c r="P36" s="1">
        <v>43</v>
      </c>
      <c r="Q36" s="1">
        <v>20</v>
      </c>
      <c r="R36" s="1">
        <v>56</v>
      </c>
      <c r="S36" s="1">
        <v>26</v>
      </c>
      <c r="T36" s="1">
        <v>12</v>
      </c>
      <c r="U36" s="1">
        <v>58</v>
      </c>
      <c r="V36" s="1">
        <v>12</v>
      </c>
      <c r="W36" s="1">
        <v>38</v>
      </c>
      <c r="X36" s="1">
        <v>63</v>
      </c>
      <c r="Y36" s="1">
        <v>23</v>
      </c>
      <c r="Z36" s="1">
        <v>31</v>
      </c>
      <c r="AA36" s="1">
        <v>21</v>
      </c>
      <c r="AB36" s="1">
        <v>32</v>
      </c>
      <c r="AC36" s="1">
        <v>19</v>
      </c>
      <c r="AD36" s="1">
        <v>18</v>
      </c>
      <c r="AE36" s="1">
        <v>21</v>
      </c>
      <c r="AF36" s="18">
        <f t="shared" si="0"/>
        <v>45.8</v>
      </c>
    </row>
    <row r="37" spans="1:32" x14ac:dyDescent="0.35">
      <c r="A37" s="1" t="s">
        <v>22</v>
      </c>
      <c r="B37" s="1">
        <v>92</v>
      </c>
      <c r="C37" s="1">
        <v>312</v>
      </c>
      <c r="D37" s="1">
        <v>26</v>
      </c>
      <c r="E37" s="1">
        <v>93</v>
      </c>
      <c r="F37" s="1">
        <v>65</v>
      </c>
      <c r="G37" s="1">
        <v>83</v>
      </c>
      <c r="H37" s="1">
        <v>181</v>
      </c>
      <c r="I37" s="1">
        <v>137</v>
      </c>
      <c r="J37" s="1">
        <v>30</v>
      </c>
      <c r="K37" s="1">
        <v>12</v>
      </c>
      <c r="L37" s="1">
        <v>53</v>
      </c>
      <c r="M37" s="1">
        <v>32</v>
      </c>
      <c r="N37" s="1">
        <v>27</v>
      </c>
      <c r="O37" s="1">
        <v>141</v>
      </c>
      <c r="P37" s="1">
        <v>56</v>
      </c>
      <c r="Q37" s="1">
        <v>107</v>
      </c>
      <c r="R37" s="1">
        <v>26</v>
      </c>
      <c r="S37" s="1">
        <v>130</v>
      </c>
      <c r="T37" s="1">
        <v>158</v>
      </c>
      <c r="U37" s="1">
        <v>25</v>
      </c>
      <c r="V37" s="1">
        <v>31</v>
      </c>
      <c r="W37" s="1">
        <v>48</v>
      </c>
      <c r="X37" s="1">
        <v>61</v>
      </c>
      <c r="Y37" s="1">
        <v>43</v>
      </c>
      <c r="Z37" s="1">
        <v>21</v>
      </c>
      <c r="AA37" s="1">
        <v>40</v>
      </c>
      <c r="AB37" s="1">
        <v>63</v>
      </c>
      <c r="AC37" s="1">
        <v>83</v>
      </c>
      <c r="AD37" s="1">
        <v>43</v>
      </c>
      <c r="AE37" s="1">
        <v>83</v>
      </c>
      <c r="AF37" s="18">
        <f t="shared" si="0"/>
        <v>76.733333333333334</v>
      </c>
    </row>
    <row r="38" spans="1:32" x14ac:dyDescent="0.35">
      <c r="A38" s="1" t="s">
        <v>23</v>
      </c>
      <c r="B38" s="1">
        <v>26</v>
      </c>
      <c r="C38" s="1">
        <v>25</v>
      </c>
      <c r="D38" s="1">
        <v>138</v>
      </c>
      <c r="E38" s="1">
        <v>48</v>
      </c>
      <c r="F38" s="1">
        <v>99</v>
      </c>
      <c r="G38" s="1">
        <v>32</v>
      </c>
      <c r="H38" s="1">
        <v>167</v>
      </c>
      <c r="I38" s="1">
        <v>27</v>
      </c>
      <c r="J38" s="1">
        <v>76</v>
      </c>
      <c r="K38" s="1">
        <v>26</v>
      </c>
      <c r="L38" s="1">
        <v>41</v>
      </c>
      <c r="M38" s="1">
        <v>12</v>
      </c>
      <c r="N38" s="1">
        <v>18</v>
      </c>
      <c r="O38" s="1">
        <v>34</v>
      </c>
      <c r="P38" s="1">
        <v>112</v>
      </c>
      <c r="Q38" s="1">
        <v>54</v>
      </c>
      <c r="R38" s="1">
        <v>109</v>
      </c>
      <c r="S38" s="1">
        <v>77</v>
      </c>
      <c r="T38" s="1">
        <v>141</v>
      </c>
      <c r="U38" s="1">
        <v>19</v>
      </c>
      <c r="V38" s="1">
        <v>14</v>
      </c>
      <c r="W38" s="1">
        <v>72</v>
      </c>
      <c r="X38" s="1">
        <v>32</v>
      </c>
      <c r="Y38" s="1">
        <v>87</v>
      </c>
      <c r="Z38" s="1">
        <v>20</v>
      </c>
      <c r="AA38" s="1">
        <v>39</v>
      </c>
      <c r="AB38" s="1">
        <v>16</v>
      </c>
      <c r="AC38" s="1">
        <v>15</v>
      </c>
      <c r="AD38" s="1">
        <v>99</v>
      </c>
      <c r="AE38" s="1">
        <v>24</v>
      </c>
      <c r="AF38" s="18">
        <f t="shared" si="0"/>
        <v>56.633333333333333</v>
      </c>
    </row>
    <row r="39" spans="1:32" x14ac:dyDescent="0.35">
      <c r="A39" s="1" t="s">
        <v>24</v>
      </c>
      <c r="B39" s="1">
        <v>43</v>
      </c>
      <c r="C39" s="1">
        <v>30</v>
      </c>
      <c r="D39" s="1">
        <v>27</v>
      </c>
      <c r="E39" s="1">
        <v>49</v>
      </c>
      <c r="F39" s="1">
        <v>36</v>
      </c>
      <c r="G39" s="1">
        <v>24</v>
      </c>
      <c r="H39" s="1">
        <v>31</v>
      </c>
      <c r="I39" s="1">
        <v>27</v>
      </c>
      <c r="J39" s="1">
        <v>92</v>
      </c>
      <c r="K39" s="1">
        <v>98</v>
      </c>
      <c r="L39" s="1">
        <v>38</v>
      </c>
      <c r="M39" s="1">
        <v>12</v>
      </c>
      <c r="N39" s="1">
        <v>73</v>
      </c>
      <c r="O39" s="1">
        <v>75</v>
      </c>
      <c r="P39" s="1">
        <v>105</v>
      </c>
      <c r="Q39" s="1">
        <v>24</v>
      </c>
      <c r="R39" s="1">
        <v>23</v>
      </c>
      <c r="S39" s="1">
        <v>35</v>
      </c>
      <c r="T39" s="1">
        <v>119</v>
      </c>
      <c r="U39" s="1">
        <v>37</v>
      </c>
      <c r="V39" s="1">
        <v>74</v>
      </c>
      <c r="W39" s="1">
        <v>13</v>
      </c>
      <c r="X39" s="1">
        <v>13</v>
      </c>
      <c r="Y39" s="1">
        <v>35</v>
      </c>
      <c r="Z39" s="1">
        <v>22</v>
      </c>
      <c r="AA39" s="1">
        <v>62</v>
      </c>
      <c r="AB39" s="1">
        <v>87</v>
      </c>
      <c r="AC39" s="1">
        <v>39</v>
      </c>
      <c r="AD39" s="1">
        <v>54</v>
      </c>
      <c r="AE39" s="1">
        <v>15</v>
      </c>
      <c r="AF39" s="18">
        <f t="shared" si="0"/>
        <v>47.06666666666667</v>
      </c>
    </row>
    <row r="40" spans="1:32" x14ac:dyDescent="0.35">
      <c r="A40" s="1" t="s">
        <v>25</v>
      </c>
      <c r="B40" s="1">
        <v>32</v>
      </c>
      <c r="C40" s="1">
        <v>18</v>
      </c>
      <c r="D40" s="1">
        <v>92</v>
      </c>
      <c r="E40" s="1">
        <v>15</v>
      </c>
      <c r="F40" s="1">
        <v>16</v>
      </c>
      <c r="G40" s="1">
        <v>12</v>
      </c>
      <c r="H40" s="1">
        <v>28</v>
      </c>
      <c r="I40" s="1">
        <v>44</v>
      </c>
      <c r="J40" s="1">
        <v>50</v>
      </c>
      <c r="K40" s="1">
        <v>21</v>
      </c>
      <c r="L40" s="1">
        <v>84</v>
      </c>
      <c r="M40" s="1">
        <v>124</v>
      </c>
      <c r="N40" s="1">
        <v>12</v>
      </c>
      <c r="O40" s="1">
        <v>37</v>
      </c>
      <c r="P40" s="1">
        <v>60</v>
      </c>
      <c r="Q40" s="1">
        <v>96</v>
      </c>
      <c r="R40" s="1">
        <v>155</v>
      </c>
      <c r="S40" s="1">
        <v>48</v>
      </c>
      <c r="T40" s="1">
        <v>74</v>
      </c>
      <c r="U40" s="1">
        <v>116</v>
      </c>
      <c r="V40" s="1">
        <v>18</v>
      </c>
      <c r="W40" s="1">
        <v>13</v>
      </c>
      <c r="X40" s="1">
        <v>54</v>
      </c>
      <c r="Y40" s="1">
        <v>56</v>
      </c>
      <c r="Z40" s="1">
        <v>110</v>
      </c>
      <c r="AA40" s="1">
        <v>104</v>
      </c>
      <c r="AB40" s="1">
        <v>73</v>
      </c>
      <c r="AC40" s="1">
        <v>59</v>
      </c>
      <c r="AD40" s="1">
        <v>78</v>
      </c>
      <c r="AE40" s="1">
        <v>35</v>
      </c>
      <c r="AF40" s="18">
        <f t="shared" si="0"/>
        <v>57.8</v>
      </c>
    </row>
    <row r="41" spans="1:32" x14ac:dyDescent="0.35">
      <c r="A41" s="1" t="s">
        <v>26</v>
      </c>
      <c r="B41" s="1">
        <v>109</v>
      </c>
      <c r="C41" s="1">
        <v>30</v>
      </c>
      <c r="D41" s="1">
        <v>16</v>
      </c>
      <c r="E41" s="1">
        <v>27</v>
      </c>
      <c r="F41" s="1">
        <v>56</v>
      </c>
      <c r="G41" s="1">
        <v>13</v>
      </c>
      <c r="H41" s="1">
        <v>101</v>
      </c>
      <c r="I41" s="1">
        <v>19</v>
      </c>
      <c r="J41" s="1">
        <v>29</v>
      </c>
      <c r="K41" s="1">
        <v>213</v>
      </c>
      <c r="L41" s="1">
        <v>16</v>
      </c>
      <c r="M41" s="1">
        <v>16</v>
      </c>
      <c r="N41" s="1">
        <v>14</v>
      </c>
      <c r="O41" s="1">
        <v>16</v>
      </c>
      <c r="P41" s="1">
        <v>70</v>
      </c>
      <c r="Q41" s="1">
        <v>18</v>
      </c>
      <c r="R41" s="1">
        <v>129</v>
      </c>
      <c r="S41" s="1">
        <v>12</v>
      </c>
      <c r="T41" s="1">
        <v>60</v>
      </c>
      <c r="U41" s="1">
        <v>26</v>
      </c>
      <c r="V41" s="1">
        <v>39</v>
      </c>
      <c r="W41" s="1">
        <v>45</v>
      </c>
      <c r="X41" s="1">
        <v>20</v>
      </c>
      <c r="Y41" s="1">
        <v>38</v>
      </c>
      <c r="Z41" s="1">
        <v>80</v>
      </c>
      <c r="AA41" s="1">
        <v>86</v>
      </c>
      <c r="AB41" s="1">
        <v>31</v>
      </c>
      <c r="AC41" s="1">
        <v>26</v>
      </c>
      <c r="AD41" s="1">
        <v>46</v>
      </c>
      <c r="AE41" s="1">
        <v>20</v>
      </c>
      <c r="AF41" s="18">
        <f t="shared" si="0"/>
        <v>47.366666666666667</v>
      </c>
    </row>
    <row r="42" spans="1:32" x14ac:dyDescent="0.35">
      <c r="A42" s="1" t="s">
        <v>27</v>
      </c>
      <c r="B42" s="1">
        <v>57</v>
      </c>
      <c r="C42" s="1">
        <v>49</v>
      </c>
      <c r="D42" s="1">
        <v>50</v>
      </c>
      <c r="E42" s="1">
        <v>58</v>
      </c>
      <c r="F42" s="1">
        <v>73</v>
      </c>
      <c r="G42" s="1">
        <v>193</v>
      </c>
      <c r="H42" s="1">
        <v>14</v>
      </c>
      <c r="I42" s="1">
        <v>137</v>
      </c>
      <c r="J42" s="1">
        <v>87</v>
      </c>
      <c r="K42" s="1">
        <v>19</v>
      </c>
      <c r="L42" s="1">
        <v>72</v>
      </c>
      <c r="M42" s="1">
        <v>23</v>
      </c>
      <c r="N42" s="1">
        <v>37</v>
      </c>
      <c r="O42" s="1">
        <v>12</v>
      </c>
      <c r="P42" s="1">
        <v>101</v>
      </c>
      <c r="Q42" s="1">
        <v>23</v>
      </c>
      <c r="R42" s="1">
        <v>15</v>
      </c>
      <c r="S42" s="1">
        <v>76</v>
      </c>
      <c r="T42" s="1">
        <v>30</v>
      </c>
      <c r="U42" s="1">
        <v>104</v>
      </c>
      <c r="V42" s="1">
        <v>19</v>
      </c>
      <c r="W42" s="1">
        <v>24</v>
      </c>
      <c r="X42" s="1">
        <v>81</v>
      </c>
      <c r="Y42" s="1">
        <v>46</v>
      </c>
      <c r="Z42" s="1">
        <v>125</v>
      </c>
      <c r="AA42" s="1">
        <v>65</v>
      </c>
      <c r="AB42" s="1">
        <v>35</v>
      </c>
      <c r="AC42" s="1">
        <v>36</v>
      </c>
      <c r="AD42" s="1">
        <v>20</v>
      </c>
      <c r="AE42" s="1">
        <v>44</v>
      </c>
      <c r="AF42" s="18">
        <f t="shared" si="0"/>
        <v>57.5</v>
      </c>
    </row>
    <row r="43" spans="1:32" x14ac:dyDescent="0.35">
      <c r="A43" s="1" t="s">
        <v>164</v>
      </c>
      <c r="B43" s="1">
        <v>15</v>
      </c>
      <c r="C43" s="1">
        <v>74</v>
      </c>
      <c r="D43" s="1">
        <v>186</v>
      </c>
      <c r="E43" s="1">
        <v>39</v>
      </c>
      <c r="F43" s="1">
        <v>13</v>
      </c>
      <c r="G43" s="1">
        <v>45</v>
      </c>
      <c r="H43" s="1">
        <v>79</v>
      </c>
      <c r="I43" s="1">
        <v>41</v>
      </c>
      <c r="J43" s="1">
        <v>43</v>
      </c>
      <c r="K43" s="1">
        <v>39</v>
      </c>
      <c r="L43" s="1">
        <v>82</v>
      </c>
      <c r="M43" s="1">
        <v>12</v>
      </c>
      <c r="N43" s="1">
        <v>73</v>
      </c>
      <c r="O43" s="1">
        <v>40</v>
      </c>
      <c r="P43" s="1">
        <v>39</v>
      </c>
      <c r="Q43" s="1">
        <v>44</v>
      </c>
      <c r="R43" s="1">
        <v>12</v>
      </c>
      <c r="S43" s="1">
        <v>29</v>
      </c>
      <c r="T43" s="1">
        <v>17</v>
      </c>
      <c r="U43" s="1">
        <v>106</v>
      </c>
      <c r="V43" s="1">
        <v>13</v>
      </c>
      <c r="W43" s="1">
        <v>77</v>
      </c>
      <c r="X43" s="1">
        <v>46</v>
      </c>
      <c r="Y43" s="1">
        <v>26</v>
      </c>
      <c r="Z43" s="1">
        <v>16</v>
      </c>
      <c r="AA43" s="1">
        <v>96</v>
      </c>
      <c r="AB43" s="1">
        <v>17</v>
      </c>
      <c r="AC43" s="1">
        <v>51</v>
      </c>
      <c r="AD43" s="1">
        <v>18</v>
      </c>
      <c r="AE43" s="1">
        <v>138</v>
      </c>
      <c r="AF43" s="18">
        <f t="shared" si="0"/>
        <v>50.866666666666667</v>
      </c>
    </row>
    <row r="44" spans="1:32" x14ac:dyDescent="0.35">
      <c r="A44" s="1" t="s">
        <v>28</v>
      </c>
      <c r="B44" s="1">
        <v>60</v>
      </c>
      <c r="C44" s="1">
        <v>27</v>
      </c>
      <c r="D44" s="1">
        <v>14</v>
      </c>
      <c r="E44" s="1">
        <v>50</v>
      </c>
      <c r="F44" s="1">
        <v>87</v>
      </c>
      <c r="G44" s="1">
        <v>15</v>
      </c>
      <c r="H44" s="1">
        <v>186</v>
      </c>
      <c r="I44" s="1">
        <v>22</v>
      </c>
      <c r="J44" s="1">
        <v>68</v>
      </c>
      <c r="K44" s="1">
        <v>84</v>
      </c>
      <c r="L44" s="1">
        <v>138</v>
      </c>
      <c r="M44" s="1">
        <v>27</v>
      </c>
      <c r="N44" s="1">
        <v>17</v>
      </c>
      <c r="O44" s="1">
        <v>93</v>
      </c>
      <c r="P44" s="1">
        <v>41</v>
      </c>
      <c r="Q44" s="1">
        <v>57</v>
      </c>
      <c r="R44" s="1">
        <v>80</v>
      </c>
      <c r="S44" s="1">
        <v>33</v>
      </c>
      <c r="T44" s="1">
        <v>17</v>
      </c>
      <c r="U44" s="1">
        <v>100</v>
      </c>
      <c r="V44" s="1">
        <v>181</v>
      </c>
      <c r="W44" s="1">
        <v>59</v>
      </c>
      <c r="X44" s="1">
        <v>61</v>
      </c>
      <c r="Y44" s="1">
        <v>67</v>
      </c>
      <c r="Z44" s="1">
        <v>85</v>
      </c>
      <c r="AA44" s="1">
        <v>24</v>
      </c>
      <c r="AB44" s="1">
        <v>41</v>
      </c>
      <c r="AC44" s="1">
        <v>26</v>
      </c>
      <c r="AD44" s="1">
        <v>113</v>
      </c>
      <c r="AE44" s="1">
        <v>130</v>
      </c>
      <c r="AF44" s="18">
        <f t="shared" si="0"/>
        <v>66.766666666666666</v>
      </c>
    </row>
    <row r="45" spans="1:32" x14ac:dyDescent="0.35">
      <c r="A45" s="1" t="s">
        <v>29</v>
      </c>
      <c r="B45" s="1">
        <v>38</v>
      </c>
      <c r="C45" s="1">
        <v>76</v>
      </c>
      <c r="D45" s="1">
        <v>39</v>
      </c>
      <c r="E45" s="1">
        <v>18</v>
      </c>
      <c r="F45" s="1">
        <v>22</v>
      </c>
      <c r="G45" s="1">
        <v>43</v>
      </c>
      <c r="H45" s="1">
        <v>79</v>
      </c>
      <c r="I45" s="1">
        <v>20</v>
      </c>
      <c r="J45" s="1">
        <v>29</v>
      </c>
      <c r="K45" s="1">
        <v>52</v>
      </c>
      <c r="L45" s="1">
        <v>23</v>
      </c>
      <c r="M45" s="1">
        <v>25</v>
      </c>
      <c r="N45" s="1">
        <v>41</v>
      </c>
      <c r="O45" s="1">
        <v>54</v>
      </c>
      <c r="P45" s="1">
        <v>25</v>
      </c>
      <c r="Q45" s="1">
        <v>169</v>
      </c>
      <c r="R45" s="1">
        <v>43</v>
      </c>
      <c r="S45" s="1">
        <v>131</v>
      </c>
      <c r="T45" s="1">
        <v>27</v>
      </c>
      <c r="U45" s="1">
        <v>65</v>
      </c>
      <c r="V45" s="1">
        <v>13</v>
      </c>
      <c r="W45" s="1">
        <v>28</v>
      </c>
      <c r="X45" s="1">
        <v>59</v>
      </c>
      <c r="Y45" s="1">
        <v>25</v>
      </c>
      <c r="Z45" s="1">
        <v>59</v>
      </c>
      <c r="AA45" s="1">
        <v>12</v>
      </c>
      <c r="AB45" s="1">
        <v>14</v>
      </c>
      <c r="AC45" s="1">
        <v>24</v>
      </c>
      <c r="AD45" s="1">
        <v>174</v>
      </c>
      <c r="AE45" s="1">
        <v>30</v>
      </c>
      <c r="AF45" s="18">
        <f t="shared" si="0"/>
        <v>48.56666666666667</v>
      </c>
    </row>
    <row r="46" spans="1:32" x14ac:dyDescent="0.35">
      <c r="A46" s="1" t="s">
        <v>30</v>
      </c>
      <c r="B46" s="1">
        <v>67</v>
      </c>
      <c r="C46" s="1">
        <v>18</v>
      </c>
      <c r="D46" s="1">
        <v>138</v>
      </c>
      <c r="E46" s="1">
        <v>13</v>
      </c>
      <c r="F46" s="1">
        <v>26</v>
      </c>
      <c r="G46" s="1">
        <v>76</v>
      </c>
      <c r="H46" s="1">
        <v>27</v>
      </c>
      <c r="I46" s="1">
        <v>62</v>
      </c>
      <c r="J46" s="1">
        <v>62</v>
      </c>
      <c r="K46" s="1">
        <v>81</v>
      </c>
      <c r="L46" s="1">
        <v>115</v>
      </c>
      <c r="M46" s="1">
        <v>54</v>
      </c>
      <c r="N46" s="1">
        <v>21</v>
      </c>
      <c r="O46" s="1">
        <v>33</v>
      </c>
      <c r="P46" s="1">
        <v>57</v>
      </c>
      <c r="Q46" s="1">
        <v>93</v>
      </c>
      <c r="R46" s="1">
        <v>50</v>
      </c>
      <c r="S46" s="1">
        <v>75</v>
      </c>
      <c r="T46" s="1">
        <v>24</v>
      </c>
      <c r="U46" s="1">
        <v>23</v>
      </c>
      <c r="V46" s="1">
        <v>35</v>
      </c>
      <c r="W46" s="1">
        <v>23</v>
      </c>
      <c r="X46" s="1">
        <v>23</v>
      </c>
      <c r="Y46" s="1">
        <v>63</v>
      </c>
      <c r="Z46" s="1">
        <v>65</v>
      </c>
      <c r="AA46" s="1">
        <v>42</v>
      </c>
      <c r="AB46" s="1">
        <v>45</v>
      </c>
      <c r="AC46" s="1">
        <v>32</v>
      </c>
      <c r="AD46" s="1">
        <v>61</v>
      </c>
      <c r="AE46" s="1">
        <v>111</v>
      </c>
      <c r="AF46" s="18">
        <f t="shared" si="0"/>
        <v>53.833333333333336</v>
      </c>
    </row>
    <row r="47" spans="1:32" x14ac:dyDescent="0.35">
      <c r="A47" s="1" t="s">
        <v>175</v>
      </c>
      <c r="B47" s="1">
        <v>46</v>
      </c>
      <c r="C47" s="1">
        <v>87</v>
      </c>
      <c r="D47" s="1">
        <v>42</v>
      </c>
      <c r="E47" s="1">
        <v>75</v>
      </c>
      <c r="F47" s="1">
        <v>37</v>
      </c>
      <c r="G47" s="1">
        <v>90</v>
      </c>
      <c r="H47" s="1">
        <v>64</v>
      </c>
      <c r="I47" s="1">
        <v>82</v>
      </c>
      <c r="J47" s="1">
        <v>57</v>
      </c>
      <c r="K47" s="1">
        <v>144</v>
      </c>
      <c r="L47" s="1">
        <v>81</v>
      </c>
      <c r="M47" s="1">
        <v>62</v>
      </c>
      <c r="N47" s="1">
        <v>75</v>
      </c>
      <c r="O47" s="1">
        <v>69</v>
      </c>
      <c r="P47" s="1">
        <v>34</v>
      </c>
      <c r="Q47" s="1">
        <v>28</v>
      </c>
      <c r="R47" s="1">
        <v>19</v>
      </c>
      <c r="S47" s="1">
        <v>20</v>
      </c>
      <c r="T47" s="1">
        <v>28</v>
      </c>
      <c r="U47" s="1">
        <v>91</v>
      </c>
      <c r="V47" s="1">
        <v>83</v>
      </c>
      <c r="W47" s="1">
        <v>93</v>
      </c>
      <c r="X47" s="1">
        <v>120</v>
      </c>
      <c r="Y47" s="1">
        <v>61</v>
      </c>
      <c r="Z47" s="1">
        <v>22</v>
      </c>
      <c r="AA47" s="1">
        <v>71</v>
      </c>
      <c r="AB47" s="1">
        <v>13</v>
      </c>
      <c r="AC47" s="1">
        <v>14</v>
      </c>
      <c r="AD47" s="1">
        <v>12</v>
      </c>
      <c r="AE47" s="1">
        <v>226</v>
      </c>
      <c r="AF47" s="18">
        <f t="shared" si="0"/>
        <v>64.86666666666666</v>
      </c>
    </row>
    <row r="48" spans="1:32" x14ac:dyDescent="0.35">
      <c r="A48" s="1" t="s">
        <v>31</v>
      </c>
      <c r="B48" s="1">
        <v>26</v>
      </c>
      <c r="C48" s="1">
        <v>28</v>
      </c>
      <c r="D48" s="1">
        <v>44</v>
      </c>
      <c r="E48" s="1">
        <v>65</v>
      </c>
      <c r="F48" s="1">
        <v>26</v>
      </c>
      <c r="G48" s="1">
        <v>23</v>
      </c>
      <c r="H48" s="1">
        <v>31</v>
      </c>
      <c r="I48" s="1">
        <v>106</v>
      </c>
      <c r="J48" s="1">
        <v>56</v>
      </c>
      <c r="K48" s="1">
        <v>100</v>
      </c>
      <c r="L48" s="1">
        <v>151</v>
      </c>
      <c r="M48" s="1">
        <v>62</v>
      </c>
      <c r="N48" s="1">
        <v>57</v>
      </c>
      <c r="O48" s="1">
        <v>13</v>
      </c>
      <c r="P48" s="1">
        <v>73</v>
      </c>
      <c r="Q48" s="1">
        <v>16</v>
      </c>
      <c r="R48" s="1">
        <v>25</v>
      </c>
      <c r="S48" s="1">
        <v>55</v>
      </c>
      <c r="T48" s="1">
        <v>27</v>
      </c>
      <c r="U48" s="1">
        <v>18</v>
      </c>
      <c r="V48" s="1">
        <v>47</v>
      </c>
      <c r="W48" s="1">
        <v>24</v>
      </c>
      <c r="X48" s="1">
        <v>43</v>
      </c>
      <c r="Y48" s="1">
        <v>12</v>
      </c>
      <c r="Z48" s="1">
        <v>16</v>
      </c>
      <c r="AA48" s="1">
        <v>63</v>
      </c>
      <c r="AB48" s="1">
        <v>82</v>
      </c>
      <c r="AC48" s="1">
        <v>37</v>
      </c>
      <c r="AD48" s="1">
        <v>43</v>
      </c>
      <c r="AE48" s="1">
        <v>51</v>
      </c>
      <c r="AF48" s="18">
        <f t="shared" si="0"/>
        <v>47.333333333333336</v>
      </c>
    </row>
    <row r="49" spans="1:32" x14ac:dyDescent="0.35">
      <c r="A49" s="1" t="s">
        <v>32</v>
      </c>
      <c r="B49" s="1">
        <v>33</v>
      </c>
      <c r="C49" s="1">
        <v>34</v>
      </c>
      <c r="D49" s="1">
        <v>44</v>
      </c>
      <c r="E49" s="1">
        <v>22</v>
      </c>
      <c r="F49" s="1">
        <v>28</v>
      </c>
      <c r="G49" s="1">
        <v>44</v>
      </c>
      <c r="H49" s="1">
        <v>118</v>
      </c>
      <c r="I49" s="1">
        <v>19</v>
      </c>
      <c r="J49" s="1">
        <v>39</v>
      </c>
      <c r="K49" s="1">
        <v>16</v>
      </c>
      <c r="L49" s="1">
        <v>35</v>
      </c>
      <c r="M49" s="1">
        <v>153</v>
      </c>
      <c r="N49" s="1">
        <v>32</v>
      </c>
      <c r="O49" s="1">
        <v>41</v>
      </c>
      <c r="P49" s="1">
        <v>29</v>
      </c>
      <c r="Q49" s="1">
        <v>45</v>
      </c>
      <c r="R49" s="1">
        <v>43</v>
      </c>
      <c r="S49" s="1">
        <v>58</v>
      </c>
      <c r="T49" s="1">
        <v>73</v>
      </c>
      <c r="U49" s="1">
        <v>84</v>
      </c>
      <c r="V49" s="1">
        <v>18</v>
      </c>
      <c r="W49" s="1">
        <v>71</v>
      </c>
      <c r="X49" s="1">
        <v>22</v>
      </c>
      <c r="Y49" s="1">
        <v>19</v>
      </c>
      <c r="Z49" s="1">
        <v>105</v>
      </c>
      <c r="AA49" s="1">
        <v>55</v>
      </c>
      <c r="AB49" s="1">
        <v>61</v>
      </c>
      <c r="AC49" s="1">
        <v>15</v>
      </c>
      <c r="AD49" s="1">
        <v>18</v>
      </c>
      <c r="AE49" s="1">
        <v>91</v>
      </c>
      <c r="AF49" s="18">
        <f t="shared" si="0"/>
        <v>48.833333333333336</v>
      </c>
    </row>
    <row r="50" spans="1:32" x14ac:dyDescent="0.35">
      <c r="A50" s="1" t="s">
        <v>33</v>
      </c>
      <c r="B50" s="1">
        <v>19</v>
      </c>
      <c r="C50" s="1">
        <v>34</v>
      </c>
      <c r="D50" s="1">
        <v>117</v>
      </c>
      <c r="E50" s="1">
        <v>66</v>
      </c>
      <c r="F50" s="1">
        <v>96</v>
      </c>
      <c r="G50" s="1">
        <v>72</v>
      </c>
      <c r="H50" s="1">
        <v>79</v>
      </c>
      <c r="I50" s="1">
        <v>34</v>
      </c>
      <c r="J50" s="1">
        <v>26</v>
      </c>
      <c r="K50" s="1">
        <v>21</v>
      </c>
      <c r="L50" s="1">
        <v>20</v>
      </c>
      <c r="M50" s="1">
        <v>90</v>
      </c>
      <c r="N50" s="1">
        <v>28</v>
      </c>
      <c r="O50" s="1">
        <v>75</v>
      </c>
      <c r="P50" s="1">
        <v>12</v>
      </c>
      <c r="Q50" s="1">
        <v>157</v>
      </c>
      <c r="R50" s="1">
        <v>178</v>
      </c>
      <c r="S50" s="1">
        <v>167</v>
      </c>
      <c r="T50" s="1">
        <v>33</v>
      </c>
      <c r="U50" s="1">
        <v>128</v>
      </c>
      <c r="V50" s="1">
        <v>58</v>
      </c>
      <c r="W50" s="1">
        <v>20</v>
      </c>
      <c r="X50" s="1">
        <v>24</v>
      </c>
      <c r="Y50" s="1">
        <v>60</v>
      </c>
      <c r="Z50" s="1">
        <v>116</v>
      </c>
      <c r="AA50" s="1">
        <v>44</v>
      </c>
      <c r="AB50" s="1">
        <v>77</v>
      </c>
      <c r="AC50" s="1">
        <v>71</v>
      </c>
      <c r="AD50" s="1">
        <v>13</v>
      </c>
      <c r="AE50" s="1">
        <v>38</v>
      </c>
      <c r="AF50" s="18">
        <f t="shared" si="0"/>
        <v>65.766666666666666</v>
      </c>
    </row>
    <row r="51" spans="1:32" x14ac:dyDescent="0.35">
      <c r="A51" s="1" t="s">
        <v>34</v>
      </c>
      <c r="B51" s="1">
        <v>186</v>
      </c>
      <c r="C51" s="1">
        <v>153</v>
      </c>
      <c r="D51" s="1">
        <v>38</v>
      </c>
      <c r="E51" s="1">
        <v>204</v>
      </c>
      <c r="F51" s="1">
        <v>66</v>
      </c>
      <c r="G51" s="1">
        <v>76</v>
      </c>
      <c r="H51" s="1">
        <v>26</v>
      </c>
      <c r="I51" s="1">
        <v>68</v>
      </c>
      <c r="J51" s="1">
        <v>118</v>
      </c>
      <c r="K51" s="1">
        <v>71</v>
      </c>
      <c r="L51" s="1">
        <v>132</v>
      </c>
      <c r="M51" s="1">
        <v>74</v>
      </c>
      <c r="N51" s="1">
        <v>14</v>
      </c>
      <c r="O51" s="1">
        <v>245</v>
      </c>
      <c r="P51" s="1">
        <v>45</v>
      </c>
      <c r="Q51" s="1">
        <v>66</v>
      </c>
      <c r="R51" s="1">
        <v>38</v>
      </c>
      <c r="S51" s="1">
        <v>29</v>
      </c>
      <c r="T51" s="1">
        <v>186</v>
      </c>
      <c r="U51" s="1">
        <v>69</v>
      </c>
      <c r="V51" s="1">
        <v>152</v>
      </c>
      <c r="W51" s="1">
        <v>53</v>
      </c>
      <c r="X51" s="1">
        <v>32</v>
      </c>
      <c r="Y51" s="1">
        <v>29</v>
      </c>
      <c r="Z51" s="1">
        <v>115</v>
      </c>
      <c r="AA51" s="1">
        <v>97</v>
      </c>
      <c r="AB51" s="1">
        <v>52</v>
      </c>
      <c r="AC51" s="1">
        <v>85</v>
      </c>
      <c r="AD51" s="1">
        <v>148</v>
      </c>
      <c r="AE51" s="1">
        <v>56</v>
      </c>
      <c r="AF51" s="18">
        <f t="shared" si="0"/>
        <v>90.766666666666666</v>
      </c>
    </row>
    <row r="52" spans="1:32" x14ac:dyDescent="0.35">
      <c r="A52" s="1" t="s">
        <v>35</v>
      </c>
      <c r="B52" s="1">
        <v>59</v>
      </c>
      <c r="C52" s="1">
        <v>109</v>
      </c>
      <c r="D52" s="1">
        <v>86</v>
      </c>
      <c r="E52" s="1">
        <v>60</v>
      </c>
      <c r="F52" s="1">
        <v>74</v>
      </c>
      <c r="G52" s="1">
        <v>87</v>
      </c>
      <c r="H52" s="1">
        <v>37</v>
      </c>
      <c r="I52" s="1">
        <v>45</v>
      </c>
      <c r="J52" s="1">
        <v>33</v>
      </c>
      <c r="K52" s="1">
        <v>61</v>
      </c>
      <c r="L52" s="1">
        <v>163</v>
      </c>
      <c r="M52" s="1">
        <v>88</v>
      </c>
      <c r="N52" s="1">
        <v>25</v>
      </c>
      <c r="O52" s="1">
        <v>93</v>
      </c>
      <c r="P52" s="1">
        <v>267</v>
      </c>
      <c r="Q52" s="1">
        <v>16</v>
      </c>
      <c r="R52" s="1">
        <v>55</v>
      </c>
      <c r="S52" s="1">
        <v>36</v>
      </c>
      <c r="T52" s="1">
        <v>41</v>
      </c>
      <c r="U52" s="1">
        <v>73</v>
      </c>
      <c r="V52" s="1">
        <v>172</v>
      </c>
      <c r="W52" s="1">
        <v>61</v>
      </c>
      <c r="X52" s="1">
        <v>19</v>
      </c>
      <c r="Y52" s="1">
        <v>14</v>
      </c>
      <c r="Z52" s="1">
        <v>43</v>
      </c>
      <c r="AA52" s="1">
        <v>85</v>
      </c>
      <c r="AB52" s="1">
        <v>22</v>
      </c>
      <c r="AC52" s="1">
        <v>34</v>
      </c>
      <c r="AD52" s="1">
        <v>73</v>
      </c>
      <c r="AE52" s="1">
        <v>32</v>
      </c>
      <c r="AF52" s="18">
        <f t="shared" si="0"/>
        <v>68.766666666666666</v>
      </c>
    </row>
    <row r="53" spans="1:32" x14ac:dyDescent="0.35">
      <c r="A53" s="1" t="s">
        <v>36</v>
      </c>
      <c r="B53" s="1">
        <v>36</v>
      </c>
      <c r="C53" s="1">
        <v>53</v>
      </c>
      <c r="D53" s="1">
        <v>56</v>
      </c>
      <c r="E53" s="1">
        <v>83</v>
      </c>
      <c r="F53" s="1">
        <v>98</v>
      </c>
      <c r="G53" s="1">
        <v>39</v>
      </c>
      <c r="H53" s="1">
        <v>33</v>
      </c>
      <c r="I53" s="1">
        <v>34</v>
      </c>
      <c r="J53" s="1">
        <v>358</v>
      </c>
      <c r="K53" s="1">
        <v>39</v>
      </c>
      <c r="L53" s="1">
        <v>23</v>
      </c>
      <c r="M53" s="1">
        <v>45</v>
      </c>
      <c r="N53" s="1">
        <v>54</v>
      </c>
      <c r="O53" s="1">
        <v>35</v>
      </c>
      <c r="P53" s="1">
        <v>211</v>
      </c>
      <c r="Q53" s="1">
        <v>42</v>
      </c>
      <c r="R53" s="1">
        <v>44</v>
      </c>
      <c r="S53" s="1">
        <v>66</v>
      </c>
      <c r="T53" s="1">
        <v>24</v>
      </c>
      <c r="U53" s="1">
        <v>77</v>
      </c>
      <c r="V53" s="1">
        <v>48</v>
      </c>
      <c r="W53" s="1">
        <v>68</v>
      </c>
      <c r="X53" s="1">
        <v>133</v>
      </c>
      <c r="Y53" s="1">
        <v>15</v>
      </c>
      <c r="Z53" s="1">
        <v>19</v>
      </c>
      <c r="AA53" s="1">
        <v>15</v>
      </c>
      <c r="AB53" s="1">
        <v>62</v>
      </c>
      <c r="AC53" s="1">
        <v>185</v>
      </c>
      <c r="AD53" s="1">
        <v>63</v>
      </c>
      <c r="AE53" s="1">
        <v>44</v>
      </c>
      <c r="AF53" s="18">
        <f t="shared" si="0"/>
        <v>70.066666666666663</v>
      </c>
    </row>
    <row r="54" spans="1:32" x14ac:dyDescent="0.35">
      <c r="A54" s="1" t="s">
        <v>37</v>
      </c>
      <c r="B54" s="1">
        <v>29</v>
      </c>
      <c r="C54" s="1">
        <v>85</v>
      </c>
      <c r="D54" s="1">
        <v>95</v>
      </c>
      <c r="E54" s="1">
        <v>20</v>
      </c>
      <c r="F54" s="1">
        <v>21</v>
      </c>
      <c r="G54" s="1">
        <v>13</v>
      </c>
      <c r="H54" s="1">
        <v>60</v>
      </c>
      <c r="I54" s="1">
        <v>19</v>
      </c>
      <c r="J54" s="1">
        <v>31</v>
      </c>
      <c r="K54" s="1">
        <v>70</v>
      </c>
      <c r="L54" s="1">
        <v>85</v>
      </c>
      <c r="M54" s="1">
        <v>73</v>
      </c>
      <c r="N54" s="1">
        <v>14</v>
      </c>
      <c r="O54" s="1">
        <v>17</v>
      </c>
      <c r="P54" s="1">
        <v>18</v>
      </c>
      <c r="Q54" s="1">
        <v>87</v>
      </c>
      <c r="R54" s="1">
        <v>76</v>
      </c>
      <c r="S54" s="1">
        <v>56</v>
      </c>
      <c r="T54" s="1">
        <v>38</v>
      </c>
      <c r="U54" s="1">
        <v>43</v>
      </c>
      <c r="V54" s="1">
        <v>99</v>
      </c>
      <c r="W54" s="1">
        <v>83</v>
      </c>
      <c r="X54" s="1">
        <v>224</v>
      </c>
      <c r="Y54" s="1">
        <v>72</v>
      </c>
      <c r="Z54" s="1">
        <v>40</v>
      </c>
      <c r="AA54" s="1">
        <v>43</v>
      </c>
      <c r="AB54" s="1">
        <v>21</v>
      </c>
      <c r="AC54" s="1">
        <v>15</v>
      </c>
      <c r="AD54" s="1">
        <v>265</v>
      </c>
      <c r="AE54" s="1">
        <v>47</v>
      </c>
      <c r="AF54" s="18">
        <f t="shared" si="0"/>
        <v>61.966666666666669</v>
      </c>
    </row>
    <row r="55" spans="1:32" x14ac:dyDescent="0.35">
      <c r="A55" s="1" t="s">
        <v>38</v>
      </c>
      <c r="B55" s="1">
        <v>85</v>
      </c>
      <c r="C55" s="1">
        <v>27</v>
      </c>
      <c r="D55" s="1">
        <v>106</v>
      </c>
      <c r="E55" s="1">
        <v>117</v>
      </c>
      <c r="F55" s="1">
        <v>45</v>
      </c>
      <c r="G55" s="1">
        <v>246</v>
      </c>
      <c r="H55" s="1">
        <v>26</v>
      </c>
      <c r="I55" s="1">
        <v>60</v>
      </c>
      <c r="J55" s="1">
        <v>50</v>
      </c>
      <c r="K55" s="1">
        <v>81</v>
      </c>
      <c r="L55" s="1">
        <v>59</v>
      </c>
      <c r="M55" s="1">
        <v>68</v>
      </c>
      <c r="N55" s="1">
        <v>49</v>
      </c>
      <c r="O55" s="1">
        <v>55</v>
      </c>
      <c r="P55" s="1">
        <v>19</v>
      </c>
      <c r="Q55" s="1">
        <v>26</v>
      </c>
      <c r="R55" s="1">
        <v>83</v>
      </c>
      <c r="S55" s="1">
        <v>39</v>
      </c>
      <c r="T55" s="1">
        <v>56</v>
      </c>
      <c r="U55" s="1">
        <v>23</v>
      </c>
      <c r="V55" s="1">
        <v>70</v>
      </c>
      <c r="W55" s="1">
        <v>32</v>
      </c>
      <c r="X55" s="1">
        <v>116</v>
      </c>
      <c r="Y55" s="1">
        <v>28</v>
      </c>
      <c r="Z55" s="1">
        <v>97</v>
      </c>
      <c r="AA55" s="1">
        <v>16</v>
      </c>
      <c r="AB55" s="1">
        <v>22</v>
      </c>
      <c r="AC55" s="1">
        <v>14</v>
      </c>
      <c r="AD55" s="1">
        <v>84</v>
      </c>
      <c r="AE55" s="1">
        <v>96</v>
      </c>
      <c r="AF55" s="18">
        <f t="shared" si="0"/>
        <v>63.166666666666664</v>
      </c>
    </row>
    <row r="56" spans="1:32" x14ac:dyDescent="0.35">
      <c r="A56" s="1" t="s">
        <v>39</v>
      </c>
      <c r="B56" s="1">
        <v>32</v>
      </c>
      <c r="C56" s="1">
        <v>14</v>
      </c>
      <c r="D56" s="1">
        <v>49</v>
      </c>
      <c r="E56" s="1">
        <v>12</v>
      </c>
      <c r="F56" s="1">
        <v>139</v>
      </c>
      <c r="G56" s="1">
        <v>55</v>
      </c>
      <c r="H56" s="1">
        <v>162</v>
      </c>
      <c r="I56" s="1">
        <v>169</v>
      </c>
      <c r="J56" s="1">
        <v>12</v>
      </c>
      <c r="K56" s="1">
        <v>36</v>
      </c>
      <c r="L56" s="1">
        <v>12</v>
      </c>
      <c r="M56" s="1">
        <v>15</v>
      </c>
      <c r="N56" s="1">
        <v>112</v>
      </c>
      <c r="O56" s="1">
        <v>152</v>
      </c>
      <c r="P56" s="1">
        <v>34</v>
      </c>
      <c r="Q56" s="1">
        <v>48</v>
      </c>
      <c r="R56" s="1">
        <v>42</v>
      </c>
      <c r="S56" s="1">
        <v>18</v>
      </c>
      <c r="T56" s="1">
        <v>40</v>
      </c>
      <c r="U56" s="1">
        <v>214</v>
      </c>
      <c r="V56" s="1">
        <v>56</v>
      </c>
      <c r="W56" s="1">
        <v>154</v>
      </c>
      <c r="X56" s="1">
        <v>29</v>
      </c>
      <c r="Y56" s="1">
        <v>30</v>
      </c>
      <c r="Z56" s="1">
        <v>27</v>
      </c>
      <c r="AA56" s="1">
        <v>43</v>
      </c>
      <c r="AB56" s="1">
        <v>155</v>
      </c>
      <c r="AC56" s="1">
        <v>82</v>
      </c>
      <c r="AD56" s="1">
        <v>63</v>
      </c>
      <c r="AE56" s="1">
        <v>88</v>
      </c>
      <c r="AF56" s="18">
        <f t="shared" si="0"/>
        <v>69.8</v>
      </c>
    </row>
    <row r="57" spans="1:32" x14ac:dyDescent="0.35">
      <c r="A57" s="1" t="s">
        <v>176</v>
      </c>
      <c r="B57" s="1">
        <v>21</v>
      </c>
      <c r="C57" s="1">
        <v>62</v>
      </c>
      <c r="D57" s="1">
        <v>97</v>
      </c>
      <c r="E57" s="1">
        <v>90</v>
      </c>
      <c r="F57" s="1">
        <v>237</v>
      </c>
      <c r="G57" s="1">
        <v>199</v>
      </c>
      <c r="H57" s="1">
        <v>53</v>
      </c>
      <c r="I57" s="1">
        <v>105</v>
      </c>
      <c r="J57" s="1">
        <v>16</v>
      </c>
      <c r="K57" s="1">
        <v>89</v>
      </c>
      <c r="L57" s="1">
        <v>16</v>
      </c>
      <c r="M57" s="1">
        <v>12</v>
      </c>
      <c r="N57" s="1">
        <v>30</v>
      </c>
      <c r="O57" s="1">
        <v>135</v>
      </c>
      <c r="P57" s="1">
        <v>62</v>
      </c>
      <c r="Q57" s="1">
        <v>37</v>
      </c>
      <c r="R57" s="1">
        <v>17</v>
      </c>
      <c r="S57" s="1">
        <v>26</v>
      </c>
      <c r="T57" s="1">
        <v>97</v>
      </c>
      <c r="U57" s="1">
        <v>144</v>
      </c>
      <c r="V57" s="1">
        <v>80</v>
      </c>
      <c r="W57" s="1">
        <v>35</v>
      </c>
      <c r="X57" s="1">
        <v>20</v>
      </c>
      <c r="Y57" s="1">
        <v>76</v>
      </c>
      <c r="Z57" s="1">
        <v>52</v>
      </c>
      <c r="AA57" s="1">
        <v>51</v>
      </c>
      <c r="AB57" s="1">
        <v>131</v>
      </c>
      <c r="AC57" s="1">
        <v>92</v>
      </c>
      <c r="AD57" s="1">
        <v>40</v>
      </c>
      <c r="AE57" s="1">
        <v>16</v>
      </c>
      <c r="AF57" s="18">
        <f t="shared" si="0"/>
        <v>71.266666666666666</v>
      </c>
    </row>
    <row r="58" spans="1:32" x14ac:dyDescent="0.35">
      <c r="A58" s="1" t="s">
        <v>40</v>
      </c>
      <c r="B58" s="1">
        <v>355</v>
      </c>
      <c r="C58" s="1">
        <v>16</v>
      </c>
      <c r="D58" s="1">
        <v>106</v>
      </c>
      <c r="E58" s="1">
        <v>51</v>
      </c>
      <c r="F58" s="1">
        <v>14</v>
      </c>
      <c r="G58" s="1">
        <v>13</v>
      </c>
      <c r="H58" s="1">
        <v>36</v>
      </c>
      <c r="I58" s="1">
        <v>43</v>
      </c>
      <c r="J58" s="1">
        <v>19</v>
      </c>
      <c r="K58" s="1">
        <v>15</v>
      </c>
      <c r="L58" s="1">
        <v>15</v>
      </c>
      <c r="M58" s="1">
        <v>13</v>
      </c>
      <c r="N58" s="1">
        <v>65</v>
      </c>
      <c r="O58" s="1">
        <v>14</v>
      </c>
      <c r="P58" s="1">
        <v>17</v>
      </c>
      <c r="Q58" s="1">
        <v>94</v>
      </c>
      <c r="R58" s="1">
        <v>27</v>
      </c>
      <c r="S58" s="1">
        <v>45</v>
      </c>
      <c r="T58" s="1">
        <v>26</v>
      </c>
      <c r="U58" s="1">
        <v>27</v>
      </c>
      <c r="V58" s="1">
        <v>45</v>
      </c>
      <c r="W58" s="1">
        <v>53</v>
      </c>
      <c r="X58" s="1">
        <v>22</v>
      </c>
      <c r="Y58" s="1">
        <v>56</v>
      </c>
      <c r="Z58" s="1">
        <v>18</v>
      </c>
      <c r="AA58" s="1">
        <v>28</v>
      </c>
      <c r="AB58" s="1">
        <v>85</v>
      </c>
      <c r="AC58" s="1">
        <v>149</v>
      </c>
      <c r="AD58" s="1">
        <v>156</v>
      </c>
      <c r="AE58" s="1">
        <v>13</v>
      </c>
      <c r="AF58" s="18">
        <f t="shared" si="0"/>
        <v>54.533333333333331</v>
      </c>
    </row>
    <row r="59" spans="1:32" x14ac:dyDescent="0.35">
      <c r="A59" s="1" t="s">
        <v>41</v>
      </c>
      <c r="B59" s="1">
        <v>28</v>
      </c>
      <c r="C59" s="1">
        <v>156</v>
      </c>
      <c r="D59" s="1">
        <v>31</v>
      </c>
      <c r="E59" s="1">
        <v>66</v>
      </c>
      <c r="F59" s="1">
        <v>131</v>
      </c>
      <c r="G59" s="1">
        <v>15</v>
      </c>
      <c r="H59" s="1">
        <v>52</v>
      </c>
      <c r="I59" s="1">
        <v>54</v>
      </c>
      <c r="J59" s="1">
        <v>49</v>
      </c>
      <c r="K59" s="1">
        <v>112</v>
      </c>
      <c r="L59" s="1">
        <v>207</v>
      </c>
      <c r="M59" s="1">
        <v>35</v>
      </c>
      <c r="N59" s="1">
        <v>227</v>
      </c>
      <c r="O59" s="1">
        <v>12</v>
      </c>
      <c r="P59" s="1">
        <v>28</v>
      </c>
      <c r="Q59" s="1">
        <v>18</v>
      </c>
      <c r="R59" s="1">
        <v>13</v>
      </c>
      <c r="S59" s="1">
        <v>146</v>
      </c>
      <c r="T59" s="1">
        <v>15</v>
      </c>
      <c r="U59" s="1">
        <v>86</v>
      </c>
      <c r="V59" s="1">
        <v>31</v>
      </c>
      <c r="W59" s="1">
        <v>89</v>
      </c>
      <c r="X59" s="1">
        <v>24</v>
      </c>
      <c r="Y59" s="1">
        <v>50</v>
      </c>
      <c r="Z59" s="1">
        <v>82</v>
      </c>
      <c r="AA59" s="1">
        <v>83</v>
      </c>
      <c r="AB59" s="1">
        <v>19</v>
      </c>
      <c r="AC59" s="1">
        <v>21</v>
      </c>
      <c r="AD59" s="1">
        <v>171</v>
      </c>
      <c r="AE59" s="1">
        <v>19</v>
      </c>
      <c r="AF59" s="18">
        <f t="shared" si="0"/>
        <v>69</v>
      </c>
    </row>
    <row r="60" spans="1:32" x14ac:dyDescent="0.35">
      <c r="A60" s="1" t="s">
        <v>42</v>
      </c>
      <c r="B60" s="1">
        <v>58</v>
      </c>
      <c r="C60" s="1">
        <v>16</v>
      </c>
      <c r="D60" s="1">
        <v>131</v>
      </c>
      <c r="E60" s="1">
        <v>66</v>
      </c>
      <c r="F60" s="1">
        <v>18</v>
      </c>
      <c r="G60" s="1">
        <v>18</v>
      </c>
      <c r="H60" s="1">
        <v>98</v>
      </c>
      <c r="I60" s="1">
        <v>14</v>
      </c>
      <c r="J60" s="1">
        <v>51</v>
      </c>
      <c r="K60" s="1">
        <v>17</v>
      </c>
      <c r="L60" s="1">
        <v>37</v>
      </c>
      <c r="M60" s="1">
        <v>108</v>
      </c>
      <c r="N60" s="1">
        <v>54</v>
      </c>
      <c r="O60" s="1">
        <v>15</v>
      </c>
      <c r="P60" s="1">
        <v>15</v>
      </c>
      <c r="Q60" s="1">
        <v>40</v>
      </c>
      <c r="R60" s="1">
        <v>32</v>
      </c>
      <c r="S60" s="1">
        <v>25</v>
      </c>
      <c r="T60" s="1">
        <v>41</v>
      </c>
      <c r="U60" s="1">
        <v>49</v>
      </c>
      <c r="V60" s="1">
        <v>55</v>
      </c>
      <c r="W60" s="1">
        <v>32</v>
      </c>
      <c r="X60" s="1">
        <v>33</v>
      </c>
      <c r="Y60" s="1">
        <v>27</v>
      </c>
      <c r="Z60" s="1">
        <v>34</v>
      </c>
      <c r="AA60" s="1">
        <v>17</v>
      </c>
      <c r="AB60" s="1">
        <v>47</v>
      </c>
      <c r="AC60" s="1">
        <v>58</v>
      </c>
      <c r="AD60" s="1">
        <v>47</v>
      </c>
      <c r="AE60" s="1">
        <v>18</v>
      </c>
      <c r="AF60" s="18">
        <f t="shared" si="0"/>
        <v>42.366666666666667</v>
      </c>
    </row>
    <row r="61" spans="1:32" x14ac:dyDescent="0.35">
      <c r="A61" s="1" t="s">
        <v>43</v>
      </c>
      <c r="B61" s="1">
        <v>48</v>
      </c>
      <c r="C61" s="1">
        <v>13</v>
      </c>
      <c r="D61" s="1">
        <v>13</v>
      </c>
      <c r="E61" s="1">
        <v>74</v>
      </c>
      <c r="F61" s="1">
        <v>66</v>
      </c>
      <c r="G61" s="1">
        <v>26</v>
      </c>
      <c r="H61" s="1">
        <v>55</v>
      </c>
      <c r="I61" s="1">
        <v>89</v>
      </c>
      <c r="J61" s="1">
        <v>153</v>
      </c>
      <c r="K61" s="1">
        <v>21</v>
      </c>
      <c r="L61" s="1">
        <v>48</v>
      </c>
      <c r="M61" s="1">
        <v>15</v>
      </c>
      <c r="N61" s="1">
        <v>32</v>
      </c>
      <c r="O61" s="1">
        <v>80</v>
      </c>
      <c r="P61" s="1">
        <v>46</v>
      </c>
      <c r="Q61" s="1">
        <v>73</v>
      </c>
      <c r="R61" s="1">
        <v>32</v>
      </c>
      <c r="S61" s="1">
        <v>35</v>
      </c>
      <c r="T61" s="1">
        <v>15</v>
      </c>
      <c r="U61" s="1">
        <v>26</v>
      </c>
      <c r="V61" s="1">
        <v>167</v>
      </c>
      <c r="W61" s="1">
        <v>19</v>
      </c>
      <c r="X61" s="1">
        <v>104</v>
      </c>
      <c r="Y61" s="1">
        <v>65</v>
      </c>
      <c r="Z61" s="1">
        <v>25</v>
      </c>
      <c r="AA61" s="1">
        <v>58</v>
      </c>
      <c r="AB61" s="1">
        <v>24</v>
      </c>
      <c r="AC61" s="1">
        <v>41</v>
      </c>
      <c r="AD61" s="1">
        <v>18</v>
      </c>
      <c r="AE61" s="1">
        <v>33</v>
      </c>
      <c r="AF61" s="18">
        <f t="shared" si="0"/>
        <v>50.466666666666669</v>
      </c>
    </row>
    <row r="62" spans="1:32" x14ac:dyDescent="0.35">
      <c r="A62" s="1" t="s">
        <v>44</v>
      </c>
      <c r="B62" s="1">
        <v>128</v>
      </c>
      <c r="C62" s="1">
        <v>67</v>
      </c>
      <c r="D62" s="1">
        <v>23</v>
      </c>
      <c r="E62" s="1">
        <v>75</v>
      </c>
      <c r="F62" s="1">
        <v>38</v>
      </c>
      <c r="G62" s="1">
        <v>354</v>
      </c>
      <c r="H62" s="1">
        <v>75</v>
      </c>
      <c r="I62" s="1">
        <v>33</v>
      </c>
      <c r="J62" s="1">
        <v>79</v>
      </c>
      <c r="K62" s="1">
        <v>23</v>
      </c>
      <c r="L62" s="1">
        <v>31</v>
      </c>
      <c r="M62" s="1">
        <v>30</v>
      </c>
      <c r="N62" s="1">
        <v>37</v>
      </c>
      <c r="O62" s="1">
        <v>168</v>
      </c>
      <c r="P62" s="1">
        <v>93</v>
      </c>
      <c r="Q62" s="1">
        <v>92</v>
      </c>
      <c r="R62" s="1">
        <v>100</v>
      </c>
      <c r="S62" s="1">
        <v>57</v>
      </c>
      <c r="T62" s="1">
        <v>239</v>
      </c>
      <c r="U62" s="1">
        <v>19</v>
      </c>
      <c r="V62" s="1">
        <v>33</v>
      </c>
      <c r="W62" s="1">
        <v>82</v>
      </c>
      <c r="X62" s="1">
        <v>32</v>
      </c>
      <c r="Y62" s="1">
        <v>120</v>
      </c>
      <c r="Z62" s="1">
        <v>123</v>
      </c>
      <c r="AA62" s="1">
        <v>45</v>
      </c>
      <c r="AB62" s="1">
        <v>25</v>
      </c>
      <c r="AC62" s="1">
        <v>95</v>
      </c>
      <c r="AD62" s="1">
        <v>64</v>
      </c>
      <c r="AE62" s="1">
        <v>44</v>
      </c>
      <c r="AF62" s="18">
        <f t="shared" si="0"/>
        <v>80.8</v>
      </c>
    </row>
    <row r="63" spans="1:32" x14ac:dyDescent="0.35">
      <c r="A63" s="1" t="s">
        <v>177</v>
      </c>
      <c r="B63" s="1">
        <v>18</v>
      </c>
      <c r="C63" s="1">
        <v>23</v>
      </c>
      <c r="D63" s="1">
        <v>59</v>
      </c>
      <c r="E63" s="1">
        <v>32</v>
      </c>
      <c r="F63" s="1">
        <v>20</v>
      </c>
      <c r="G63" s="1">
        <v>48</v>
      </c>
      <c r="H63" s="1">
        <v>27</v>
      </c>
      <c r="I63" s="1">
        <v>20</v>
      </c>
      <c r="J63" s="1">
        <v>86</v>
      </c>
      <c r="K63" s="1">
        <v>79</v>
      </c>
      <c r="L63" s="1">
        <v>20</v>
      </c>
      <c r="M63" s="1">
        <v>45</v>
      </c>
      <c r="N63" s="1">
        <v>38</v>
      </c>
      <c r="O63" s="1">
        <v>50</v>
      </c>
      <c r="P63" s="1">
        <v>24</v>
      </c>
      <c r="Q63" s="1">
        <v>240</v>
      </c>
      <c r="R63" s="1">
        <v>53</v>
      </c>
      <c r="S63" s="1">
        <v>28</v>
      </c>
      <c r="T63" s="1">
        <v>56</v>
      </c>
      <c r="U63" s="1">
        <v>42</v>
      </c>
      <c r="V63" s="1">
        <v>256</v>
      </c>
      <c r="W63" s="1">
        <v>24</v>
      </c>
      <c r="X63" s="1">
        <v>98</v>
      </c>
      <c r="Y63" s="1">
        <v>38</v>
      </c>
      <c r="Z63" s="1">
        <v>23</v>
      </c>
      <c r="AA63" s="1">
        <v>117</v>
      </c>
      <c r="AB63" s="1">
        <v>70</v>
      </c>
      <c r="AC63" s="1">
        <v>49</v>
      </c>
      <c r="AD63" s="1">
        <v>13</v>
      </c>
      <c r="AE63" s="1">
        <v>72</v>
      </c>
      <c r="AF63" s="18">
        <f t="shared" si="0"/>
        <v>58.93333333333333</v>
      </c>
    </row>
    <row r="64" spans="1:32" x14ac:dyDescent="0.35">
      <c r="A64" s="1" t="s">
        <v>178</v>
      </c>
      <c r="B64" s="1">
        <v>15</v>
      </c>
      <c r="C64" s="1">
        <v>47</v>
      </c>
      <c r="D64" s="1">
        <v>24</v>
      </c>
      <c r="E64" s="1">
        <v>56</v>
      </c>
      <c r="F64" s="1">
        <v>29</v>
      </c>
      <c r="G64" s="1">
        <v>19</v>
      </c>
      <c r="H64" s="1">
        <v>129</v>
      </c>
      <c r="I64" s="1">
        <v>33</v>
      </c>
      <c r="J64" s="1">
        <v>95</v>
      </c>
      <c r="K64" s="1">
        <v>41</v>
      </c>
      <c r="L64" s="1">
        <v>64</v>
      </c>
      <c r="M64" s="1">
        <v>145</v>
      </c>
      <c r="N64" s="1">
        <v>20</v>
      </c>
      <c r="O64" s="1">
        <v>49</v>
      </c>
      <c r="P64" s="1">
        <v>15</v>
      </c>
      <c r="Q64" s="1">
        <v>13</v>
      </c>
      <c r="R64" s="1">
        <v>32</v>
      </c>
      <c r="S64" s="1">
        <v>45</v>
      </c>
      <c r="T64" s="1">
        <v>79</v>
      </c>
      <c r="U64" s="1">
        <v>92</v>
      </c>
      <c r="V64" s="1">
        <v>15</v>
      </c>
      <c r="W64" s="1">
        <v>49</v>
      </c>
      <c r="X64" s="1">
        <v>41</v>
      </c>
      <c r="Y64" s="1">
        <v>38</v>
      </c>
      <c r="Z64" s="1">
        <v>87</v>
      </c>
      <c r="AA64" s="1">
        <v>23</v>
      </c>
      <c r="AB64" s="1">
        <v>95</v>
      </c>
      <c r="AC64" s="1">
        <v>23</v>
      </c>
      <c r="AD64" s="1">
        <v>29</v>
      </c>
      <c r="AE64" s="1">
        <v>21</v>
      </c>
      <c r="AF64" s="18">
        <f t="shared" si="0"/>
        <v>48.766666666666666</v>
      </c>
    </row>
    <row r="65" spans="1:32" x14ac:dyDescent="0.35">
      <c r="A65" s="1" t="s">
        <v>45</v>
      </c>
      <c r="B65" s="1">
        <v>45</v>
      </c>
      <c r="C65" s="1">
        <v>14</v>
      </c>
      <c r="D65" s="1">
        <v>66</v>
      </c>
      <c r="E65" s="1">
        <v>31</v>
      </c>
      <c r="F65" s="1">
        <v>35</v>
      </c>
      <c r="G65" s="1">
        <v>70</v>
      </c>
      <c r="H65" s="1">
        <v>46</v>
      </c>
      <c r="I65" s="1">
        <v>63</v>
      </c>
      <c r="J65" s="1">
        <v>59</v>
      </c>
      <c r="K65" s="1">
        <v>26</v>
      </c>
      <c r="L65" s="1">
        <v>22</v>
      </c>
      <c r="M65" s="1">
        <v>23</v>
      </c>
      <c r="N65" s="1">
        <v>58</v>
      </c>
      <c r="O65" s="1">
        <v>31</v>
      </c>
      <c r="P65" s="1">
        <v>144</v>
      </c>
      <c r="Q65" s="1">
        <v>19</v>
      </c>
      <c r="R65" s="1">
        <v>14</v>
      </c>
      <c r="S65" s="1">
        <v>26</v>
      </c>
      <c r="T65" s="1">
        <v>109</v>
      </c>
      <c r="U65" s="1">
        <v>16</v>
      </c>
      <c r="V65" s="1">
        <v>17</v>
      </c>
      <c r="W65" s="1">
        <v>82</v>
      </c>
      <c r="X65" s="1">
        <v>13</v>
      </c>
      <c r="Y65" s="1">
        <v>57</v>
      </c>
      <c r="Z65" s="1">
        <v>32</v>
      </c>
      <c r="AA65" s="1">
        <v>115</v>
      </c>
      <c r="AB65" s="1">
        <v>45</v>
      </c>
      <c r="AC65" s="1">
        <v>101</v>
      </c>
      <c r="AD65" s="1">
        <v>60</v>
      </c>
      <c r="AE65" s="1">
        <v>26</v>
      </c>
      <c r="AF65" s="18">
        <f t="shared" si="0"/>
        <v>48.833333333333336</v>
      </c>
    </row>
    <row r="66" spans="1:32" x14ac:dyDescent="0.35">
      <c r="A66" s="1" t="s">
        <v>46</v>
      </c>
      <c r="B66" s="1">
        <v>16</v>
      </c>
      <c r="C66" s="1">
        <v>88</v>
      </c>
      <c r="D66" s="1">
        <v>85</v>
      </c>
      <c r="E66" s="1">
        <v>78</v>
      </c>
      <c r="F66" s="1">
        <v>33</v>
      </c>
      <c r="G66" s="1">
        <v>38</v>
      </c>
      <c r="H66" s="1">
        <v>52</v>
      </c>
      <c r="I66" s="1">
        <v>84</v>
      </c>
      <c r="J66" s="1">
        <v>126</v>
      </c>
      <c r="K66" s="1">
        <v>13</v>
      </c>
      <c r="L66" s="1">
        <v>21</v>
      </c>
      <c r="M66" s="1">
        <v>33</v>
      </c>
      <c r="N66" s="1">
        <v>42</v>
      </c>
      <c r="O66" s="1">
        <v>48</v>
      </c>
      <c r="P66" s="1">
        <v>17</v>
      </c>
      <c r="Q66" s="1">
        <v>16</v>
      </c>
      <c r="R66" s="1">
        <v>20</v>
      </c>
      <c r="S66" s="1">
        <v>26</v>
      </c>
      <c r="T66" s="1">
        <v>32</v>
      </c>
      <c r="U66" s="1">
        <v>33</v>
      </c>
      <c r="V66" s="1">
        <v>34</v>
      </c>
      <c r="W66" s="1">
        <v>24</v>
      </c>
      <c r="X66" s="1">
        <v>20</v>
      </c>
      <c r="Y66" s="1">
        <v>26</v>
      </c>
      <c r="Z66" s="1">
        <v>52</v>
      </c>
      <c r="AA66" s="1">
        <v>94</v>
      </c>
      <c r="AB66" s="1">
        <v>38</v>
      </c>
      <c r="AC66" s="1">
        <v>12</v>
      </c>
      <c r="AD66" s="1">
        <v>21</v>
      </c>
      <c r="AE66" s="1">
        <v>19</v>
      </c>
      <c r="AF66" s="18">
        <f t="shared" si="0"/>
        <v>41.366666666666667</v>
      </c>
    </row>
    <row r="67" spans="1:32" x14ac:dyDescent="0.35">
      <c r="A67" s="1" t="s">
        <v>47</v>
      </c>
      <c r="B67" s="1">
        <v>43</v>
      </c>
      <c r="C67" s="1">
        <v>12</v>
      </c>
      <c r="D67" s="1">
        <v>33</v>
      </c>
      <c r="E67" s="1">
        <v>65</v>
      </c>
      <c r="F67" s="1">
        <v>24</v>
      </c>
      <c r="G67" s="1">
        <v>143</v>
      </c>
      <c r="H67" s="1">
        <v>73</v>
      </c>
      <c r="I67" s="1">
        <v>61</v>
      </c>
      <c r="J67" s="1">
        <v>53</v>
      </c>
      <c r="K67" s="1">
        <v>40</v>
      </c>
      <c r="L67" s="1">
        <v>90</v>
      </c>
      <c r="M67" s="1">
        <v>68</v>
      </c>
      <c r="N67" s="1">
        <v>131</v>
      </c>
      <c r="O67" s="1">
        <v>27</v>
      </c>
      <c r="P67" s="1">
        <v>110</v>
      </c>
      <c r="Q67" s="1">
        <v>18</v>
      </c>
      <c r="R67" s="1">
        <v>51</v>
      </c>
      <c r="S67" s="1">
        <v>48</v>
      </c>
      <c r="T67" s="1">
        <v>185</v>
      </c>
      <c r="U67" s="1">
        <v>23</v>
      </c>
      <c r="V67" s="1">
        <v>92</v>
      </c>
      <c r="W67" s="1">
        <v>26</v>
      </c>
      <c r="X67" s="1">
        <v>42</v>
      </c>
      <c r="Y67" s="1">
        <v>32</v>
      </c>
      <c r="Z67" s="1">
        <v>78</v>
      </c>
      <c r="AA67" s="1">
        <v>195</v>
      </c>
      <c r="AB67" s="1">
        <v>109</v>
      </c>
      <c r="AC67" s="1">
        <v>146</v>
      </c>
      <c r="AD67" s="1">
        <v>109</v>
      </c>
      <c r="AE67" s="1">
        <v>166</v>
      </c>
      <c r="AF67" s="18">
        <f t="shared" si="0"/>
        <v>76.433333333333337</v>
      </c>
    </row>
    <row r="68" spans="1:32" x14ac:dyDescent="0.35">
      <c r="A68" s="1" t="s">
        <v>48</v>
      </c>
      <c r="B68" s="1">
        <v>28</v>
      </c>
      <c r="C68" s="1">
        <v>17</v>
      </c>
      <c r="D68" s="1">
        <v>80</v>
      </c>
      <c r="E68" s="1">
        <v>35</v>
      </c>
      <c r="F68" s="1">
        <v>15</v>
      </c>
      <c r="G68" s="1">
        <v>75</v>
      </c>
      <c r="H68" s="1">
        <v>64</v>
      </c>
      <c r="I68" s="1">
        <v>20</v>
      </c>
      <c r="J68" s="1">
        <v>13</v>
      </c>
      <c r="K68" s="1">
        <v>94</v>
      </c>
      <c r="L68" s="1">
        <v>14</v>
      </c>
      <c r="M68" s="1">
        <v>89</v>
      </c>
      <c r="N68" s="1">
        <v>74</v>
      </c>
      <c r="O68" s="1">
        <v>81</v>
      </c>
      <c r="P68" s="1">
        <v>50</v>
      </c>
      <c r="Q68" s="1">
        <v>66</v>
      </c>
      <c r="R68" s="1">
        <v>16</v>
      </c>
      <c r="S68" s="1">
        <v>71</v>
      </c>
      <c r="T68" s="1">
        <v>82</v>
      </c>
      <c r="U68" s="1">
        <v>75</v>
      </c>
      <c r="V68" s="1">
        <v>43</v>
      </c>
      <c r="W68" s="1">
        <v>13</v>
      </c>
      <c r="X68" s="1">
        <v>25</v>
      </c>
      <c r="Y68" s="1">
        <v>33</v>
      </c>
      <c r="Z68" s="1">
        <v>80</v>
      </c>
      <c r="AA68" s="1">
        <v>79</v>
      </c>
      <c r="AB68" s="1">
        <v>78</v>
      </c>
      <c r="AC68" s="1">
        <v>65</v>
      </c>
      <c r="AD68" s="1">
        <v>46</v>
      </c>
      <c r="AE68" s="1">
        <v>68</v>
      </c>
      <c r="AF68" s="18">
        <f t="shared" ref="AF68:AF131" si="1">AVERAGE(B68:AE68)</f>
        <v>52.966666666666669</v>
      </c>
    </row>
    <row r="69" spans="1:32" x14ac:dyDescent="0.35">
      <c r="A69" s="1" t="s">
        <v>179</v>
      </c>
      <c r="B69" s="1">
        <v>69</v>
      </c>
      <c r="C69" s="1">
        <v>18</v>
      </c>
      <c r="D69" s="1">
        <v>12</v>
      </c>
      <c r="E69" s="1">
        <v>74</v>
      </c>
      <c r="F69" s="1">
        <v>59</v>
      </c>
      <c r="G69" s="1">
        <v>33</v>
      </c>
      <c r="H69" s="1">
        <v>66</v>
      </c>
      <c r="I69" s="1">
        <v>13</v>
      </c>
      <c r="J69" s="1">
        <v>16</v>
      </c>
      <c r="K69" s="1">
        <v>30</v>
      </c>
      <c r="L69" s="1">
        <v>22</v>
      </c>
      <c r="M69" s="1">
        <v>40</v>
      </c>
      <c r="N69" s="1">
        <v>26</v>
      </c>
      <c r="O69" s="1">
        <v>16</v>
      </c>
      <c r="P69" s="1">
        <v>28</v>
      </c>
      <c r="Q69" s="1">
        <v>18</v>
      </c>
      <c r="R69" s="1">
        <v>85</v>
      </c>
      <c r="S69" s="1">
        <v>35</v>
      </c>
      <c r="T69" s="1">
        <v>85</v>
      </c>
      <c r="U69" s="1">
        <v>42</v>
      </c>
      <c r="V69" s="1">
        <v>15</v>
      </c>
      <c r="W69" s="1">
        <v>26</v>
      </c>
      <c r="X69" s="1">
        <v>12</v>
      </c>
      <c r="Y69" s="1">
        <v>48</v>
      </c>
      <c r="Z69" s="1">
        <v>70</v>
      </c>
      <c r="AA69" s="1">
        <v>64</v>
      </c>
      <c r="AB69" s="1">
        <v>13</v>
      </c>
      <c r="AC69" s="1">
        <v>148</v>
      </c>
      <c r="AD69" s="1">
        <v>47</v>
      </c>
      <c r="AE69" s="1">
        <v>25</v>
      </c>
      <c r="AF69" s="18">
        <f t="shared" si="1"/>
        <v>41.833333333333336</v>
      </c>
    </row>
    <row r="70" spans="1:32" x14ac:dyDescent="0.35">
      <c r="A70" s="1" t="s">
        <v>49</v>
      </c>
      <c r="B70" s="1">
        <v>21</v>
      </c>
      <c r="C70" s="1">
        <v>25</v>
      </c>
      <c r="D70" s="1">
        <v>18</v>
      </c>
      <c r="E70" s="1">
        <v>27</v>
      </c>
      <c r="F70" s="1">
        <v>18</v>
      </c>
      <c r="G70" s="1">
        <v>71</v>
      </c>
      <c r="H70" s="1">
        <v>36</v>
      </c>
      <c r="I70" s="1">
        <v>16</v>
      </c>
      <c r="J70" s="1">
        <v>124</v>
      </c>
      <c r="K70" s="1">
        <v>21</v>
      </c>
      <c r="L70" s="1">
        <v>36</v>
      </c>
      <c r="M70" s="1">
        <v>34</v>
      </c>
      <c r="N70" s="1">
        <v>147</v>
      </c>
      <c r="O70" s="1">
        <v>25</v>
      </c>
      <c r="P70" s="1">
        <v>14</v>
      </c>
      <c r="Q70" s="1">
        <v>18</v>
      </c>
      <c r="R70" s="1">
        <v>54</v>
      </c>
      <c r="S70" s="1">
        <v>16</v>
      </c>
      <c r="T70" s="1">
        <v>20</v>
      </c>
      <c r="U70" s="1">
        <v>49</v>
      </c>
      <c r="V70" s="1">
        <v>20</v>
      </c>
      <c r="W70" s="1">
        <v>44</v>
      </c>
      <c r="X70" s="1">
        <v>27</v>
      </c>
      <c r="Y70" s="1">
        <v>14</v>
      </c>
      <c r="Z70" s="1">
        <v>15</v>
      </c>
      <c r="AA70" s="1">
        <v>16</v>
      </c>
      <c r="AB70" s="1">
        <v>86</v>
      </c>
      <c r="AC70" s="1">
        <v>65</v>
      </c>
      <c r="AD70" s="1">
        <v>82</v>
      </c>
      <c r="AE70" s="1">
        <v>30</v>
      </c>
      <c r="AF70" s="18">
        <f t="shared" si="1"/>
        <v>39.633333333333333</v>
      </c>
    </row>
    <row r="71" spans="1:32" x14ac:dyDescent="0.35">
      <c r="A71" s="1" t="s">
        <v>50</v>
      </c>
      <c r="B71" s="1">
        <v>60</v>
      </c>
      <c r="C71" s="1">
        <v>35</v>
      </c>
      <c r="D71" s="1">
        <v>75</v>
      </c>
      <c r="E71" s="1">
        <v>14</v>
      </c>
      <c r="F71" s="1">
        <v>91</v>
      </c>
      <c r="G71" s="1">
        <v>25</v>
      </c>
      <c r="H71" s="1">
        <v>75</v>
      </c>
      <c r="I71" s="1">
        <v>62</v>
      </c>
      <c r="J71" s="1">
        <v>30</v>
      </c>
      <c r="K71" s="1">
        <v>17</v>
      </c>
      <c r="L71" s="1">
        <v>29</v>
      </c>
      <c r="M71" s="1">
        <v>44</v>
      </c>
      <c r="N71" s="1">
        <v>36</v>
      </c>
      <c r="O71" s="1">
        <v>14</v>
      </c>
      <c r="P71" s="1">
        <v>73</v>
      </c>
      <c r="Q71" s="1">
        <v>25</v>
      </c>
      <c r="R71" s="1">
        <v>19</v>
      </c>
      <c r="S71" s="1">
        <v>18</v>
      </c>
      <c r="T71" s="1">
        <v>90</v>
      </c>
      <c r="U71" s="1">
        <v>22</v>
      </c>
      <c r="V71" s="1">
        <v>76</v>
      </c>
      <c r="W71" s="1">
        <v>25</v>
      </c>
      <c r="X71" s="1">
        <v>18</v>
      </c>
      <c r="Y71" s="1">
        <v>23</v>
      </c>
      <c r="Z71" s="1">
        <v>17</v>
      </c>
      <c r="AA71" s="1">
        <v>106</v>
      </c>
      <c r="AB71" s="1">
        <v>55</v>
      </c>
      <c r="AC71" s="1">
        <v>25</v>
      </c>
      <c r="AD71" s="1">
        <v>20</v>
      </c>
      <c r="AE71" s="1">
        <v>37</v>
      </c>
      <c r="AF71" s="18">
        <f t="shared" si="1"/>
        <v>41.866666666666667</v>
      </c>
    </row>
    <row r="72" spans="1:32" x14ac:dyDescent="0.35">
      <c r="A72" s="1" t="s">
        <v>51</v>
      </c>
      <c r="B72" s="1">
        <v>42</v>
      </c>
      <c r="C72" s="1">
        <v>195</v>
      </c>
      <c r="D72" s="1">
        <v>79</v>
      </c>
      <c r="E72" s="1">
        <v>42</v>
      </c>
      <c r="F72" s="1">
        <v>113</v>
      </c>
      <c r="G72" s="1">
        <v>112</v>
      </c>
      <c r="H72" s="1">
        <v>18</v>
      </c>
      <c r="I72" s="1">
        <v>70</v>
      </c>
      <c r="J72" s="1">
        <v>45</v>
      </c>
      <c r="K72" s="1">
        <v>117</v>
      </c>
      <c r="L72" s="1">
        <v>62</v>
      </c>
      <c r="M72" s="1">
        <v>69</v>
      </c>
      <c r="N72" s="1">
        <v>54</v>
      </c>
      <c r="O72" s="1">
        <v>15</v>
      </c>
      <c r="P72" s="1">
        <v>48</v>
      </c>
      <c r="Q72" s="1">
        <v>197</v>
      </c>
      <c r="R72" s="1">
        <v>15</v>
      </c>
      <c r="S72" s="1">
        <v>16</v>
      </c>
      <c r="T72" s="1">
        <v>23</v>
      </c>
      <c r="U72" s="1">
        <v>148</v>
      </c>
      <c r="V72" s="1">
        <v>24</v>
      </c>
      <c r="W72" s="1">
        <v>56</v>
      </c>
      <c r="X72" s="1">
        <v>31</v>
      </c>
      <c r="Y72" s="1">
        <v>27</v>
      </c>
      <c r="Z72" s="1">
        <v>78</v>
      </c>
      <c r="AA72" s="1">
        <v>56</v>
      </c>
      <c r="AB72" s="1">
        <v>36</v>
      </c>
      <c r="AC72" s="1">
        <v>15</v>
      </c>
      <c r="AD72" s="1">
        <v>85</v>
      </c>
      <c r="AE72" s="1">
        <v>49</v>
      </c>
      <c r="AF72" s="18">
        <f t="shared" si="1"/>
        <v>64.566666666666663</v>
      </c>
    </row>
    <row r="73" spans="1:32" x14ac:dyDescent="0.35">
      <c r="A73" s="1" t="s">
        <v>52</v>
      </c>
      <c r="B73" s="1">
        <v>57</v>
      </c>
      <c r="C73" s="1">
        <v>50</v>
      </c>
      <c r="D73" s="1">
        <v>12</v>
      </c>
      <c r="E73" s="1">
        <v>21</v>
      </c>
      <c r="F73" s="1">
        <v>47</v>
      </c>
      <c r="G73" s="1">
        <v>27</v>
      </c>
      <c r="H73" s="1">
        <v>224</v>
      </c>
      <c r="I73" s="1">
        <v>28</v>
      </c>
      <c r="J73" s="1">
        <v>40</v>
      </c>
      <c r="K73" s="1">
        <v>27</v>
      </c>
      <c r="L73" s="1">
        <v>38</v>
      </c>
      <c r="M73" s="1">
        <v>22</v>
      </c>
      <c r="N73" s="1">
        <v>99</v>
      </c>
      <c r="O73" s="1">
        <v>118</v>
      </c>
      <c r="P73" s="1">
        <v>35</v>
      </c>
      <c r="Q73" s="1">
        <v>34</v>
      </c>
      <c r="R73" s="1">
        <v>86</v>
      </c>
      <c r="S73" s="1">
        <v>84</v>
      </c>
      <c r="T73" s="1">
        <v>141</v>
      </c>
      <c r="U73" s="1">
        <v>29</v>
      </c>
      <c r="V73" s="1">
        <v>52</v>
      </c>
      <c r="W73" s="1">
        <v>17</v>
      </c>
      <c r="X73" s="1">
        <v>18</v>
      </c>
      <c r="Y73" s="1">
        <v>13</v>
      </c>
      <c r="Z73" s="1">
        <v>33</v>
      </c>
      <c r="AA73" s="1">
        <v>12</v>
      </c>
      <c r="AB73" s="1">
        <v>33</v>
      </c>
      <c r="AC73" s="1">
        <v>83</v>
      </c>
      <c r="AD73" s="1">
        <v>66</v>
      </c>
      <c r="AE73" s="1">
        <v>91</v>
      </c>
      <c r="AF73" s="18">
        <f t="shared" si="1"/>
        <v>54.56666666666667</v>
      </c>
    </row>
    <row r="74" spans="1:32" x14ac:dyDescent="0.35">
      <c r="A74" s="1" t="s">
        <v>53</v>
      </c>
      <c r="B74" s="1">
        <v>22</v>
      </c>
      <c r="C74" s="1">
        <v>44</v>
      </c>
      <c r="D74" s="1">
        <v>14</v>
      </c>
      <c r="E74" s="1">
        <v>12</v>
      </c>
      <c r="F74" s="1">
        <v>22</v>
      </c>
      <c r="G74" s="1">
        <v>51</v>
      </c>
      <c r="H74" s="1">
        <v>16</v>
      </c>
      <c r="I74" s="1">
        <v>18</v>
      </c>
      <c r="J74" s="1">
        <v>52</v>
      </c>
      <c r="K74" s="1">
        <v>30</v>
      </c>
      <c r="L74" s="1">
        <v>44</v>
      </c>
      <c r="M74" s="1">
        <v>58</v>
      </c>
      <c r="N74" s="1">
        <v>39</v>
      </c>
      <c r="O74" s="1">
        <v>13</v>
      </c>
      <c r="P74" s="1">
        <v>57</v>
      </c>
      <c r="Q74" s="1">
        <v>29</v>
      </c>
      <c r="R74" s="1">
        <v>24</v>
      </c>
      <c r="S74" s="1">
        <v>34</v>
      </c>
      <c r="T74" s="1">
        <v>14</v>
      </c>
      <c r="U74" s="1">
        <v>21</v>
      </c>
      <c r="V74" s="1">
        <v>20</v>
      </c>
      <c r="W74" s="1">
        <v>17</v>
      </c>
      <c r="X74" s="1">
        <v>45</v>
      </c>
      <c r="Y74" s="1">
        <v>15</v>
      </c>
      <c r="Z74" s="1">
        <v>62</v>
      </c>
      <c r="AA74" s="1">
        <v>63</v>
      </c>
      <c r="AB74" s="1">
        <v>17</v>
      </c>
      <c r="AC74" s="1">
        <v>14</v>
      </c>
      <c r="AD74" s="1">
        <v>42</v>
      </c>
      <c r="AE74" s="1">
        <v>21</v>
      </c>
      <c r="AF74" s="18">
        <f t="shared" si="1"/>
        <v>31</v>
      </c>
    </row>
    <row r="75" spans="1:32" x14ac:dyDescent="0.35">
      <c r="A75" s="1" t="s">
        <v>54</v>
      </c>
      <c r="B75" s="1">
        <v>22</v>
      </c>
      <c r="C75" s="1">
        <v>15</v>
      </c>
      <c r="D75" s="1">
        <v>126</v>
      </c>
      <c r="E75" s="1">
        <v>47</v>
      </c>
      <c r="F75" s="1">
        <v>183</v>
      </c>
      <c r="G75" s="1">
        <v>43</v>
      </c>
      <c r="H75" s="1">
        <v>46</v>
      </c>
      <c r="I75" s="1">
        <v>56</v>
      </c>
      <c r="J75" s="1">
        <v>60</v>
      </c>
      <c r="K75" s="1">
        <v>24</v>
      </c>
      <c r="L75" s="1">
        <v>41</v>
      </c>
      <c r="M75" s="1">
        <v>104</v>
      </c>
      <c r="N75" s="1">
        <v>48</v>
      </c>
      <c r="O75" s="1">
        <v>108</v>
      </c>
      <c r="P75" s="1">
        <v>20</v>
      </c>
      <c r="Q75" s="1">
        <v>26</v>
      </c>
      <c r="R75" s="1">
        <v>75</v>
      </c>
      <c r="S75" s="1">
        <v>34</v>
      </c>
      <c r="T75" s="1">
        <v>20</v>
      </c>
      <c r="U75" s="1">
        <v>74</v>
      </c>
      <c r="V75" s="1">
        <v>86</v>
      </c>
      <c r="W75" s="1">
        <v>24</v>
      </c>
      <c r="X75" s="1">
        <v>47</v>
      </c>
      <c r="Y75" s="1">
        <v>33</v>
      </c>
      <c r="Z75" s="1">
        <v>36</v>
      </c>
      <c r="AA75" s="1">
        <v>53</v>
      </c>
      <c r="AB75" s="1">
        <v>55</v>
      </c>
      <c r="AC75" s="1">
        <v>94</v>
      </c>
      <c r="AD75" s="1">
        <v>40</v>
      </c>
      <c r="AE75" s="1">
        <v>41</v>
      </c>
      <c r="AF75" s="18">
        <f t="shared" si="1"/>
        <v>56.033333333333331</v>
      </c>
    </row>
    <row r="76" spans="1:32" x14ac:dyDescent="0.35">
      <c r="A76" s="1" t="s">
        <v>180</v>
      </c>
      <c r="B76" s="1">
        <v>28</v>
      </c>
      <c r="C76" s="1">
        <v>48</v>
      </c>
      <c r="D76" s="1">
        <v>56</v>
      </c>
      <c r="E76" s="1">
        <v>28</v>
      </c>
      <c r="F76" s="1">
        <v>34</v>
      </c>
      <c r="G76" s="1">
        <v>40</v>
      </c>
      <c r="H76" s="1">
        <v>37</v>
      </c>
      <c r="I76" s="1">
        <v>37</v>
      </c>
      <c r="J76" s="1">
        <v>34</v>
      </c>
      <c r="K76" s="1">
        <v>74</v>
      </c>
      <c r="L76" s="1">
        <v>15</v>
      </c>
      <c r="M76" s="1">
        <v>19</v>
      </c>
      <c r="N76" s="1">
        <v>34</v>
      </c>
      <c r="O76" s="1">
        <v>13</v>
      </c>
      <c r="P76" s="1">
        <v>20</v>
      </c>
      <c r="Q76" s="1">
        <v>74</v>
      </c>
      <c r="R76" s="1">
        <v>28</v>
      </c>
      <c r="S76" s="1">
        <v>76</v>
      </c>
      <c r="T76" s="1">
        <v>66</v>
      </c>
      <c r="U76" s="1">
        <v>27</v>
      </c>
      <c r="V76" s="1">
        <v>76</v>
      </c>
      <c r="W76" s="1">
        <v>40</v>
      </c>
      <c r="X76" s="1">
        <v>43</v>
      </c>
      <c r="Y76" s="1">
        <v>21</v>
      </c>
      <c r="Z76" s="1">
        <v>50</v>
      </c>
      <c r="AA76" s="1">
        <v>56</v>
      </c>
      <c r="AB76" s="1">
        <v>12</v>
      </c>
      <c r="AC76" s="1">
        <v>44</v>
      </c>
      <c r="AD76" s="1">
        <v>28</v>
      </c>
      <c r="AE76" s="1">
        <v>25</v>
      </c>
      <c r="AF76" s="18">
        <f t="shared" si="1"/>
        <v>39.43333333333333</v>
      </c>
    </row>
    <row r="77" spans="1:32" x14ac:dyDescent="0.35">
      <c r="A77" s="1" t="s">
        <v>55</v>
      </c>
      <c r="B77" s="1">
        <v>93</v>
      </c>
      <c r="C77" s="1">
        <v>154</v>
      </c>
      <c r="D77" s="1">
        <v>58</v>
      </c>
      <c r="E77" s="1">
        <v>62</v>
      </c>
      <c r="F77" s="1">
        <v>16</v>
      </c>
      <c r="G77" s="1">
        <v>125</v>
      </c>
      <c r="H77" s="1">
        <v>37</v>
      </c>
      <c r="I77" s="1">
        <v>14</v>
      </c>
      <c r="J77" s="1">
        <v>33</v>
      </c>
      <c r="K77" s="1">
        <v>39</v>
      </c>
      <c r="L77" s="1">
        <v>48</v>
      </c>
      <c r="M77" s="1">
        <v>105</v>
      </c>
      <c r="N77" s="1">
        <v>39</v>
      </c>
      <c r="O77" s="1">
        <v>72</v>
      </c>
      <c r="P77" s="1">
        <v>14</v>
      </c>
      <c r="Q77" s="1">
        <v>31</v>
      </c>
      <c r="R77" s="1">
        <v>209</v>
      </c>
      <c r="S77" s="1">
        <v>45</v>
      </c>
      <c r="T77" s="1">
        <v>171</v>
      </c>
      <c r="U77" s="1">
        <v>65</v>
      </c>
      <c r="V77" s="1">
        <v>87</v>
      </c>
      <c r="W77" s="1">
        <v>53</v>
      </c>
      <c r="X77" s="1">
        <v>61</v>
      </c>
      <c r="Y77" s="1">
        <v>26</v>
      </c>
      <c r="Z77" s="1">
        <v>16</v>
      </c>
      <c r="AA77" s="1">
        <v>54</v>
      </c>
      <c r="AB77" s="1">
        <v>29</v>
      </c>
      <c r="AC77" s="1">
        <v>116</v>
      </c>
      <c r="AD77" s="1">
        <v>102</v>
      </c>
      <c r="AE77" s="1">
        <v>13</v>
      </c>
      <c r="AF77" s="18">
        <f t="shared" si="1"/>
        <v>66.233333333333334</v>
      </c>
    </row>
    <row r="78" spans="1:32" x14ac:dyDescent="0.35">
      <c r="A78" s="1" t="s">
        <v>56</v>
      </c>
      <c r="B78" s="1">
        <v>16</v>
      </c>
      <c r="C78" s="1">
        <v>14</v>
      </c>
      <c r="D78" s="1">
        <v>41</v>
      </c>
      <c r="E78" s="1">
        <v>76</v>
      </c>
      <c r="F78" s="1">
        <v>45</v>
      </c>
      <c r="G78" s="1">
        <v>15</v>
      </c>
      <c r="H78" s="1">
        <v>30</v>
      </c>
      <c r="I78" s="1">
        <v>37</v>
      </c>
      <c r="J78" s="1">
        <v>122</v>
      </c>
      <c r="K78" s="1">
        <v>34</v>
      </c>
      <c r="L78" s="1">
        <v>14</v>
      </c>
      <c r="M78" s="1">
        <v>34</v>
      </c>
      <c r="N78" s="1">
        <v>58</v>
      </c>
      <c r="O78" s="1">
        <v>82</v>
      </c>
      <c r="P78" s="1">
        <v>16</v>
      </c>
      <c r="Q78" s="1">
        <v>81</v>
      </c>
      <c r="R78" s="1">
        <v>59</v>
      </c>
      <c r="S78" s="1">
        <v>42</v>
      </c>
      <c r="T78" s="1">
        <v>28</v>
      </c>
      <c r="U78" s="1">
        <v>94</v>
      </c>
      <c r="V78" s="1">
        <v>57</v>
      </c>
      <c r="W78" s="1">
        <v>53</v>
      </c>
      <c r="X78" s="1">
        <v>22</v>
      </c>
      <c r="Y78" s="1">
        <v>21</v>
      </c>
      <c r="Z78" s="1">
        <v>18</v>
      </c>
      <c r="AA78" s="1">
        <v>21</v>
      </c>
      <c r="AB78" s="1">
        <v>17</v>
      </c>
      <c r="AC78" s="1">
        <v>53</v>
      </c>
      <c r="AD78" s="1">
        <v>39</v>
      </c>
      <c r="AE78" s="1">
        <v>53</v>
      </c>
      <c r="AF78" s="18">
        <f t="shared" si="1"/>
        <v>43.06666666666667</v>
      </c>
    </row>
    <row r="79" spans="1:32" x14ac:dyDescent="0.35">
      <c r="A79" s="1" t="s">
        <v>57</v>
      </c>
      <c r="B79" s="1">
        <v>30</v>
      </c>
      <c r="C79" s="1">
        <v>50</v>
      </c>
      <c r="D79" s="1">
        <v>46</v>
      </c>
      <c r="E79" s="1">
        <v>14</v>
      </c>
      <c r="F79" s="1">
        <v>17</v>
      </c>
      <c r="G79" s="1">
        <v>43</v>
      </c>
      <c r="H79" s="1">
        <v>78</v>
      </c>
      <c r="I79" s="1">
        <v>16</v>
      </c>
      <c r="J79" s="1">
        <v>123</v>
      </c>
      <c r="K79" s="1">
        <v>19</v>
      </c>
      <c r="L79" s="1">
        <v>29</v>
      </c>
      <c r="M79" s="1">
        <v>67</v>
      </c>
      <c r="N79" s="1">
        <v>49</v>
      </c>
      <c r="O79" s="1">
        <v>39</v>
      </c>
      <c r="P79" s="1">
        <v>124</v>
      </c>
      <c r="Q79" s="1">
        <v>36</v>
      </c>
      <c r="R79" s="1">
        <v>44</v>
      </c>
      <c r="S79" s="1">
        <v>95</v>
      </c>
      <c r="T79" s="1">
        <v>25</v>
      </c>
      <c r="U79" s="1">
        <v>27</v>
      </c>
      <c r="V79" s="1">
        <v>36</v>
      </c>
      <c r="W79" s="1">
        <v>119</v>
      </c>
      <c r="X79" s="1">
        <v>73</v>
      </c>
      <c r="Y79" s="1">
        <v>24</v>
      </c>
      <c r="Z79" s="1">
        <v>218</v>
      </c>
      <c r="AA79" s="1">
        <v>39</v>
      </c>
      <c r="AB79" s="1">
        <v>87</v>
      </c>
      <c r="AC79" s="1">
        <v>69</v>
      </c>
      <c r="AD79" s="1">
        <v>18</v>
      </c>
      <c r="AE79" s="1">
        <v>23</v>
      </c>
      <c r="AF79" s="18">
        <f t="shared" si="1"/>
        <v>55.9</v>
      </c>
    </row>
    <row r="80" spans="1:32" x14ac:dyDescent="0.35">
      <c r="A80" s="1" t="s">
        <v>58</v>
      </c>
      <c r="B80" s="1">
        <v>27</v>
      </c>
      <c r="C80" s="1">
        <v>46</v>
      </c>
      <c r="D80" s="1">
        <v>14</v>
      </c>
      <c r="E80" s="1">
        <v>32</v>
      </c>
      <c r="F80" s="1">
        <v>41</v>
      </c>
      <c r="G80" s="1">
        <v>73</v>
      </c>
      <c r="H80" s="1">
        <v>34</v>
      </c>
      <c r="I80" s="1">
        <v>13</v>
      </c>
      <c r="J80" s="1">
        <v>19</v>
      </c>
      <c r="K80" s="1">
        <v>40</v>
      </c>
      <c r="L80" s="1">
        <v>30</v>
      </c>
      <c r="M80" s="1">
        <v>14</v>
      </c>
      <c r="N80" s="1">
        <v>84</v>
      </c>
      <c r="O80" s="1">
        <v>24</v>
      </c>
      <c r="P80" s="1">
        <v>56</v>
      </c>
      <c r="Q80" s="1">
        <v>22</v>
      </c>
      <c r="R80" s="1">
        <v>47</v>
      </c>
      <c r="S80" s="1">
        <v>17</v>
      </c>
      <c r="T80" s="1">
        <v>16</v>
      </c>
      <c r="U80" s="1">
        <v>33</v>
      </c>
      <c r="V80" s="1">
        <v>30</v>
      </c>
      <c r="W80" s="1">
        <v>40</v>
      </c>
      <c r="X80" s="1">
        <v>12</v>
      </c>
      <c r="Y80" s="1">
        <v>48</v>
      </c>
      <c r="Z80" s="1">
        <v>27</v>
      </c>
      <c r="AA80" s="1">
        <v>72</v>
      </c>
      <c r="AB80" s="1">
        <v>80</v>
      </c>
      <c r="AC80" s="1">
        <v>15</v>
      </c>
      <c r="AD80" s="1">
        <v>36</v>
      </c>
      <c r="AE80" s="1">
        <v>18</v>
      </c>
      <c r="AF80" s="18">
        <f t="shared" si="1"/>
        <v>35.333333333333336</v>
      </c>
    </row>
    <row r="81" spans="1:32" x14ac:dyDescent="0.35">
      <c r="A81" s="1" t="s">
        <v>59</v>
      </c>
      <c r="B81" s="1">
        <v>33</v>
      </c>
      <c r="C81" s="1">
        <v>16</v>
      </c>
      <c r="D81" s="1">
        <v>45</v>
      </c>
      <c r="E81" s="1">
        <v>13</v>
      </c>
      <c r="F81" s="1">
        <v>27</v>
      </c>
      <c r="G81" s="1">
        <v>40</v>
      </c>
      <c r="H81" s="1">
        <v>15</v>
      </c>
      <c r="I81" s="1">
        <v>53</v>
      </c>
      <c r="J81" s="1">
        <v>29</v>
      </c>
      <c r="K81" s="1">
        <v>50</v>
      </c>
      <c r="L81" s="1">
        <v>24</v>
      </c>
      <c r="M81" s="1">
        <v>55</v>
      </c>
      <c r="N81" s="1">
        <v>14</v>
      </c>
      <c r="O81" s="1">
        <v>25</v>
      </c>
      <c r="P81" s="1">
        <v>22</v>
      </c>
      <c r="Q81" s="1">
        <v>17</v>
      </c>
      <c r="R81" s="1">
        <v>37</v>
      </c>
      <c r="S81" s="1">
        <v>70</v>
      </c>
      <c r="T81" s="1">
        <v>17</v>
      </c>
      <c r="U81" s="1">
        <v>20</v>
      </c>
      <c r="V81" s="1">
        <v>21</v>
      </c>
      <c r="W81" s="1">
        <v>23</v>
      </c>
      <c r="X81" s="1">
        <v>58</v>
      </c>
      <c r="Y81" s="1">
        <v>68</v>
      </c>
      <c r="Z81" s="1">
        <v>12</v>
      </c>
      <c r="AA81" s="1">
        <v>39</v>
      </c>
      <c r="AB81" s="1">
        <v>52</v>
      </c>
      <c r="AC81" s="1">
        <v>25</v>
      </c>
      <c r="AD81" s="1">
        <v>53</v>
      </c>
      <c r="AE81" s="1">
        <v>146</v>
      </c>
      <c r="AF81" s="18">
        <f t="shared" si="1"/>
        <v>37.299999999999997</v>
      </c>
    </row>
    <row r="82" spans="1:32" x14ac:dyDescent="0.35">
      <c r="A82" s="1" t="s">
        <v>181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8">
        <f t="shared" si="1"/>
        <v>0</v>
      </c>
    </row>
    <row r="83" spans="1:32" x14ac:dyDescent="0.35">
      <c r="A83" s="1" t="s">
        <v>60</v>
      </c>
      <c r="B83" s="1">
        <v>14</v>
      </c>
      <c r="C83" s="1">
        <v>76</v>
      </c>
      <c r="D83" s="1">
        <v>58</v>
      </c>
      <c r="E83" s="1">
        <v>125</v>
      </c>
      <c r="F83" s="1">
        <v>35</v>
      </c>
      <c r="G83" s="1">
        <v>13</v>
      </c>
      <c r="H83" s="1">
        <v>92</v>
      </c>
      <c r="I83" s="1">
        <v>18</v>
      </c>
      <c r="J83" s="1">
        <v>45</v>
      </c>
      <c r="K83" s="1">
        <v>114</v>
      </c>
      <c r="L83" s="1">
        <v>20</v>
      </c>
      <c r="M83" s="1">
        <v>12</v>
      </c>
      <c r="N83" s="1">
        <v>17</v>
      </c>
      <c r="O83" s="1">
        <v>55</v>
      </c>
      <c r="P83" s="1">
        <v>105</v>
      </c>
      <c r="Q83" s="1">
        <v>70</v>
      </c>
      <c r="R83" s="1">
        <v>33</v>
      </c>
      <c r="S83" s="1">
        <v>35</v>
      </c>
      <c r="T83" s="1">
        <v>65</v>
      </c>
      <c r="U83" s="1">
        <v>75</v>
      </c>
      <c r="V83" s="1">
        <v>57</v>
      </c>
      <c r="W83" s="1">
        <v>60</v>
      </c>
      <c r="X83" s="1">
        <v>39</v>
      </c>
      <c r="Y83" s="1">
        <v>55</v>
      </c>
      <c r="Z83" s="1">
        <v>13</v>
      </c>
      <c r="AA83" s="1">
        <v>120</v>
      </c>
      <c r="AB83" s="1">
        <v>121</v>
      </c>
      <c r="AC83" s="1">
        <v>66</v>
      </c>
      <c r="AD83" s="1">
        <v>63</v>
      </c>
      <c r="AE83" s="1">
        <v>36</v>
      </c>
      <c r="AF83" s="18">
        <f t="shared" si="1"/>
        <v>56.9</v>
      </c>
    </row>
    <row r="84" spans="1:32" x14ac:dyDescent="0.35">
      <c r="A84" s="1" t="s">
        <v>61</v>
      </c>
      <c r="B84" s="1">
        <v>63</v>
      </c>
      <c r="C84" s="1">
        <v>32</v>
      </c>
      <c r="D84" s="1">
        <v>17</v>
      </c>
      <c r="E84" s="1">
        <v>23</v>
      </c>
      <c r="F84" s="1">
        <v>247</v>
      </c>
      <c r="G84" s="1">
        <v>20</v>
      </c>
      <c r="H84" s="1">
        <v>65</v>
      </c>
      <c r="I84" s="1">
        <v>15</v>
      </c>
      <c r="J84" s="1">
        <v>15</v>
      </c>
      <c r="K84" s="1">
        <v>100</v>
      </c>
      <c r="L84" s="1">
        <v>69</v>
      </c>
      <c r="M84" s="1">
        <v>12</v>
      </c>
      <c r="N84" s="1">
        <v>90</v>
      </c>
      <c r="O84" s="1">
        <v>73</v>
      </c>
      <c r="P84" s="1">
        <v>16</v>
      </c>
      <c r="Q84" s="1">
        <v>76</v>
      </c>
      <c r="R84" s="1">
        <v>16</v>
      </c>
      <c r="S84" s="1">
        <v>33</v>
      </c>
      <c r="T84" s="1">
        <v>72</v>
      </c>
      <c r="U84" s="1">
        <v>26</v>
      </c>
      <c r="V84" s="1">
        <v>18</v>
      </c>
      <c r="W84" s="1">
        <v>13</v>
      </c>
      <c r="X84" s="1">
        <v>42</v>
      </c>
      <c r="Y84" s="1">
        <v>35</v>
      </c>
      <c r="Z84" s="1">
        <v>91</v>
      </c>
      <c r="AA84" s="1">
        <v>33</v>
      </c>
      <c r="AB84" s="1">
        <v>49</v>
      </c>
      <c r="AC84" s="1">
        <v>45</v>
      </c>
      <c r="AD84" s="1">
        <v>74</v>
      </c>
      <c r="AE84" s="1">
        <v>60</v>
      </c>
      <c r="AF84" s="18">
        <f t="shared" si="1"/>
        <v>51.333333333333336</v>
      </c>
    </row>
    <row r="85" spans="1:32" x14ac:dyDescent="0.35">
      <c r="A85" s="1" t="s">
        <v>62</v>
      </c>
      <c r="B85" s="1">
        <v>40</v>
      </c>
      <c r="C85" s="1">
        <v>81</v>
      </c>
      <c r="D85" s="1">
        <v>24</v>
      </c>
      <c r="E85" s="1">
        <v>58</v>
      </c>
      <c r="F85" s="1">
        <v>49</v>
      </c>
      <c r="G85" s="1">
        <v>126</v>
      </c>
      <c r="H85" s="1">
        <v>56</v>
      </c>
      <c r="I85" s="1">
        <v>37</v>
      </c>
      <c r="J85" s="1">
        <v>98</v>
      </c>
      <c r="K85" s="1">
        <v>73</v>
      </c>
      <c r="L85" s="1">
        <v>29</v>
      </c>
      <c r="M85" s="1">
        <v>216</v>
      </c>
      <c r="N85" s="1">
        <v>155</v>
      </c>
      <c r="O85" s="1">
        <v>16</v>
      </c>
      <c r="P85" s="1">
        <v>107</v>
      </c>
      <c r="Q85" s="1">
        <v>27</v>
      </c>
      <c r="R85" s="1">
        <v>67</v>
      </c>
      <c r="S85" s="1">
        <v>17</v>
      </c>
      <c r="T85" s="1">
        <v>66</v>
      </c>
      <c r="U85" s="1">
        <v>142</v>
      </c>
      <c r="V85" s="1">
        <v>50</v>
      </c>
      <c r="W85" s="1">
        <v>33</v>
      </c>
      <c r="X85" s="1">
        <v>47</v>
      </c>
      <c r="Y85" s="1">
        <v>12</v>
      </c>
      <c r="Z85" s="1">
        <v>43</v>
      </c>
      <c r="AA85" s="1">
        <v>71</v>
      </c>
      <c r="AB85" s="1">
        <v>30</v>
      </c>
      <c r="AC85" s="1">
        <v>47</v>
      </c>
      <c r="AD85" s="1">
        <v>59</v>
      </c>
      <c r="AE85" s="1">
        <v>35</v>
      </c>
      <c r="AF85" s="18">
        <f t="shared" si="1"/>
        <v>63.7</v>
      </c>
    </row>
    <row r="86" spans="1:32" x14ac:dyDescent="0.35">
      <c r="A86" s="1" t="s">
        <v>63</v>
      </c>
      <c r="B86" s="1">
        <v>19</v>
      </c>
      <c r="C86" s="1">
        <v>30</v>
      </c>
      <c r="D86" s="1">
        <v>27</v>
      </c>
      <c r="E86" s="1">
        <v>29</v>
      </c>
      <c r="F86" s="1">
        <v>59</v>
      </c>
      <c r="G86" s="1">
        <v>60</v>
      </c>
      <c r="H86" s="1">
        <v>38</v>
      </c>
      <c r="I86" s="1">
        <v>49</v>
      </c>
      <c r="J86" s="1">
        <v>265</v>
      </c>
      <c r="K86" s="1">
        <v>88</v>
      </c>
      <c r="L86" s="1">
        <v>90</v>
      </c>
      <c r="M86" s="1">
        <v>64</v>
      </c>
      <c r="N86" s="1">
        <v>46</v>
      </c>
      <c r="O86" s="1">
        <v>83</v>
      </c>
      <c r="P86" s="1">
        <v>12</v>
      </c>
      <c r="Q86" s="1">
        <v>70</v>
      </c>
      <c r="R86" s="1">
        <v>48</v>
      </c>
      <c r="S86" s="1">
        <v>120</v>
      </c>
      <c r="T86" s="1">
        <v>38</v>
      </c>
      <c r="U86" s="1">
        <v>14</v>
      </c>
      <c r="V86" s="1">
        <v>28</v>
      </c>
      <c r="W86" s="1">
        <v>106</v>
      </c>
      <c r="X86" s="1">
        <v>174</v>
      </c>
      <c r="Y86" s="1">
        <v>343</v>
      </c>
      <c r="Z86" s="1">
        <v>28</v>
      </c>
      <c r="AA86" s="1">
        <v>85</v>
      </c>
      <c r="AB86" s="1">
        <v>109</v>
      </c>
      <c r="AC86" s="1">
        <v>48</v>
      </c>
      <c r="AD86" s="1">
        <v>31</v>
      </c>
      <c r="AE86" s="1">
        <v>119</v>
      </c>
      <c r="AF86" s="18">
        <f t="shared" si="1"/>
        <v>77.333333333333329</v>
      </c>
    </row>
    <row r="87" spans="1:32" x14ac:dyDescent="0.35">
      <c r="A87" s="1" t="s">
        <v>64</v>
      </c>
      <c r="B87" s="1">
        <v>36</v>
      </c>
      <c r="C87" s="1">
        <v>17</v>
      </c>
      <c r="D87" s="1">
        <v>37</v>
      </c>
      <c r="E87" s="1">
        <v>54</v>
      </c>
      <c r="F87" s="1">
        <v>90</v>
      </c>
      <c r="G87" s="1">
        <v>14</v>
      </c>
      <c r="H87" s="1">
        <v>13</v>
      </c>
      <c r="I87" s="1">
        <v>18</v>
      </c>
      <c r="J87" s="1">
        <v>35</v>
      </c>
      <c r="K87" s="1">
        <v>30</v>
      </c>
      <c r="L87" s="1">
        <v>24</v>
      </c>
      <c r="M87" s="1">
        <v>48</v>
      </c>
      <c r="N87" s="1">
        <v>39</v>
      </c>
      <c r="O87" s="1">
        <v>99</v>
      </c>
      <c r="P87" s="1">
        <v>15</v>
      </c>
      <c r="Q87" s="1">
        <v>41</v>
      </c>
      <c r="R87" s="1">
        <v>12</v>
      </c>
      <c r="S87" s="1">
        <v>94</v>
      </c>
      <c r="T87" s="1">
        <v>13</v>
      </c>
      <c r="U87" s="1">
        <v>66</v>
      </c>
      <c r="V87" s="1">
        <v>156</v>
      </c>
      <c r="W87" s="1">
        <v>72</v>
      </c>
      <c r="X87" s="1">
        <v>20</v>
      </c>
      <c r="Y87" s="1">
        <v>68</v>
      </c>
      <c r="Z87" s="1">
        <v>28</v>
      </c>
      <c r="AA87" s="1">
        <v>48</v>
      </c>
      <c r="AB87" s="1">
        <v>19</v>
      </c>
      <c r="AC87" s="1">
        <v>33</v>
      </c>
      <c r="AD87" s="1">
        <v>12</v>
      </c>
      <c r="AE87" s="1">
        <v>42</v>
      </c>
      <c r="AF87" s="18">
        <f t="shared" si="1"/>
        <v>43.1</v>
      </c>
    </row>
    <row r="88" spans="1:32" x14ac:dyDescent="0.35">
      <c r="A88" s="1" t="s">
        <v>182</v>
      </c>
      <c r="B88" s="1">
        <v>39</v>
      </c>
      <c r="C88" s="1">
        <v>89</v>
      </c>
      <c r="D88" s="1">
        <v>49</v>
      </c>
      <c r="E88" s="1">
        <v>57</v>
      </c>
      <c r="F88" s="1">
        <v>59</v>
      </c>
      <c r="G88" s="1">
        <v>67</v>
      </c>
      <c r="H88" s="1">
        <v>39</v>
      </c>
      <c r="I88" s="1">
        <v>213</v>
      </c>
      <c r="J88" s="1">
        <v>18</v>
      </c>
      <c r="K88" s="1">
        <v>80</v>
      </c>
      <c r="L88" s="1">
        <v>133</v>
      </c>
      <c r="M88" s="1">
        <v>53</v>
      </c>
      <c r="N88" s="1">
        <v>170</v>
      </c>
      <c r="O88" s="1">
        <v>53</v>
      </c>
      <c r="P88" s="1">
        <v>105</v>
      </c>
      <c r="Q88" s="1">
        <v>12</v>
      </c>
      <c r="R88" s="1">
        <v>210</v>
      </c>
      <c r="S88" s="1">
        <v>116</v>
      </c>
      <c r="T88" s="1">
        <v>77</v>
      </c>
      <c r="U88" s="1">
        <v>90</v>
      </c>
      <c r="V88" s="1">
        <v>194</v>
      </c>
      <c r="W88" s="1">
        <v>34</v>
      </c>
      <c r="X88" s="1">
        <v>43</v>
      </c>
      <c r="Y88" s="1">
        <v>39</v>
      </c>
      <c r="Z88" s="1">
        <v>151</v>
      </c>
      <c r="AA88" s="1">
        <v>193</v>
      </c>
      <c r="AB88" s="1">
        <v>42</v>
      </c>
      <c r="AC88" s="1">
        <v>30</v>
      </c>
      <c r="AD88" s="1">
        <v>202</v>
      </c>
      <c r="AE88" s="1">
        <v>31</v>
      </c>
      <c r="AF88" s="18">
        <f t="shared" si="1"/>
        <v>89.6</v>
      </c>
    </row>
    <row r="89" spans="1:32" x14ac:dyDescent="0.35">
      <c r="A89" s="1" t="s">
        <v>65</v>
      </c>
      <c r="B89" s="1">
        <v>42</v>
      </c>
      <c r="C89" s="1">
        <v>34</v>
      </c>
      <c r="D89" s="1">
        <v>12</v>
      </c>
      <c r="E89" s="1">
        <v>22</v>
      </c>
      <c r="F89" s="1">
        <v>19</v>
      </c>
      <c r="G89" s="1">
        <v>96</v>
      </c>
      <c r="H89" s="1">
        <v>87</v>
      </c>
      <c r="I89" s="1">
        <v>48</v>
      </c>
      <c r="J89" s="1">
        <v>65</v>
      </c>
      <c r="K89" s="1">
        <v>16</v>
      </c>
      <c r="L89" s="1">
        <v>44</v>
      </c>
      <c r="M89" s="1">
        <v>135</v>
      </c>
      <c r="N89" s="1">
        <v>77</v>
      </c>
      <c r="O89" s="1">
        <v>21</v>
      </c>
      <c r="P89" s="1">
        <v>24</v>
      </c>
      <c r="Q89" s="1">
        <v>40</v>
      </c>
      <c r="R89" s="1">
        <v>77</v>
      </c>
      <c r="S89" s="1">
        <v>20</v>
      </c>
      <c r="T89" s="1">
        <v>199</v>
      </c>
      <c r="U89" s="1">
        <v>28</v>
      </c>
      <c r="V89" s="1">
        <v>141</v>
      </c>
      <c r="W89" s="1">
        <v>59</v>
      </c>
      <c r="X89" s="1">
        <v>33</v>
      </c>
      <c r="Y89" s="1">
        <v>21</v>
      </c>
      <c r="Z89" s="1">
        <v>48</v>
      </c>
      <c r="AA89" s="1">
        <v>31</v>
      </c>
      <c r="AB89" s="1">
        <v>29</v>
      </c>
      <c r="AC89" s="1">
        <v>185</v>
      </c>
      <c r="AD89" s="1">
        <v>90</v>
      </c>
      <c r="AE89" s="1">
        <v>25</v>
      </c>
      <c r="AF89" s="18">
        <f t="shared" si="1"/>
        <v>58.93333333333333</v>
      </c>
    </row>
    <row r="90" spans="1:32" x14ac:dyDescent="0.35">
      <c r="A90" s="1" t="s">
        <v>66</v>
      </c>
      <c r="B90" s="1">
        <v>44</v>
      </c>
      <c r="C90" s="1">
        <v>19</v>
      </c>
      <c r="D90" s="1">
        <v>22</v>
      </c>
      <c r="E90" s="1">
        <v>13</v>
      </c>
      <c r="F90" s="1">
        <v>124</v>
      </c>
      <c r="G90" s="1">
        <v>68</v>
      </c>
      <c r="H90" s="1">
        <v>18</v>
      </c>
      <c r="I90" s="1">
        <v>73</v>
      </c>
      <c r="J90" s="1">
        <v>12</v>
      </c>
      <c r="K90" s="1">
        <v>44</v>
      </c>
      <c r="L90" s="1">
        <v>28</v>
      </c>
      <c r="M90" s="1">
        <v>31</v>
      </c>
      <c r="N90" s="1">
        <v>39</v>
      </c>
      <c r="O90" s="1">
        <v>62</v>
      </c>
      <c r="P90" s="1">
        <v>17</v>
      </c>
      <c r="Q90" s="1">
        <v>24</v>
      </c>
      <c r="R90" s="1">
        <v>20</v>
      </c>
      <c r="S90" s="1">
        <v>117</v>
      </c>
      <c r="T90" s="1">
        <v>13</v>
      </c>
      <c r="U90" s="1">
        <v>40</v>
      </c>
      <c r="V90" s="1">
        <v>64</v>
      </c>
      <c r="W90" s="1">
        <v>25</v>
      </c>
      <c r="X90" s="1">
        <v>20</v>
      </c>
      <c r="Y90" s="1">
        <v>35</v>
      </c>
      <c r="Z90" s="1">
        <v>18</v>
      </c>
      <c r="AA90" s="1">
        <v>67</v>
      </c>
      <c r="AB90" s="1">
        <v>76</v>
      </c>
      <c r="AC90" s="1">
        <v>102</v>
      </c>
      <c r="AD90" s="1">
        <v>104</v>
      </c>
      <c r="AE90" s="1">
        <v>165</v>
      </c>
      <c r="AF90" s="18">
        <f t="shared" si="1"/>
        <v>50.133333333333333</v>
      </c>
    </row>
    <row r="91" spans="1:32" x14ac:dyDescent="0.35">
      <c r="A91" s="1" t="s">
        <v>67</v>
      </c>
      <c r="B91" s="1">
        <v>41</v>
      </c>
      <c r="C91" s="1">
        <v>15</v>
      </c>
      <c r="D91" s="1">
        <v>15</v>
      </c>
      <c r="E91" s="1">
        <v>64</v>
      </c>
      <c r="F91" s="1">
        <v>42</v>
      </c>
      <c r="G91" s="1">
        <v>29</v>
      </c>
      <c r="H91" s="1">
        <v>18</v>
      </c>
      <c r="I91" s="1">
        <v>20</v>
      </c>
      <c r="J91" s="1">
        <v>34</v>
      </c>
      <c r="K91" s="1">
        <v>24</v>
      </c>
      <c r="L91" s="1">
        <v>32</v>
      </c>
      <c r="M91" s="1">
        <v>33</v>
      </c>
      <c r="N91" s="1">
        <v>20</v>
      </c>
      <c r="O91" s="1">
        <v>106</v>
      </c>
      <c r="P91" s="1">
        <v>34</v>
      </c>
      <c r="Q91" s="1">
        <v>55</v>
      </c>
      <c r="R91" s="1">
        <v>17</v>
      </c>
      <c r="S91" s="1">
        <v>21</v>
      </c>
      <c r="T91" s="1">
        <v>13</v>
      </c>
      <c r="U91" s="1">
        <v>71</v>
      </c>
      <c r="V91" s="1">
        <v>12</v>
      </c>
      <c r="W91" s="1">
        <v>70</v>
      </c>
      <c r="X91" s="1">
        <v>58</v>
      </c>
      <c r="Y91" s="1">
        <v>32</v>
      </c>
      <c r="Z91" s="1">
        <v>112</v>
      </c>
      <c r="AA91" s="1">
        <v>55</v>
      </c>
      <c r="AB91" s="1">
        <v>20</v>
      </c>
      <c r="AC91" s="1">
        <v>66</v>
      </c>
      <c r="AD91" s="1">
        <v>50</v>
      </c>
      <c r="AE91" s="1">
        <v>20</v>
      </c>
      <c r="AF91" s="18">
        <f t="shared" si="1"/>
        <v>39.966666666666669</v>
      </c>
    </row>
    <row r="92" spans="1:32" x14ac:dyDescent="0.35">
      <c r="A92" s="1" t="s">
        <v>68</v>
      </c>
      <c r="B92" s="1">
        <v>18</v>
      </c>
      <c r="C92" s="1">
        <v>33</v>
      </c>
      <c r="D92" s="1">
        <v>39</v>
      </c>
      <c r="E92" s="1">
        <v>36</v>
      </c>
      <c r="F92" s="1">
        <v>169</v>
      </c>
      <c r="G92" s="1">
        <v>19</v>
      </c>
      <c r="H92" s="1">
        <v>42</v>
      </c>
      <c r="I92" s="1">
        <v>57</v>
      </c>
      <c r="J92" s="1">
        <v>38</v>
      </c>
      <c r="K92" s="1">
        <v>12</v>
      </c>
      <c r="L92" s="1">
        <v>41</v>
      </c>
      <c r="M92" s="1">
        <v>15</v>
      </c>
      <c r="N92" s="1">
        <v>89</v>
      </c>
      <c r="O92" s="1">
        <v>14</v>
      </c>
      <c r="P92" s="1">
        <v>24</v>
      </c>
      <c r="Q92" s="1">
        <v>12</v>
      </c>
      <c r="R92" s="1">
        <v>84</v>
      </c>
      <c r="S92" s="1">
        <v>13</v>
      </c>
      <c r="T92" s="1">
        <v>67</v>
      </c>
      <c r="U92" s="1">
        <v>61</v>
      </c>
      <c r="V92" s="1">
        <v>29</v>
      </c>
      <c r="W92" s="1">
        <v>16</v>
      </c>
      <c r="X92" s="1">
        <v>48</v>
      </c>
      <c r="Y92" s="1">
        <v>31</v>
      </c>
      <c r="Z92" s="1">
        <v>78</v>
      </c>
      <c r="AA92" s="1">
        <v>16</v>
      </c>
      <c r="AB92" s="1">
        <v>35</v>
      </c>
      <c r="AC92" s="1">
        <v>37</v>
      </c>
      <c r="AD92" s="1">
        <v>235</v>
      </c>
      <c r="AE92" s="1">
        <v>18</v>
      </c>
      <c r="AF92" s="18">
        <f t="shared" si="1"/>
        <v>47.533333333333331</v>
      </c>
    </row>
    <row r="93" spans="1:32" x14ac:dyDescent="0.35">
      <c r="A93" s="1" t="s">
        <v>69</v>
      </c>
      <c r="B93" s="1">
        <v>45</v>
      </c>
      <c r="C93" s="1">
        <v>27</v>
      </c>
      <c r="D93" s="1">
        <v>19</v>
      </c>
      <c r="E93" s="1">
        <v>20</v>
      </c>
      <c r="F93" s="1">
        <v>12</v>
      </c>
      <c r="G93" s="1">
        <v>40</v>
      </c>
      <c r="H93" s="1">
        <v>73</v>
      </c>
      <c r="I93" s="1">
        <v>21</v>
      </c>
      <c r="J93" s="1">
        <v>105</v>
      </c>
      <c r="K93" s="1">
        <v>64</v>
      </c>
      <c r="L93" s="1">
        <v>203</v>
      </c>
      <c r="M93" s="1">
        <v>30</v>
      </c>
      <c r="N93" s="1">
        <v>23</v>
      </c>
      <c r="O93" s="1">
        <v>16</v>
      </c>
      <c r="P93" s="1">
        <v>122</v>
      </c>
      <c r="Q93" s="1">
        <v>33</v>
      </c>
      <c r="R93" s="1">
        <v>22</v>
      </c>
      <c r="S93" s="1">
        <v>17</v>
      </c>
      <c r="T93" s="1">
        <v>26</v>
      </c>
      <c r="U93" s="1">
        <v>52</v>
      </c>
      <c r="V93" s="1">
        <v>28</v>
      </c>
      <c r="W93" s="1">
        <v>29</v>
      </c>
      <c r="X93" s="1">
        <v>14</v>
      </c>
      <c r="Y93" s="1">
        <v>52</v>
      </c>
      <c r="Z93" s="1">
        <v>34</v>
      </c>
      <c r="AA93" s="1">
        <v>29</v>
      </c>
      <c r="AB93" s="1">
        <v>12</v>
      </c>
      <c r="AC93" s="1">
        <v>156</v>
      </c>
      <c r="AD93" s="1">
        <v>42</v>
      </c>
      <c r="AE93" s="1">
        <v>38</v>
      </c>
      <c r="AF93" s="18">
        <f t="shared" si="1"/>
        <v>46.8</v>
      </c>
    </row>
    <row r="94" spans="1:32" x14ac:dyDescent="0.35">
      <c r="A94" s="1" t="s">
        <v>70</v>
      </c>
      <c r="B94" s="1">
        <v>53</v>
      </c>
      <c r="C94" s="1">
        <v>14</v>
      </c>
      <c r="D94" s="1">
        <v>13</v>
      </c>
      <c r="E94" s="1">
        <v>75</v>
      </c>
      <c r="F94" s="1">
        <v>70</v>
      </c>
      <c r="G94" s="1">
        <v>25</v>
      </c>
      <c r="H94" s="1">
        <v>46</v>
      </c>
      <c r="I94" s="1">
        <v>97</v>
      </c>
      <c r="J94" s="1">
        <v>35</v>
      </c>
      <c r="K94" s="1">
        <v>18</v>
      </c>
      <c r="L94" s="1">
        <v>141</v>
      </c>
      <c r="M94" s="1">
        <v>63</v>
      </c>
      <c r="N94" s="1">
        <v>83</v>
      </c>
      <c r="O94" s="1">
        <v>19</v>
      </c>
      <c r="P94" s="1">
        <v>117</v>
      </c>
      <c r="Q94" s="1">
        <v>17</v>
      </c>
      <c r="R94" s="1">
        <v>18</v>
      </c>
      <c r="S94" s="1">
        <v>42</v>
      </c>
      <c r="T94" s="1">
        <v>109</v>
      </c>
      <c r="U94" s="1">
        <v>246</v>
      </c>
      <c r="V94" s="1">
        <v>91</v>
      </c>
      <c r="W94" s="1">
        <v>81</v>
      </c>
      <c r="X94" s="1">
        <v>125</v>
      </c>
      <c r="Y94" s="1">
        <v>59</v>
      </c>
      <c r="Z94" s="1">
        <v>84</v>
      </c>
      <c r="AA94" s="1">
        <v>75</v>
      </c>
      <c r="AB94" s="1">
        <v>79</v>
      </c>
      <c r="AC94" s="1">
        <v>95</v>
      </c>
      <c r="AD94" s="1">
        <v>41</v>
      </c>
      <c r="AE94" s="1">
        <v>80</v>
      </c>
      <c r="AF94" s="18">
        <f t="shared" si="1"/>
        <v>70.36666666666666</v>
      </c>
    </row>
    <row r="95" spans="1:32" x14ac:dyDescent="0.35">
      <c r="A95" s="1" t="s">
        <v>71</v>
      </c>
      <c r="B95" s="1">
        <v>45</v>
      </c>
      <c r="C95" s="1">
        <v>59</v>
      </c>
      <c r="D95" s="1">
        <v>46</v>
      </c>
      <c r="E95" s="1">
        <v>97</v>
      </c>
      <c r="F95" s="1">
        <v>32</v>
      </c>
      <c r="G95" s="1">
        <v>44</v>
      </c>
      <c r="H95" s="1">
        <v>174</v>
      </c>
      <c r="I95" s="1">
        <v>74</v>
      </c>
      <c r="J95" s="1">
        <v>83</v>
      </c>
      <c r="K95" s="1">
        <v>40</v>
      </c>
      <c r="L95" s="1">
        <v>106</v>
      </c>
      <c r="M95" s="1">
        <v>13</v>
      </c>
      <c r="N95" s="1">
        <v>134</v>
      </c>
      <c r="O95" s="1">
        <v>14</v>
      </c>
      <c r="P95" s="1">
        <v>61</v>
      </c>
      <c r="Q95" s="1">
        <v>80</v>
      </c>
      <c r="R95" s="1">
        <v>136</v>
      </c>
      <c r="S95" s="1">
        <v>33</v>
      </c>
      <c r="T95" s="1">
        <v>16</v>
      </c>
      <c r="U95" s="1">
        <v>124</v>
      </c>
      <c r="V95" s="1">
        <v>19</v>
      </c>
      <c r="W95" s="1">
        <v>65</v>
      </c>
      <c r="X95" s="1">
        <v>29</v>
      </c>
      <c r="Y95" s="1">
        <v>131</v>
      </c>
      <c r="Z95" s="1">
        <v>139</v>
      </c>
      <c r="AA95" s="1">
        <v>25</v>
      </c>
      <c r="AB95" s="1">
        <v>56</v>
      </c>
      <c r="AC95" s="1">
        <v>46</v>
      </c>
      <c r="AD95" s="1">
        <v>49</v>
      </c>
      <c r="AE95" s="1">
        <v>13</v>
      </c>
      <c r="AF95" s="18">
        <f t="shared" si="1"/>
        <v>66.099999999999994</v>
      </c>
    </row>
    <row r="96" spans="1:32" x14ac:dyDescent="0.35">
      <c r="A96" s="1" t="s">
        <v>72</v>
      </c>
      <c r="B96" s="1">
        <v>94</v>
      </c>
      <c r="C96" s="1">
        <v>14</v>
      </c>
      <c r="D96" s="1">
        <v>18</v>
      </c>
      <c r="E96" s="1">
        <v>49</v>
      </c>
      <c r="F96" s="1">
        <v>16</v>
      </c>
      <c r="G96" s="1">
        <v>19</v>
      </c>
      <c r="H96" s="1">
        <v>16</v>
      </c>
      <c r="I96" s="1">
        <v>62</v>
      </c>
      <c r="J96" s="1">
        <v>31</v>
      </c>
      <c r="K96" s="1">
        <v>37</v>
      </c>
      <c r="L96" s="1">
        <v>12</v>
      </c>
      <c r="M96" s="1">
        <v>54</v>
      </c>
      <c r="N96" s="1">
        <v>58</v>
      </c>
      <c r="O96" s="1">
        <v>115</v>
      </c>
      <c r="P96" s="1">
        <v>23</v>
      </c>
      <c r="Q96" s="1">
        <v>101</v>
      </c>
      <c r="R96" s="1">
        <v>63</v>
      </c>
      <c r="S96" s="1">
        <v>44</v>
      </c>
      <c r="T96" s="1">
        <v>50</v>
      </c>
      <c r="U96" s="1">
        <v>24</v>
      </c>
      <c r="V96" s="1">
        <v>47</v>
      </c>
      <c r="W96" s="1">
        <v>45</v>
      </c>
      <c r="X96" s="1">
        <v>13</v>
      </c>
      <c r="Y96" s="1">
        <v>34</v>
      </c>
      <c r="Z96" s="1">
        <v>53</v>
      </c>
      <c r="AA96" s="1">
        <v>15</v>
      </c>
      <c r="AB96" s="1">
        <v>29</v>
      </c>
      <c r="AC96" s="1">
        <v>67</v>
      </c>
      <c r="AD96" s="1">
        <v>19</v>
      </c>
      <c r="AE96" s="1">
        <v>22</v>
      </c>
      <c r="AF96" s="18">
        <f t="shared" si="1"/>
        <v>41.466666666666669</v>
      </c>
    </row>
    <row r="97" spans="1:32" x14ac:dyDescent="0.35">
      <c r="A97" s="1" t="s">
        <v>73</v>
      </c>
      <c r="B97" s="1">
        <v>72</v>
      </c>
      <c r="C97" s="1">
        <v>83</v>
      </c>
      <c r="D97" s="1">
        <v>12</v>
      </c>
      <c r="E97" s="1">
        <v>49</v>
      </c>
      <c r="F97" s="1">
        <v>149</v>
      </c>
      <c r="G97" s="1">
        <v>36</v>
      </c>
      <c r="H97" s="1">
        <v>126</v>
      </c>
      <c r="I97" s="1">
        <v>179</v>
      </c>
      <c r="J97" s="1">
        <v>15</v>
      </c>
      <c r="K97" s="1">
        <v>63</v>
      </c>
      <c r="L97" s="1">
        <v>152</v>
      </c>
      <c r="M97" s="1">
        <v>167</v>
      </c>
      <c r="N97" s="1">
        <v>80</v>
      </c>
      <c r="O97" s="1">
        <v>31</v>
      </c>
      <c r="P97" s="1">
        <v>64</v>
      </c>
      <c r="Q97" s="1">
        <v>15</v>
      </c>
      <c r="R97" s="1">
        <v>53</v>
      </c>
      <c r="S97" s="1">
        <v>101</v>
      </c>
      <c r="T97" s="1">
        <v>98</v>
      </c>
      <c r="U97" s="1">
        <v>66</v>
      </c>
      <c r="V97" s="1">
        <v>13</v>
      </c>
      <c r="W97" s="1">
        <v>15</v>
      </c>
      <c r="X97" s="1">
        <v>94</v>
      </c>
      <c r="Y97" s="1">
        <v>77</v>
      </c>
      <c r="Z97" s="1">
        <v>13</v>
      </c>
      <c r="AA97" s="1">
        <v>389</v>
      </c>
      <c r="AB97" s="1">
        <v>61</v>
      </c>
      <c r="AC97" s="1">
        <v>62</v>
      </c>
      <c r="AD97" s="1">
        <v>32</v>
      </c>
      <c r="AE97" s="1">
        <v>47</v>
      </c>
      <c r="AF97" s="18">
        <f t="shared" si="1"/>
        <v>80.466666666666669</v>
      </c>
    </row>
    <row r="98" spans="1:32" x14ac:dyDescent="0.35">
      <c r="A98" s="1" t="s">
        <v>74</v>
      </c>
      <c r="B98" s="1">
        <v>33</v>
      </c>
      <c r="C98" s="1">
        <v>54</v>
      </c>
      <c r="D98" s="1">
        <v>90</v>
      </c>
      <c r="E98" s="1">
        <v>93</v>
      </c>
      <c r="F98" s="1">
        <v>105</v>
      </c>
      <c r="G98" s="1">
        <v>50</v>
      </c>
      <c r="H98" s="1">
        <v>63</v>
      </c>
      <c r="I98" s="1">
        <v>152</v>
      </c>
      <c r="J98" s="1">
        <v>57</v>
      </c>
      <c r="K98" s="1">
        <v>12</v>
      </c>
      <c r="L98" s="1">
        <v>89</v>
      </c>
      <c r="M98" s="1">
        <v>213</v>
      </c>
      <c r="N98" s="1">
        <v>18</v>
      </c>
      <c r="O98" s="1">
        <v>19</v>
      </c>
      <c r="P98" s="1">
        <v>348</v>
      </c>
      <c r="Q98" s="1">
        <v>136</v>
      </c>
      <c r="R98" s="1">
        <v>31</v>
      </c>
      <c r="S98" s="1">
        <v>18</v>
      </c>
      <c r="T98" s="1">
        <v>45</v>
      </c>
      <c r="U98" s="1">
        <v>15</v>
      </c>
      <c r="V98" s="1">
        <v>19</v>
      </c>
      <c r="W98" s="1">
        <v>42</v>
      </c>
      <c r="X98" s="1">
        <v>14</v>
      </c>
      <c r="Y98" s="1">
        <v>15</v>
      </c>
      <c r="Z98" s="1">
        <v>15</v>
      </c>
      <c r="AA98" s="1">
        <v>141</v>
      </c>
      <c r="AB98" s="1">
        <v>135</v>
      </c>
      <c r="AC98" s="1">
        <v>25</v>
      </c>
      <c r="AD98" s="1">
        <v>46</v>
      </c>
      <c r="AE98" s="1">
        <v>41</v>
      </c>
      <c r="AF98" s="18">
        <f t="shared" si="1"/>
        <v>71.13333333333334</v>
      </c>
    </row>
    <row r="99" spans="1:32" x14ac:dyDescent="0.35">
      <c r="A99" s="1" t="s">
        <v>75</v>
      </c>
      <c r="B99" s="1">
        <v>49</v>
      </c>
      <c r="C99" s="1">
        <v>17</v>
      </c>
      <c r="D99" s="1">
        <v>16</v>
      </c>
      <c r="E99" s="1">
        <v>49</v>
      </c>
      <c r="F99" s="1">
        <v>51</v>
      </c>
      <c r="G99" s="1">
        <v>83</v>
      </c>
      <c r="H99" s="1">
        <v>16</v>
      </c>
      <c r="I99" s="1">
        <v>23</v>
      </c>
      <c r="J99" s="1">
        <v>24</v>
      </c>
      <c r="K99" s="1">
        <v>39</v>
      </c>
      <c r="L99" s="1">
        <v>22</v>
      </c>
      <c r="M99" s="1">
        <v>93</v>
      </c>
      <c r="N99" s="1">
        <v>19</v>
      </c>
      <c r="O99" s="1">
        <v>70</v>
      </c>
      <c r="P99" s="1">
        <v>16</v>
      </c>
      <c r="Q99" s="1">
        <v>17</v>
      </c>
      <c r="R99" s="1">
        <v>16</v>
      </c>
      <c r="S99" s="1">
        <v>20</v>
      </c>
      <c r="T99" s="1">
        <v>77</v>
      </c>
      <c r="U99" s="1">
        <v>63</v>
      </c>
      <c r="V99" s="1">
        <v>17</v>
      </c>
      <c r="W99" s="1">
        <v>13</v>
      </c>
      <c r="X99" s="1">
        <v>51</v>
      </c>
      <c r="Y99" s="1">
        <v>61</v>
      </c>
      <c r="Z99" s="1">
        <v>25</v>
      </c>
      <c r="AA99" s="1">
        <v>18</v>
      </c>
      <c r="AB99" s="1">
        <v>34</v>
      </c>
      <c r="AC99" s="1">
        <v>58</v>
      </c>
      <c r="AD99" s="1">
        <v>34</v>
      </c>
      <c r="AE99" s="1">
        <v>56</v>
      </c>
      <c r="AF99" s="18">
        <f t="shared" si="1"/>
        <v>38.233333333333334</v>
      </c>
    </row>
    <row r="100" spans="1:32" x14ac:dyDescent="0.35">
      <c r="A100" s="1" t="s">
        <v>76</v>
      </c>
      <c r="B100" s="1">
        <v>101</v>
      </c>
      <c r="C100" s="1">
        <v>71</v>
      </c>
      <c r="D100" s="1">
        <v>16</v>
      </c>
      <c r="E100" s="1">
        <v>37</v>
      </c>
      <c r="F100" s="1">
        <v>14</v>
      </c>
      <c r="G100" s="1">
        <v>90</v>
      </c>
      <c r="H100" s="1">
        <v>52</v>
      </c>
      <c r="I100" s="1">
        <v>86</v>
      </c>
      <c r="J100" s="1">
        <v>31</v>
      </c>
      <c r="K100" s="1">
        <v>72</v>
      </c>
      <c r="L100" s="1">
        <v>65</v>
      </c>
      <c r="M100" s="1">
        <v>126</v>
      </c>
      <c r="N100" s="1">
        <v>41</v>
      </c>
      <c r="O100" s="1">
        <v>22</v>
      </c>
      <c r="P100" s="1">
        <v>69</v>
      </c>
      <c r="Q100" s="1">
        <v>24</v>
      </c>
      <c r="R100" s="1">
        <v>87</v>
      </c>
      <c r="S100" s="1">
        <v>19</v>
      </c>
      <c r="T100" s="1">
        <v>24</v>
      </c>
      <c r="U100" s="1">
        <v>111</v>
      </c>
      <c r="V100" s="1">
        <v>23</v>
      </c>
      <c r="W100" s="1">
        <v>24</v>
      </c>
      <c r="X100" s="1">
        <v>92</v>
      </c>
      <c r="Y100" s="1">
        <v>60</v>
      </c>
      <c r="Z100" s="1">
        <v>51</v>
      </c>
      <c r="AA100" s="1">
        <v>229</v>
      </c>
      <c r="AB100" s="1">
        <v>97</v>
      </c>
      <c r="AC100" s="1">
        <v>145</v>
      </c>
      <c r="AD100" s="1">
        <v>22</v>
      </c>
      <c r="AE100" s="1">
        <v>12</v>
      </c>
      <c r="AF100" s="18">
        <f t="shared" si="1"/>
        <v>63.766666666666666</v>
      </c>
    </row>
    <row r="101" spans="1:32" x14ac:dyDescent="0.35">
      <c r="A101" s="1" t="s">
        <v>77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8">
        <f t="shared" si="1"/>
        <v>0</v>
      </c>
    </row>
    <row r="102" spans="1:32" x14ac:dyDescent="0.35">
      <c r="A102" s="1" t="s">
        <v>78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8">
        <f t="shared" si="1"/>
        <v>0</v>
      </c>
    </row>
    <row r="103" spans="1:32" x14ac:dyDescent="0.35">
      <c r="A103" s="1" t="s">
        <v>79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8">
        <f t="shared" si="1"/>
        <v>0</v>
      </c>
    </row>
    <row r="104" spans="1:32" x14ac:dyDescent="0.35">
      <c r="A104" s="1" t="s">
        <v>183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8">
        <f t="shared" si="1"/>
        <v>0</v>
      </c>
    </row>
    <row r="105" spans="1:32" x14ac:dyDescent="0.35">
      <c r="A105" s="1" t="s">
        <v>80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8">
        <f t="shared" si="1"/>
        <v>0</v>
      </c>
    </row>
    <row r="106" spans="1:32" x14ac:dyDescent="0.35">
      <c r="A106" s="1" t="s">
        <v>81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8">
        <f t="shared" si="1"/>
        <v>0</v>
      </c>
    </row>
    <row r="107" spans="1:32" x14ac:dyDescent="0.35">
      <c r="A107" s="1" t="s">
        <v>82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8">
        <f t="shared" si="1"/>
        <v>0</v>
      </c>
    </row>
    <row r="108" spans="1:32" x14ac:dyDescent="0.35">
      <c r="A108" s="1" t="s">
        <v>83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8">
        <f t="shared" si="1"/>
        <v>0</v>
      </c>
    </row>
    <row r="109" spans="1:32" x14ac:dyDescent="0.35">
      <c r="A109" s="1" t="s">
        <v>84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8">
        <f t="shared" si="1"/>
        <v>0</v>
      </c>
    </row>
    <row r="110" spans="1:32" x14ac:dyDescent="0.35">
      <c r="A110" s="1" t="s">
        <v>85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8">
        <f t="shared" si="1"/>
        <v>0</v>
      </c>
    </row>
    <row r="111" spans="1:32" x14ac:dyDescent="0.35">
      <c r="A111" s="1" t="s">
        <v>86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8">
        <f t="shared" si="1"/>
        <v>0</v>
      </c>
    </row>
    <row r="112" spans="1:32" x14ac:dyDescent="0.35">
      <c r="A112" s="1" t="s">
        <v>87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8">
        <f t="shared" si="1"/>
        <v>0</v>
      </c>
    </row>
    <row r="113" spans="1:32" x14ac:dyDescent="0.35">
      <c r="A113" s="1" t="s">
        <v>88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8">
        <f t="shared" si="1"/>
        <v>0</v>
      </c>
    </row>
    <row r="114" spans="1:32" x14ac:dyDescent="0.35">
      <c r="A114" s="1" t="s">
        <v>89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8">
        <f t="shared" si="1"/>
        <v>0</v>
      </c>
    </row>
    <row r="115" spans="1:32" x14ac:dyDescent="0.35">
      <c r="A115" s="1" t="s">
        <v>196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8">
        <f t="shared" si="1"/>
        <v>0</v>
      </c>
    </row>
    <row r="116" spans="1:32" x14ac:dyDescent="0.35">
      <c r="A116" s="1" t="s">
        <v>90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8">
        <f t="shared" si="1"/>
        <v>0</v>
      </c>
    </row>
    <row r="117" spans="1:32" x14ac:dyDescent="0.35">
      <c r="A117" s="1" t="s">
        <v>91</v>
      </c>
      <c r="B117" s="1">
        <v>29</v>
      </c>
      <c r="C117" s="1">
        <v>60</v>
      </c>
      <c r="D117" s="1">
        <v>74</v>
      </c>
      <c r="E117" s="1">
        <v>21</v>
      </c>
      <c r="F117" s="1">
        <v>52</v>
      </c>
      <c r="G117" s="1">
        <v>163</v>
      </c>
      <c r="H117" s="1">
        <v>30</v>
      </c>
      <c r="I117" s="1">
        <v>53</v>
      </c>
      <c r="J117" s="1">
        <v>70</v>
      </c>
      <c r="K117" s="1">
        <v>104</v>
      </c>
      <c r="L117" s="1">
        <v>17</v>
      </c>
      <c r="M117" s="1">
        <v>107</v>
      </c>
      <c r="N117" s="1">
        <v>63</v>
      </c>
      <c r="O117" s="1">
        <v>22</v>
      </c>
      <c r="P117" s="1">
        <v>44</v>
      </c>
      <c r="Q117" s="1">
        <v>29</v>
      </c>
      <c r="R117" s="1">
        <v>46</v>
      </c>
      <c r="S117" s="1">
        <v>60</v>
      </c>
      <c r="T117" s="1">
        <v>72</v>
      </c>
      <c r="U117" s="1">
        <v>70</v>
      </c>
      <c r="V117" s="1">
        <v>25</v>
      </c>
      <c r="W117" s="1">
        <v>12</v>
      </c>
      <c r="X117" s="1">
        <v>49</v>
      </c>
      <c r="Y117" s="1">
        <v>113</v>
      </c>
      <c r="Z117" s="1">
        <v>49</v>
      </c>
      <c r="AA117" s="1">
        <v>14</v>
      </c>
      <c r="AB117" s="1">
        <v>61</v>
      </c>
      <c r="AC117" s="1">
        <v>27</v>
      </c>
      <c r="AD117" s="1">
        <v>44</v>
      </c>
      <c r="AE117" s="1">
        <v>151</v>
      </c>
      <c r="AF117" s="18">
        <f t="shared" si="1"/>
        <v>57.7</v>
      </c>
    </row>
    <row r="118" spans="1:32" x14ac:dyDescent="0.35">
      <c r="A118" s="1" t="s">
        <v>92</v>
      </c>
      <c r="B118" s="1">
        <v>25</v>
      </c>
      <c r="C118" s="1">
        <v>12</v>
      </c>
      <c r="D118" s="1">
        <v>136</v>
      </c>
      <c r="E118" s="1">
        <v>25</v>
      </c>
      <c r="F118" s="1">
        <v>32</v>
      </c>
      <c r="G118" s="1">
        <v>56</v>
      </c>
      <c r="H118" s="1">
        <v>13</v>
      </c>
      <c r="I118" s="1">
        <v>22</v>
      </c>
      <c r="J118" s="1">
        <v>69</v>
      </c>
      <c r="K118" s="1">
        <v>68</v>
      </c>
      <c r="L118" s="1">
        <v>35</v>
      </c>
      <c r="M118" s="1">
        <v>21</v>
      </c>
      <c r="N118" s="1">
        <v>27</v>
      </c>
      <c r="O118" s="1">
        <v>22</v>
      </c>
      <c r="P118" s="1">
        <v>27</v>
      </c>
      <c r="Q118" s="1">
        <v>66</v>
      </c>
      <c r="R118" s="1">
        <v>26</v>
      </c>
      <c r="S118" s="1">
        <v>35</v>
      </c>
      <c r="T118" s="1">
        <v>21</v>
      </c>
      <c r="U118" s="1">
        <v>43</v>
      </c>
      <c r="V118" s="1">
        <v>31</v>
      </c>
      <c r="W118" s="1">
        <v>19</v>
      </c>
      <c r="X118" s="1">
        <v>15</v>
      </c>
      <c r="Y118" s="1">
        <v>111</v>
      </c>
      <c r="Z118" s="1">
        <v>52</v>
      </c>
      <c r="AA118" s="1">
        <v>94</v>
      </c>
      <c r="AB118" s="1">
        <v>163</v>
      </c>
      <c r="AC118" s="1">
        <v>117</v>
      </c>
      <c r="AD118" s="1">
        <v>23</v>
      </c>
      <c r="AE118" s="1">
        <v>48</v>
      </c>
      <c r="AF118" s="18">
        <f t="shared" si="1"/>
        <v>48.466666666666669</v>
      </c>
    </row>
    <row r="119" spans="1:32" x14ac:dyDescent="0.35">
      <c r="A119" s="1" t="s">
        <v>93</v>
      </c>
      <c r="B119" s="1">
        <v>34</v>
      </c>
      <c r="C119" s="1">
        <v>15</v>
      </c>
      <c r="D119" s="1">
        <v>47</v>
      </c>
      <c r="E119" s="1">
        <v>33</v>
      </c>
      <c r="F119" s="1">
        <v>54</v>
      </c>
      <c r="G119" s="1">
        <v>39</v>
      </c>
      <c r="H119" s="1">
        <v>14</v>
      </c>
      <c r="I119" s="1">
        <v>47</v>
      </c>
      <c r="J119" s="1">
        <v>45</v>
      </c>
      <c r="K119" s="1">
        <v>29</v>
      </c>
      <c r="L119" s="1">
        <v>21</v>
      </c>
      <c r="M119" s="1">
        <v>23</v>
      </c>
      <c r="N119" s="1">
        <v>30</v>
      </c>
      <c r="O119" s="1">
        <v>69</v>
      </c>
      <c r="P119" s="1">
        <v>23</v>
      </c>
      <c r="Q119" s="1">
        <v>19</v>
      </c>
      <c r="R119" s="1">
        <v>155</v>
      </c>
      <c r="S119" s="1">
        <v>42</v>
      </c>
      <c r="T119" s="1">
        <v>50</v>
      </c>
      <c r="U119" s="1">
        <v>17</v>
      </c>
      <c r="V119" s="1">
        <v>64</v>
      </c>
      <c r="W119" s="1">
        <v>26</v>
      </c>
      <c r="X119" s="1">
        <v>12</v>
      </c>
      <c r="Y119" s="1">
        <v>42</v>
      </c>
      <c r="Z119" s="1">
        <v>121</v>
      </c>
      <c r="AA119" s="1">
        <v>78</v>
      </c>
      <c r="AB119" s="1">
        <v>35</v>
      </c>
      <c r="AC119" s="1">
        <v>73</v>
      </c>
      <c r="AD119" s="1">
        <v>37</v>
      </c>
      <c r="AE119" s="1">
        <v>13</v>
      </c>
      <c r="AF119" s="18">
        <f t="shared" si="1"/>
        <v>43.56666666666667</v>
      </c>
    </row>
    <row r="120" spans="1:32" x14ac:dyDescent="0.35">
      <c r="A120" s="1" t="s">
        <v>94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8">
        <f t="shared" si="1"/>
        <v>0</v>
      </c>
    </row>
    <row r="121" spans="1:32" x14ac:dyDescent="0.35">
      <c r="A121" s="1" t="s">
        <v>95</v>
      </c>
      <c r="B121" s="1">
        <v>55</v>
      </c>
      <c r="C121" s="1">
        <v>14</v>
      </c>
      <c r="D121" s="1">
        <v>16</v>
      </c>
      <c r="E121" s="1">
        <v>13</v>
      </c>
      <c r="F121" s="1">
        <v>109</v>
      </c>
      <c r="G121" s="1">
        <v>171</v>
      </c>
      <c r="H121" s="1">
        <v>301</v>
      </c>
      <c r="I121" s="1">
        <v>12</v>
      </c>
      <c r="J121" s="1">
        <v>83</v>
      </c>
      <c r="K121" s="1">
        <v>80</v>
      </c>
      <c r="L121" s="1">
        <v>43</v>
      </c>
      <c r="M121" s="1">
        <v>96</v>
      </c>
      <c r="N121" s="1">
        <v>57</v>
      </c>
      <c r="O121" s="1">
        <v>152</v>
      </c>
      <c r="P121" s="1">
        <v>58</v>
      </c>
      <c r="Q121" s="1">
        <v>22</v>
      </c>
      <c r="R121" s="1">
        <v>15</v>
      </c>
      <c r="S121" s="1">
        <v>40</v>
      </c>
      <c r="T121" s="1">
        <v>92</v>
      </c>
      <c r="U121" s="1">
        <v>55</v>
      </c>
      <c r="V121" s="1">
        <v>14</v>
      </c>
      <c r="W121" s="1">
        <v>28</v>
      </c>
      <c r="X121" s="1">
        <v>200</v>
      </c>
      <c r="Y121" s="1">
        <v>103</v>
      </c>
      <c r="Z121" s="1">
        <v>59</v>
      </c>
      <c r="AA121" s="1">
        <v>132</v>
      </c>
      <c r="AB121" s="1">
        <v>27</v>
      </c>
      <c r="AC121" s="1">
        <v>19</v>
      </c>
      <c r="AD121" s="1">
        <v>63</v>
      </c>
      <c r="AE121" s="1">
        <v>134</v>
      </c>
      <c r="AF121" s="18">
        <f t="shared" si="1"/>
        <v>75.433333333333337</v>
      </c>
    </row>
    <row r="122" spans="1:32" x14ac:dyDescent="0.35">
      <c r="A122" s="1" t="s">
        <v>96</v>
      </c>
      <c r="B122" s="1">
        <v>16</v>
      </c>
      <c r="C122" s="1">
        <v>83</v>
      </c>
      <c r="D122" s="1">
        <v>48</v>
      </c>
      <c r="E122" s="1">
        <v>47</v>
      </c>
      <c r="F122" s="1">
        <v>20</v>
      </c>
      <c r="G122" s="1">
        <v>206</v>
      </c>
      <c r="H122" s="1">
        <v>31</v>
      </c>
      <c r="I122" s="1">
        <v>16</v>
      </c>
      <c r="J122" s="1">
        <v>57</v>
      </c>
      <c r="K122" s="1">
        <v>19</v>
      </c>
      <c r="L122" s="1">
        <v>12</v>
      </c>
      <c r="M122" s="1">
        <v>34</v>
      </c>
      <c r="N122" s="1">
        <v>27</v>
      </c>
      <c r="O122" s="1">
        <v>184</v>
      </c>
      <c r="P122" s="1">
        <v>29</v>
      </c>
      <c r="Q122" s="1">
        <v>131</v>
      </c>
      <c r="R122" s="1">
        <v>18</v>
      </c>
      <c r="S122" s="1">
        <v>63</v>
      </c>
      <c r="T122" s="1">
        <v>33</v>
      </c>
      <c r="U122" s="1">
        <v>38</v>
      </c>
      <c r="V122" s="1">
        <v>22</v>
      </c>
      <c r="W122" s="1">
        <v>67</v>
      </c>
      <c r="X122" s="1">
        <v>25</v>
      </c>
      <c r="Y122" s="1">
        <v>14</v>
      </c>
      <c r="Z122" s="1">
        <v>49</v>
      </c>
      <c r="AA122" s="1">
        <v>62</v>
      </c>
      <c r="AB122" s="1">
        <v>145</v>
      </c>
      <c r="AC122" s="1">
        <v>41</v>
      </c>
      <c r="AD122" s="1">
        <v>36</v>
      </c>
      <c r="AE122" s="1">
        <v>21</v>
      </c>
      <c r="AF122" s="18">
        <f t="shared" si="1"/>
        <v>53.133333333333333</v>
      </c>
    </row>
    <row r="123" spans="1:32" x14ac:dyDescent="0.35">
      <c r="A123" s="1" t="s">
        <v>97</v>
      </c>
      <c r="B123" s="1">
        <v>22</v>
      </c>
      <c r="C123" s="1">
        <v>27</v>
      </c>
      <c r="D123" s="1">
        <v>70</v>
      </c>
      <c r="E123" s="1">
        <v>188</v>
      </c>
      <c r="F123" s="1">
        <v>96</v>
      </c>
      <c r="G123" s="1">
        <v>85</v>
      </c>
      <c r="H123" s="1">
        <v>139</v>
      </c>
      <c r="I123" s="1">
        <v>95</v>
      </c>
      <c r="J123" s="1">
        <v>169</v>
      </c>
      <c r="K123" s="1">
        <v>55</v>
      </c>
      <c r="L123" s="1">
        <v>13</v>
      </c>
      <c r="M123" s="1">
        <v>59</v>
      </c>
      <c r="N123" s="1">
        <v>53</v>
      </c>
      <c r="O123" s="1">
        <v>82</v>
      </c>
      <c r="P123" s="1">
        <v>36</v>
      </c>
      <c r="Q123" s="1">
        <v>41</v>
      </c>
      <c r="R123" s="1">
        <v>55</v>
      </c>
      <c r="S123" s="1">
        <v>26</v>
      </c>
      <c r="T123" s="1">
        <v>65</v>
      </c>
      <c r="U123" s="1">
        <v>22</v>
      </c>
      <c r="V123" s="1">
        <v>40</v>
      </c>
      <c r="W123" s="1">
        <v>43</v>
      </c>
      <c r="X123" s="1">
        <v>21</v>
      </c>
      <c r="Y123" s="1">
        <v>21</v>
      </c>
      <c r="Z123" s="1">
        <v>49</v>
      </c>
      <c r="AA123" s="1">
        <v>38</v>
      </c>
      <c r="AB123" s="1">
        <v>118</v>
      </c>
      <c r="AC123" s="1">
        <v>123</v>
      </c>
      <c r="AD123" s="1">
        <v>56</v>
      </c>
      <c r="AE123" s="1">
        <v>12</v>
      </c>
      <c r="AF123" s="18">
        <f t="shared" si="1"/>
        <v>63.966666666666669</v>
      </c>
    </row>
    <row r="124" spans="1:32" x14ac:dyDescent="0.35">
      <c r="A124" s="1" t="s">
        <v>98</v>
      </c>
      <c r="B124" s="1">
        <v>34</v>
      </c>
      <c r="C124" s="1">
        <v>43</v>
      </c>
      <c r="D124" s="1">
        <v>60</v>
      </c>
      <c r="E124" s="1">
        <v>147</v>
      </c>
      <c r="F124" s="1">
        <v>95</v>
      </c>
      <c r="G124" s="1">
        <v>21</v>
      </c>
      <c r="H124" s="1">
        <v>264</v>
      </c>
      <c r="I124" s="1">
        <v>126</v>
      </c>
      <c r="J124" s="1">
        <v>83</v>
      </c>
      <c r="K124" s="1">
        <v>138</v>
      </c>
      <c r="L124" s="1">
        <v>18</v>
      </c>
      <c r="M124" s="1">
        <v>76</v>
      </c>
      <c r="N124" s="1">
        <v>22</v>
      </c>
      <c r="O124" s="1">
        <v>16</v>
      </c>
      <c r="P124" s="1">
        <v>41</v>
      </c>
      <c r="Q124" s="1">
        <v>90</v>
      </c>
      <c r="R124" s="1">
        <v>287</v>
      </c>
      <c r="S124" s="1">
        <v>21</v>
      </c>
      <c r="T124" s="1">
        <v>28</v>
      </c>
      <c r="U124" s="1">
        <v>80</v>
      </c>
      <c r="V124" s="1">
        <v>90</v>
      </c>
      <c r="W124" s="1">
        <v>138</v>
      </c>
      <c r="X124" s="1">
        <v>78</v>
      </c>
      <c r="Y124" s="1">
        <v>89</v>
      </c>
      <c r="Z124" s="1">
        <v>26</v>
      </c>
      <c r="AA124" s="1">
        <v>12</v>
      </c>
      <c r="AB124" s="1">
        <v>37</v>
      </c>
      <c r="AC124" s="1">
        <v>16</v>
      </c>
      <c r="AD124" s="1">
        <v>99</v>
      </c>
      <c r="AE124" s="1">
        <v>13</v>
      </c>
      <c r="AF124" s="18">
        <f t="shared" si="1"/>
        <v>76.266666666666666</v>
      </c>
    </row>
    <row r="125" spans="1:32" x14ac:dyDescent="0.35">
      <c r="A125" s="1" t="s">
        <v>184</v>
      </c>
      <c r="B125" s="1">
        <v>19</v>
      </c>
      <c r="C125" s="1">
        <v>43</v>
      </c>
      <c r="D125" s="1">
        <v>12</v>
      </c>
      <c r="E125" s="1">
        <v>30</v>
      </c>
      <c r="F125" s="1">
        <v>46</v>
      </c>
      <c r="G125" s="1">
        <v>130</v>
      </c>
      <c r="H125" s="1">
        <v>35</v>
      </c>
      <c r="I125" s="1">
        <v>62</v>
      </c>
      <c r="J125" s="1">
        <v>49</v>
      </c>
      <c r="K125" s="1">
        <v>22</v>
      </c>
      <c r="L125" s="1">
        <v>125</v>
      </c>
      <c r="M125" s="1">
        <v>94</v>
      </c>
      <c r="N125" s="1">
        <v>31</v>
      </c>
      <c r="O125" s="1">
        <v>32</v>
      </c>
      <c r="P125" s="1">
        <v>51</v>
      </c>
      <c r="Q125" s="1">
        <v>21</v>
      </c>
      <c r="R125" s="1">
        <v>96</v>
      </c>
      <c r="S125" s="1">
        <v>20</v>
      </c>
      <c r="T125" s="1">
        <v>28</v>
      </c>
      <c r="U125" s="1">
        <v>39</v>
      </c>
      <c r="V125" s="1">
        <v>20</v>
      </c>
      <c r="W125" s="1">
        <v>28</v>
      </c>
      <c r="X125" s="1">
        <v>26</v>
      </c>
      <c r="Y125" s="1">
        <v>49</v>
      </c>
      <c r="Z125" s="1">
        <v>46</v>
      </c>
      <c r="AA125" s="1">
        <v>30</v>
      </c>
      <c r="AB125" s="1">
        <v>28</v>
      </c>
      <c r="AC125" s="1">
        <v>18</v>
      </c>
      <c r="AD125" s="1">
        <v>14</v>
      </c>
      <c r="AE125" s="1">
        <v>34</v>
      </c>
      <c r="AF125" s="18">
        <f t="shared" si="1"/>
        <v>42.6</v>
      </c>
    </row>
    <row r="126" spans="1:32" x14ac:dyDescent="0.35">
      <c r="A126" s="1" t="s">
        <v>99</v>
      </c>
      <c r="B126" s="1">
        <v>16</v>
      </c>
      <c r="C126" s="1">
        <v>180</v>
      </c>
      <c r="D126" s="1">
        <v>86</v>
      </c>
      <c r="E126" s="1">
        <v>12</v>
      </c>
      <c r="F126" s="1">
        <v>31</v>
      </c>
      <c r="G126" s="1">
        <v>33</v>
      </c>
      <c r="H126" s="1">
        <v>30</v>
      </c>
      <c r="I126" s="1">
        <v>31</v>
      </c>
      <c r="J126" s="1">
        <v>171</v>
      </c>
      <c r="K126" s="1">
        <v>115</v>
      </c>
      <c r="L126" s="1">
        <v>31</v>
      </c>
      <c r="M126" s="1">
        <v>16</v>
      </c>
      <c r="N126" s="1">
        <v>36</v>
      </c>
      <c r="O126" s="1">
        <v>34</v>
      </c>
      <c r="P126" s="1">
        <v>22</v>
      </c>
      <c r="Q126" s="1">
        <v>55</v>
      </c>
      <c r="R126" s="1">
        <v>108</v>
      </c>
      <c r="S126" s="1">
        <v>66</v>
      </c>
      <c r="T126" s="1">
        <v>43</v>
      </c>
      <c r="U126" s="1">
        <v>55</v>
      </c>
      <c r="V126" s="1">
        <v>17</v>
      </c>
      <c r="W126" s="1">
        <v>25</v>
      </c>
      <c r="X126" s="1">
        <v>110</v>
      </c>
      <c r="Y126" s="1">
        <v>62</v>
      </c>
      <c r="Z126" s="1">
        <v>37</v>
      </c>
      <c r="AA126" s="1">
        <v>44</v>
      </c>
      <c r="AB126" s="1">
        <v>73</v>
      </c>
      <c r="AC126" s="1">
        <v>177</v>
      </c>
      <c r="AD126" s="1">
        <v>59</v>
      </c>
      <c r="AE126" s="1">
        <v>101</v>
      </c>
      <c r="AF126" s="18">
        <f t="shared" si="1"/>
        <v>62.533333333333331</v>
      </c>
    </row>
    <row r="127" spans="1:32" x14ac:dyDescent="0.35">
      <c r="A127" s="1" t="s">
        <v>100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8">
        <f t="shared" si="1"/>
        <v>0</v>
      </c>
    </row>
    <row r="128" spans="1:32" x14ac:dyDescent="0.35">
      <c r="A128" s="1" t="s">
        <v>101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8">
        <f t="shared" si="1"/>
        <v>0</v>
      </c>
    </row>
    <row r="129" spans="1:32" x14ac:dyDescent="0.35">
      <c r="A129" s="1" t="s">
        <v>185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8">
        <f t="shared" si="1"/>
        <v>0</v>
      </c>
    </row>
    <row r="130" spans="1:32" x14ac:dyDescent="0.35">
      <c r="A130" s="1" t="s">
        <v>102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8">
        <f t="shared" si="1"/>
        <v>0</v>
      </c>
    </row>
    <row r="131" spans="1:32" x14ac:dyDescent="0.35">
      <c r="A131" s="1" t="s">
        <v>103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8">
        <f t="shared" si="1"/>
        <v>0</v>
      </c>
    </row>
    <row r="132" spans="1:32" x14ac:dyDescent="0.35">
      <c r="A132" s="1" t="s">
        <v>186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8">
        <f t="shared" ref="AF132:AF195" si="2">AVERAGE(B132:AE132)</f>
        <v>0</v>
      </c>
    </row>
    <row r="133" spans="1:32" x14ac:dyDescent="0.35">
      <c r="A133" s="1" t="s">
        <v>104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8">
        <f t="shared" si="2"/>
        <v>0</v>
      </c>
    </row>
    <row r="134" spans="1:32" x14ac:dyDescent="0.35">
      <c r="A134" s="1" t="s">
        <v>187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8">
        <f t="shared" si="2"/>
        <v>0</v>
      </c>
    </row>
    <row r="135" spans="1:32" x14ac:dyDescent="0.35">
      <c r="A135" s="1" t="s">
        <v>160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8">
        <f t="shared" si="2"/>
        <v>0</v>
      </c>
    </row>
    <row r="136" spans="1:32" x14ac:dyDescent="0.35">
      <c r="A136" s="1" t="s">
        <v>105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8">
        <f t="shared" si="2"/>
        <v>0</v>
      </c>
    </row>
    <row r="137" spans="1:32" x14ac:dyDescent="0.35">
      <c r="A137" s="1" t="s">
        <v>106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8">
        <f t="shared" si="2"/>
        <v>0</v>
      </c>
    </row>
    <row r="138" spans="1:32" x14ac:dyDescent="0.35">
      <c r="A138" s="1" t="s">
        <v>188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8">
        <f t="shared" si="2"/>
        <v>0</v>
      </c>
    </row>
    <row r="139" spans="1:32" x14ac:dyDescent="0.35">
      <c r="A139" s="1" t="s">
        <v>107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8">
        <f t="shared" si="2"/>
        <v>0</v>
      </c>
    </row>
    <row r="140" spans="1:32" x14ac:dyDescent="0.35">
      <c r="A140" s="1" t="s">
        <v>108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8">
        <f t="shared" si="2"/>
        <v>0</v>
      </c>
    </row>
    <row r="141" spans="1:32" x14ac:dyDescent="0.35">
      <c r="A141" s="1" t="s">
        <v>109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8">
        <f t="shared" si="2"/>
        <v>0</v>
      </c>
    </row>
    <row r="142" spans="1:32" x14ac:dyDescent="0.35">
      <c r="A142" s="1" t="s">
        <v>189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8">
        <f t="shared" si="2"/>
        <v>0</v>
      </c>
    </row>
    <row r="143" spans="1:32" x14ac:dyDescent="0.35">
      <c r="A143" s="1" t="s">
        <v>110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8">
        <f t="shared" si="2"/>
        <v>0</v>
      </c>
    </row>
    <row r="144" spans="1:32" x14ac:dyDescent="0.35">
      <c r="A144" s="1" t="s">
        <v>111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8">
        <f t="shared" si="2"/>
        <v>0</v>
      </c>
    </row>
    <row r="145" spans="1:32" x14ac:dyDescent="0.35">
      <c r="A145" s="1" t="s">
        <v>112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8">
        <f t="shared" si="2"/>
        <v>0</v>
      </c>
    </row>
    <row r="146" spans="1:32" x14ac:dyDescent="0.35">
      <c r="A146" s="1" t="s">
        <v>113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8">
        <f t="shared" si="2"/>
        <v>0</v>
      </c>
    </row>
    <row r="147" spans="1:32" x14ac:dyDescent="0.35">
      <c r="A147" s="1" t="s">
        <v>114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8">
        <f t="shared" si="2"/>
        <v>0</v>
      </c>
    </row>
    <row r="148" spans="1:32" x14ac:dyDescent="0.35">
      <c r="A148" s="1" t="s">
        <v>115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8">
        <f t="shared" si="2"/>
        <v>0</v>
      </c>
    </row>
    <row r="149" spans="1:32" x14ac:dyDescent="0.35">
      <c r="A149" s="1" t="s">
        <v>190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8">
        <f t="shared" si="2"/>
        <v>0</v>
      </c>
    </row>
    <row r="150" spans="1:32" x14ac:dyDescent="0.35">
      <c r="A150" s="1" t="s">
        <v>116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8">
        <f t="shared" si="2"/>
        <v>0</v>
      </c>
    </row>
    <row r="151" spans="1:32" x14ac:dyDescent="0.35">
      <c r="A151" s="1" t="s">
        <v>197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8">
        <f t="shared" si="2"/>
        <v>0</v>
      </c>
    </row>
    <row r="152" spans="1:32" x14ac:dyDescent="0.35">
      <c r="A152" s="1" t="s">
        <v>117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8">
        <f t="shared" si="2"/>
        <v>0</v>
      </c>
    </row>
    <row r="153" spans="1:32" x14ac:dyDescent="0.35">
      <c r="A153" s="1" t="s">
        <v>198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8">
        <f t="shared" si="2"/>
        <v>0</v>
      </c>
    </row>
    <row r="154" spans="1:32" x14ac:dyDescent="0.35">
      <c r="A154" s="1" t="s">
        <v>118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8">
        <f t="shared" si="2"/>
        <v>0</v>
      </c>
    </row>
    <row r="155" spans="1:32" x14ac:dyDescent="0.35">
      <c r="A155" s="1" t="s">
        <v>119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8">
        <f t="shared" si="2"/>
        <v>0</v>
      </c>
    </row>
    <row r="156" spans="1:32" x14ac:dyDescent="0.35">
      <c r="A156" s="1" t="s">
        <v>191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8">
        <f t="shared" si="2"/>
        <v>0</v>
      </c>
    </row>
    <row r="157" spans="1:32" x14ac:dyDescent="0.35">
      <c r="A157" s="1" t="s">
        <v>120</v>
      </c>
      <c r="B157" s="1">
        <v>23</v>
      </c>
      <c r="C157" s="1">
        <v>46</v>
      </c>
      <c r="D157" s="1">
        <v>21</v>
      </c>
      <c r="E157" s="1">
        <v>36</v>
      </c>
      <c r="F157" s="1">
        <v>39</v>
      </c>
      <c r="G157" s="1">
        <v>59</v>
      </c>
      <c r="H157" s="1">
        <v>24</v>
      </c>
      <c r="I157" s="1">
        <v>63</v>
      </c>
      <c r="J157" s="1">
        <v>97</v>
      </c>
      <c r="K157" s="1">
        <v>90</v>
      </c>
      <c r="L157" s="1">
        <v>39</v>
      </c>
      <c r="M157" s="1">
        <v>46</v>
      </c>
      <c r="N157" s="1">
        <v>17</v>
      </c>
      <c r="O157" s="1">
        <v>24</v>
      </c>
      <c r="P157" s="1">
        <v>64</v>
      </c>
      <c r="Q157" s="1">
        <v>17</v>
      </c>
      <c r="R157" s="1">
        <v>106</v>
      </c>
      <c r="S157" s="1">
        <v>64</v>
      </c>
      <c r="T157" s="1">
        <v>26</v>
      </c>
      <c r="U157" s="1">
        <v>93</v>
      </c>
      <c r="V157" s="1">
        <v>37</v>
      </c>
      <c r="W157" s="1">
        <v>80</v>
      </c>
      <c r="X157" s="1">
        <v>85</v>
      </c>
      <c r="Y157" s="1">
        <v>31</v>
      </c>
      <c r="Z157" s="1">
        <v>88</v>
      </c>
      <c r="AA157" s="1">
        <v>76</v>
      </c>
      <c r="AB157" s="1">
        <v>49</v>
      </c>
      <c r="AC157" s="1">
        <v>92</v>
      </c>
      <c r="AD157" s="1">
        <v>89</v>
      </c>
      <c r="AE157" s="1">
        <v>69</v>
      </c>
      <c r="AF157" s="18">
        <f t="shared" si="2"/>
        <v>56.333333333333336</v>
      </c>
    </row>
    <row r="158" spans="1:32" x14ac:dyDescent="0.35">
      <c r="A158" s="1" t="s">
        <v>121</v>
      </c>
      <c r="B158" s="1">
        <v>26</v>
      </c>
      <c r="C158" s="1">
        <v>29</v>
      </c>
      <c r="D158" s="1">
        <v>118</v>
      </c>
      <c r="E158" s="1">
        <v>40</v>
      </c>
      <c r="F158" s="1">
        <v>95</v>
      </c>
      <c r="G158" s="1">
        <v>77</v>
      </c>
      <c r="H158" s="1">
        <v>134</v>
      </c>
      <c r="I158" s="1">
        <v>140</v>
      </c>
      <c r="J158" s="1">
        <v>12</v>
      </c>
      <c r="K158" s="1">
        <v>48</v>
      </c>
      <c r="L158" s="1">
        <v>65</v>
      </c>
      <c r="M158" s="1">
        <v>12</v>
      </c>
      <c r="N158" s="1">
        <v>20</v>
      </c>
      <c r="O158" s="1">
        <v>53</v>
      </c>
      <c r="P158" s="1">
        <v>19</v>
      </c>
      <c r="Q158" s="1">
        <v>27</v>
      </c>
      <c r="R158" s="1">
        <v>31</v>
      </c>
      <c r="S158" s="1">
        <v>67</v>
      </c>
      <c r="T158" s="1">
        <v>51</v>
      </c>
      <c r="U158" s="1">
        <v>110</v>
      </c>
      <c r="V158" s="1">
        <v>69</v>
      </c>
      <c r="W158" s="1">
        <v>17</v>
      </c>
      <c r="X158" s="1">
        <v>14</v>
      </c>
      <c r="Y158" s="1">
        <v>26</v>
      </c>
      <c r="Z158" s="1">
        <v>87</v>
      </c>
      <c r="AA158" s="1">
        <v>43</v>
      </c>
      <c r="AB158" s="1">
        <v>93</v>
      </c>
      <c r="AC158" s="1">
        <v>20</v>
      </c>
      <c r="AD158" s="1">
        <v>46</v>
      </c>
      <c r="AE158" s="1">
        <v>64</v>
      </c>
      <c r="AF158" s="18">
        <f t="shared" si="2"/>
        <v>55.1</v>
      </c>
    </row>
    <row r="159" spans="1:32" x14ac:dyDescent="0.35">
      <c r="A159" s="1" t="s">
        <v>141</v>
      </c>
      <c r="B159" s="1">
        <v>21</v>
      </c>
      <c r="C159" s="1">
        <v>21</v>
      </c>
      <c r="D159" s="1">
        <v>57</v>
      </c>
      <c r="E159" s="1">
        <v>122</v>
      </c>
      <c r="F159" s="1">
        <v>17</v>
      </c>
      <c r="G159" s="1">
        <v>30</v>
      </c>
      <c r="H159" s="1">
        <v>73</v>
      </c>
      <c r="I159" s="1">
        <v>60</v>
      </c>
      <c r="J159" s="1">
        <v>63</v>
      </c>
      <c r="K159" s="1">
        <v>71</v>
      </c>
      <c r="L159" s="1">
        <v>73</v>
      </c>
      <c r="M159" s="1">
        <v>19</v>
      </c>
      <c r="N159" s="1">
        <v>54</v>
      </c>
      <c r="O159" s="1">
        <v>24</v>
      </c>
      <c r="P159" s="1">
        <v>47</v>
      </c>
      <c r="Q159" s="1">
        <v>99</v>
      </c>
      <c r="R159" s="1">
        <v>43</v>
      </c>
      <c r="S159" s="1">
        <v>13</v>
      </c>
      <c r="T159" s="1">
        <v>42</v>
      </c>
      <c r="U159" s="1">
        <v>19</v>
      </c>
      <c r="V159" s="1">
        <v>23</v>
      </c>
      <c r="W159" s="1">
        <v>43</v>
      </c>
      <c r="X159" s="1">
        <v>23</v>
      </c>
      <c r="Y159" s="1">
        <v>53</v>
      </c>
      <c r="Z159" s="1">
        <v>19</v>
      </c>
      <c r="AA159" s="1">
        <v>70</v>
      </c>
      <c r="AB159" s="1">
        <v>38</v>
      </c>
      <c r="AC159" s="1">
        <v>16</v>
      </c>
      <c r="AD159" s="1">
        <v>14</v>
      </c>
      <c r="AE159" s="1">
        <v>14</v>
      </c>
      <c r="AF159" s="18">
        <f t="shared" si="2"/>
        <v>42.7</v>
      </c>
    </row>
    <row r="160" spans="1:32" x14ac:dyDescent="0.35">
      <c r="A160" s="1" t="s">
        <v>122</v>
      </c>
      <c r="B160" s="1">
        <v>74</v>
      </c>
      <c r="C160" s="1">
        <v>119</v>
      </c>
      <c r="D160" s="1">
        <v>85</v>
      </c>
      <c r="E160" s="1">
        <v>41</v>
      </c>
      <c r="F160" s="1">
        <v>36</v>
      </c>
      <c r="G160" s="1">
        <v>33</v>
      </c>
      <c r="H160" s="1">
        <v>127</v>
      </c>
      <c r="I160" s="1">
        <v>56</v>
      </c>
      <c r="J160" s="1">
        <v>25</v>
      </c>
      <c r="K160" s="1">
        <v>95</v>
      </c>
      <c r="L160" s="1">
        <v>31</v>
      </c>
      <c r="M160" s="1">
        <v>61</v>
      </c>
      <c r="N160" s="1">
        <v>61</v>
      </c>
      <c r="O160" s="1">
        <v>34</v>
      </c>
      <c r="P160" s="1">
        <v>79</v>
      </c>
      <c r="Q160" s="1">
        <v>71</v>
      </c>
      <c r="R160" s="1">
        <v>336</v>
      </c>
      <c r="S160" s="1">
        <v>115</v>
      </c>
      <c r="T160" s="1">
        <v>40</v>
      </c>
      <c r="U160" s="1">
        <v>85</v>
      </c>
      <c r="V160" s="1">
        <v>22</v>
      </c>
      <c r="W160" s="1">
        <v>107</v>
      </c>
      <c r="X160" s="1">
        <v>162</v>
      </c>
      <c r="Y160" s="1">
        <v>39</v>
      </c>
      <c r="Z160" s="1">
        <v>17</v>
      </c>
      <c r="AA160" s="1">
        <v>56</v>
      </c>
      <c r="AB160" s="1">
        <v>23</v>
      </c>
      <c r="AC160" s="1">
        <v>27</v>
      </c>
      <c r="AD160" s="1">
        <v>140</v>
      </c>
      <c r="AE160" s="1">
        <v>123</v>
      </c>
      <c r="AF160" s="18">
        <f t="shared" si="2"/>
        <v>77.333333333333329</v>
      </c>
    </row>
    <row r="161" spans="1:32" x14ac:dyDescent="0.35">
      <c r="A161" s="1" t="s">
        <v>165</v>
      </c>
      <c r="B161" s="1">
        <v>31</v>
      </c>
      <c r="C161" s="1">
        <v>105</v>
      </c>
      <c r="D161" s="1">
        <v>25</v>
      </c>
      <c r="E161" s="1">
        <v>24</v>
      </c>
      <c r="F161" s="1">
        <v>40</v>
      </c>
      <c r="G161" s="1">
        <v>16</v>
      </c>
      <c r="H161" s="1">
        <v>29</v>
      </c>
      <c r="I161" s="1">
        <v>19</v>
      </c>
      <c r="J161" s="1">
        <v>43</v>
      </c>
      <c r="K161" s="1">
        <v>25</v>
      </c>
      <c r="L161" s="1">
        <v>22</v>
      </c>
      <c r="M161" s="1">
        <v>27</v>
      </c>
      <c r="N161" s="1">
        <v>14</v>
      </c>
      <c r="O161" s="1">
        <v>49</v>
      </c>
      <c r="P161" s="1">
        <v>45</v>
      </c>
      <c r="Q161" s="1">
        <v>61</v>
      </c>
      <c r="R161" s="1">
        <v>79</v>
      </c>
      <c r="S161" s="1">
        <v>38</v>
      </c>
      <c r="T161" s="1">
        <v>122</v>
      </c>
      <c r="U161" s="1">
        <v>15</v>
      </c>
      <c r="V161" s="1">
        <v>30</v>
      </c>
      <c r="W161" s="1">
        <v>65</v>
      </c>
      <c r="X161" s="1">
        <v>75</v>
      </c>
      <c r="Y161" s="1">
        <v>110</v>
      </c>
      <c r="Z161" s="1">
        <v>17</v>
      </c>
      <c r="AA161" s="1">
        <v>34</v>
      </c>
      <c r="AB161" s="1">
        <v>33</v>
      </c>
      <c r="AC161" s="1">
        <v>14</v>
      </c>
      <c r="AD161" s="1">
        <v>54</v>
      </c>
      <c r="AE161" s="1">
        <v>37</v>
      </c>
      <c r="AF161" s="18">
        <f t="shared" si="2"/>
        <v>43.266666666666666</v>
      </c>
    </row>
    <row r="162" spans="1:32" x14ac:dyDescent="0.35">
      <c r="A162" s="1" t="s">
        <v>123</v>
      </c>
      <c r="B162" s="1">
        <v>41</v>
      </c>
      <c r="C162" s="1">
        <v>46</v>
      </c>
      <c r="D162" s="1">
        <v>32</v>
      </c>
      <c r="E162" s="1">
        <v>19</v>
      </c>
      <c r="F162" s="1">
        <v>70</v>
      </c>
      <c r="G162" s="1">
        <v>29</v>
      </c>
      <c r="H162" s="1">
        <v>37</v>
      </c>
      <c r="I162" s="1">
        <v>61</v>
      </c>
      <c r="J162" s="1">
        <v>46</v>
      </c>
      <c r="K162" s="1">
        <v>41</v>
      </c>
      <c r="L162" s="1">
        <v>56</v>
      </c>
      <c r="M162" s="1">
        <v>22</v>
      </c>
      <c r="N162" s="1">
        <v>40</v>
      </c>
      <c r="O162" s="1">
        <v>13</v>
      </c>
      <c r="P162" s="1">
        <v>41</v>
      </c>
      <c r="Q162" s="1">
        <v>40</v>
      </c>
      <c r="R162" s="1">
        <v>17</v>
      </c>
      <c r="S162" s="1">
        <v>84</v>
      </c>
      <c r="T162" s="1">
        <v>52</v>
      </c>
      <c r="U162" s="1">
        <v>65</v>
      </c>
      <c r="V162" s="1">
        <v>53</v>
      </c>
      <c r="W162" s="1">
        <v>30</v>
      </c>
      <c r="X162" s="1">
        <v>51</v>
      </c>
      <c r="Y162" s="1">
        <v>14</v>
      </c>
      <c r="Z162" s="1">
        <v>40</v>
      </c>
      <c r="AA162" s="1">
        <v>23</v>
      </c>
      <c r="AB162" s="1">
        <v>35</v>
      </c>
      <c r="AC162" s="1">
        <v>27</v>
      </c>
      <c r="AD162" s="1">
        <v>20</v>
      </c>
      <c r="AE162" s="1">
        <v>16</v>
      </c>
      <c r="AF162" s="18">
        <f t="shared" si="2"/>
        <v>38.700000000000003</v>
      </c>
    </row>
    <row r="163" spans="1:32" x14ac:dyDescent="0.35">
      <c r="A163" s="1" t="s">
        <v>124</v>
      </c>
      <c r="B163" s="1">
        <v>22</v>
      </c>
      <c r="C163" s="1">
        <v>155</v>
      </c>
      <c r="D163" s="1">
        <v>72</v>
      </c>
      <c r="E163" s="1">
        <v>64</v>
      </c>
      <c r="F163" s="1">
        <v>37</v>
      </c>
      <c r="G163" s="1">
        <v>48</v>
      </c>
      <c r="H163" s="1">
        <v>22</v>
      </c>
      <c r="I163" s="1">
        <v>264</v>
      </c>
      <c r="J163" s="1">
        <v>113</v>
      </c>
      <c r="K163" s="1">
        <v>23</v>
      </c>
      <c r="L163" s="1">
        <v>21</v>
      </c>
      <c r="M163" s="1">
        <v>94</v>
      </c>
      <c r="N163" s="1">
        <v>15</v>
      </c>
      <c r="O163" s="1">
        <v>62</v>
      </c>
      <c r="P163" s="1">
        <v>24</v>
      </c>
      <c r="Q163" s="1">
        <v>22</v>
      </c>
      <c r="R163" s="1">
        <v>27</v>
      </c>
      <c r="S163" s="1">
        <v>52</v>
      </c>
      <c r="T163" s="1">
        <v>40</v>
      </c>
      <c r="U163" s="1">
        <v>16</v>
      </c>
      <c r="V163" s="1">
        <v>36</v>
      </c>
      <c r="W163" s="1">
        <v>26</v>
      </c>
      <c r="X163" s="1">
        <v>67</v>
      </c>
      <c r="Y163" s="1">
        <v>124</v>
      </c>
      <c r="Z163" s="1">
        <v>70</v>
      </c>
      <c r="AA163" s="1">
        <v>122</v>
      </c>
      <c r="AB163" s="1">
        <v>17</v>
      </c>
      <c r="AC163" s="1">
        <v>82</v>
      </c>
      <c r="AD163" s="1">
        <v>33</v>
      </c>
      <c r="AE163" s="1">
        <v>17</v>
      </c>
      <c r="AF163" s="18">
        <f t="shared" si="2"/>
        <v>59.56666666666667</v>
      </c>
    </row>
    <row r="164" spans="1:32" x14ac:dyDescent="0.35">
      <c r="A164" s="1" t="s">
        <v>125</v>
      </c>
      <c r="B164" s="1">
        <v>81</v>
      </c>
      <c r="C164" s="1">
        <v>36</v>
      </c>
      <c r="D164" s="1">
        <v>132</v>
      </c>
      <c r="E164" s="1">
        <v>73</v>
      </c>
      <c r="F164" s="1">
        <v>154</v>
      </c>
      <c r="G164" s="1">
        <v>16</v>
      </c>
      <c r="H164" s="1">
        <v>33</v>
      </c>
      <c r="I164" s="1">
        <v>43</v>
      </c>
      <c r="J164" s="1">
        <v>18</v>
      </c>
      <c r="K164" s="1">
        <v>39</v>
      </c>
      <c r="L164" s="1">
        <v>34</v>
      </c>
      <c r="M164" s="1">
        <v>33</v>
      </c>
      <c r="N164" s="1">
        <v>43</v>
      </c>
      <c r="O164" s="1">
        <v>51</v>
      </c>
      <c r="P164" s="1">
        <v>26</v>
      </c>
      <c r="Q164" s="1">
        <v>15</v>
      </c>
      <c r="R164" s="1">
        <v>112</v>
      </c>
      <c r="S164" s="1">
        <v>106</v>
      </c>
      <c r="T164" s="1">
        <v>36</v>
      </c>
      <c r="U164" s="1">
        <v>28</v>
      </c>
      <c r="V164" s="1">
        <v>61</v>
      </c>
      <c r="W164" s="1">
        <v>41</v>
      </c>
      <c r="X164" s="1">
        <v>32</v>
      </c>
      <c r="Y164" s="1">
        <v>31</v>
      </c>
      <c r="Z164" s="1">
        <v>18</v>
      </c>
      <c r="AA164" s="1">
        <v>39</v>
      </c>
      <c r="AB164" s="1">
        <v>16</v>
      </c>
      <c r="AC164" s="1">
        <v>127</v>
      </c>
      <c r="AD164" s="1">
        <v>90</v>
      </c>
      <c r="AE164" s="1">
        <v>37</v>
      </c>
      <c r="AF164" s="18">
        <f t="shared" si="2"/>
        <v>53.366666666666667</v>
      </c>
    </row>
    <row r="165" spans="1:32" x14ac:dyDescent="0.35">
      <c r="A165" s="1" t="s">
        <v>126</v>
      </c>
      <c r="B165" s="1">
        <v>26</v>
      </c>
      <c r="C165" s="1">
        <v>44</v>
      </c>
      <c r="D165" s="1">
        <v>26</v>
      </c>
      <c r="E165" s="1">
        <v>14</v>
      </c>
      <c r="F165" s="1">
        <v>17</v>
      </c>
      <c r="G165" s="1">
        <v>15</v>
      </c>
      <c r="H165" s="1">
        <v>49</v>
      </c>
      <c r="I165" s="1">
        <v>35</v>
      </c>
      <c r="J165" s="1">
        <v>12</v>
      </c>
      <c r="K165" s="1">
        <v>27</v>
      </c>
      <c r="L165" s="1">
        <v>38</v>
      </c>
      <c r="M165" s="1">
        <v>27</v>
      </c>
      <c r="N165" s="1">
        <v>26</v>
      </c>
      <c r="O165" s="1">
        <v>29</v>
      </c>
      <c r="P165" s="1">
        <v>29</v>
      </c>
      <c r="Q165" s="1">
        <v>88</v>
      </c>
      <c r="R165" s="1">
        <v>34</v>
      </c>
      <c r="S165" s="1">
        <v>20</v>
      </c>
      <c r="T165" s="1">
        <v>17</v>
      </c>
      <c r="U165" s="1">
        <v>33</v>
      </c>
      <c r="V165" s="1">
        <v>48</v>
      </c>
      <c r="W165" s="1">
        <v>41</v>
      </c>
      <c r="X165" s="1">
        <v>49</v>
      </c>
      <c r="Y165" s="1">
        <v>31</v>
      </c>
      <c r="Z165" s="1">
        <v>65</v>
      </c>
      <c r="AA165" s="1">
        <v>29</v>
      </c>
      <c r="AB165" s="1">
        <v>33</v>
      </c>
      <c r="AC165" s="1">
        <v>39</v>
      </c>
      <c r="AD165" s="1">
        <v>31</v>
      </c>
      <c r="AE165" s="1">
        <v>14</v>
      </c>
      <c r="AF165" s="18">
        <f t="shared" si="2"/>
        <v>32.866666666666667</v>
      </c>
    </row>
    <row r="166" spans="1:32" x14ac:dyDescent="0.35">
      <c r="A166" s="1" t="s">
        <v>127</v>
      </c>
      <c r="B166" s="1">
        <v>36</v>
      </c>
      <c r="C166" s="1">
        <v>41</v>
      </c>
      <c r="D166" s="1">
        <v>32</v>
      </c>
      <c r="E166" s="1">
        <v>26</v>
      </c>
      <c r="F166" s="1">
        <v>59</v>
      </c>
      <c r="G166" s="1">
        <v>78</v>
      </c>
      <c r="H166" s="1">
        <v>18</v>
      </c>
      <c r="I166" s="1">
        <v>74</v>
      </c>
      <c r="J166" s="1">
        <v>39</v>
      </c>
      <c r="K166" s="1">
        <v>35</v>
      </c>
      <c r="L166" s="1">
        <v>28</v>
      </c>
      <c r="M166" s="1">
        <v>23</v>
      </c>
      <c r="N166" s="1">
        <v>22</v>
      </c>
      <c r="O166" s="1">
        <v>18</v>
      </c>
      <c r="P166" s="1">
        <v>13</v>
      </c>
      <c r="Q166" s="1">
        <v>33</v>
      </c>
      <c r="R166" s="1">
        <v>32</v>
      </c>
      <c r="S166" s="1">
        <v>42</v>
      </c>
      <c r="T166" s="1">
        <v>13</v>
      </c>
      <c r="U166" s="1">
        <v>17</v>
      </c>
      <c r="V166" s="1">
        <v>26</v>
      </c>
      <c r="W166" s="1">
        <v>50</v>
      </c>
      <c r="X166" s="1">
        <v>13</v>
      </c>
      <c r="Y166" s="1">
        <v>73</v>
      </c>
      <c r="Z166" s="1">
        <v>68</v>
      </c>
      <c r="AA166" s="1">
        <v>12</v>
      </c>
      <c r="AB166" s="1">
        <v>18</v>
      </c>
      <c r="AC166" s="1">
        <v>70</v>
      </c>
      <c r="AD166" s="1">
        <v>13</v>
      </c>
      <c r="AE166" s="1">
        <v>14</v>
      </c>
      <c r="AF166" s="18">
        <f t="shared" si="2"/>
        <v>34.533333333333331</v>
      </c>
    </row>
    <row r="167" spans="1:32" x14ac:dyDescent="0.35">
      <c r="A167" s="1" t="s">
        <v>128</v>
      </c>
      <c r="B167" s="1">
        <v>29</v>
      </c>
      <c r="C167" s="1">
        <v>52</v>
      </c>
      <c r="D167" s="1">
        <v>87</v>
      </c>
      <c r="E167" s="1">
        <v>15</v>
      </c>
      <c r="F167" s="1">
        <v>90</v>
      </c>
      <c r="G167" s="1">
        <v>110</v>
      </c>
      <c r="H167" s="1">
        <v>117</v>
      </c>
      <c r="I167" s="1">
        <v>35</v>
      </c>
      <c r="J167" s="1">
        <v>37</v>
      </c>
      <c r="K167" s="1">
        <v>162</v>
      </c>
      <c r="L167" s="1">
        <v>20</v>
      </c>
      <c r="M167" s="1">
        <v>35</v>
      </c>
      <c r="N167" s="1">
        <v>110</v>
      </c>
      <c r="O167" s="1">
        <v>140</v>
      </c>
      <c r="P167" s="1">
        <v>79</v>
      </c>
      <c r="Q167" s="1">
        <v>20</v>
      </c>
      <c r="R167" s="1">
        <v>18</v>
      </c>
      <c r="S167" s="1">
        <v>19</v>
      </c>
      <c r="T167" s="1">
        <v>73</v>
      </c>
      <c r="U167" s="1">
        <v>289</v>
      </c>
      <c r="V167" s="1">
        <v>41</v>
      </c>
      <c r="W167" s="1">
        <v>97</v>
      </c>
      <c r="X167" s="1">
        <v>143</v>
      </c>
      <c r="Y167" s="1">
        <v>107</v>
      </c>
      <c r="Z167" s="1">
        <v>55</v>
      </c>
      <c r="AA167" s="1">
        <v>92</v>
      </c>
      <c r="AB167" s="1">
        <v>58</v>
      </c>
      <c r="AC167" s="1">
        <v>46</v>
      </c>
      <c r="AD167" s="1">
        <v>42</v>
      </c>
      <c r="AE167" s="1">
        <v>29</v>
      </c>
      <c r="AF167" s="18">
        <f t="shared" si="2"/>
        <v>74.900000000000006</v>
      </c>
    </row>
    <row r="168" spans="1:32" x14ac:dyDescent="0.35">
      <c r="A168" s="1" t="s">
        <v>156</v>
      </c>
      <c r="B168" s="1">
        <v>33</v>
      </c>
      <c r="C168" s="1">
        <v>24</v>
      </c>
      <c r="D168" s="1">
        <v>101</v>
      </c>
      <c r="E168" s="1">
        <v>32</v>
      </c>
      <c r="F168" s="1">
        <v>21</v>
      </c>
      <c r="G168" s="1">
        <v>32</v>
      </c>
      <c r="H168" s="1">
        <v>38</v>
      </c>
      <c r="I168" s="1">
        <v>35</v>
      </c>
      <c r="J168" s="1">
        <v>12</v>
      </c>
      <c r="K168" s="1">
        <v>132</v>
      </c>
      <c r="L168" s="1">
        <v>41</v>
      </c>
      <c r="M168" s="1">
        <v>20</v>
      </c>
      <c r="N168" s="1">
        <v>38</v>
      </c>
      <c r="O168" s="1">
        <v>15</v>
      </c>
      <c r="P168" s="1">
        <v>135</v>
      </c>
      <c r="Q168" s="1">
        <v>54</v>
      </c>
      <c r="R168" s="1">
        <v>28</v>
      </c>
      <c r="S168" s="1">
        <v>15</v>
      </c>
      <c r="T168" s="1">
        <v>28</v>
      </c>
      <c r="U168" s="1">
        <v>15</v>
      </c>
      <c r="V168" s="1">
        <v>44</v>
      </c>
      <c r="W168" s="1">
        <v>48</v>
      </c>
      <c r="X168" s="1">
        <v>77</v>
      </c>
      <c r="Y168" s="1">
        <v>46</v>
      </c>
      <c r="Z168" s="1">
        <v>101</v>
      </c>
      <c r="AA168" s="1">
        <v>48</v>
      </c>
      <c r="AB168" s="1">
        <v>88</v>
      </c>
      <c r="AC168" s="1">
        <v>15</v>
      </c>
      <c r="AD168" s="1">
        <v>107</v>
      </c>
      <c r="AE168" s="1">
        <v>106</v>
      </c>
      <c r="AF168" s="18">
        <f t="shared" si="2"/>
        <v>50.966666666666669</v>
      </c>
    </row>
    <row r="169" spans="1:32" x14ac:dyDescent="0.35">
      <c r="A169" s="1" t="s">
        <v>129</v>
      </c>
      <c r="B169" s="1">
        <v>25</v>
      </c>
      <c r="C169" s="1">
        <v>53</v>
      </c>
      <c r="D169" s="1">
        <v>16</v>
      </c>
      <c r="E169" s="1">
        <v>52</v>
      </c>
      <c r="F169" s="1">
        <v>34</v>
      </c>
      <c r="G169" s="1">
        <v>18</v>
      </c>
      <c r="H169" s="1">
        <v>40</v>
      </c>
      <c r="I169" s="1">
        <v>78</v>
      </c>
      <c r="J169" s="1">
        <v>94</v>
      </c>
      <c r="K169" s="1">
        <v>44</v>
      </c>
      <c r="L169" s="1">
        <v>46</v>
      </c>
      <c r="M169" s="1">
        <v>69</v>
      </c>
      <c r="N169" s="1">
        <v>31</v>
      </c>
      <c r="O169" s="1">
        <v>29</v>
      </c>
      <c r="P169" s="1">
        <v>20</v>
      </c>
      <c r="Q169" s="1">
        <v>76</v>
      </c>
      <c r="R169" s="1">
        <v>13</v>
      </c>
      <c r="S169" s="1">
        <v>51</v>
      </c>
      <c r="T169" s="1">
        <v>18</v>
      </c>
      <c r="U169" s="1">
        <v>12</v>
      </c>
      <c r="V169" s="1">
        <v>88</v>
      </c>
      <c r="W169" s="1">
        <v>14</v>
      </c>
      <c r="X169" s="1">
        <v>125</v>
      </c>
      <c r="Y169" s="1">
        <v>32</v>
      </c>
      <c r="Z169" s="1">
        <v>39</v>
      </c>
      <c r="AA169" s="1">
        <v>18</v>
      </c>
      <c r="AB169" s="1">
        <v>73</v>
      </c>
      <c r="AC169" s="1">
        <v>12</v>
      </c>
      <c r="AD169" s="1">
        <v>164</v>
      </c>
      <c r="AE169" s="1">
        <v>60</v>
      </c>
      <c r="AF169" s="18">
        <f t="shared" si="2"/>
        <v>48.133333333333333</v>
      </c>
    </row>
    <row r="170" spans="1:32" x14ac:dyDescent="0.35">
      <c r="A170" s="1" t="s">
        <v>130</v>
      </c>
      <c r="B170" s="1">
        <v>14</v>
      </c>
      <c r="C170" s="1">
        <v>126</v>
      </c>
      <c r="D170" s="1">
        <v>21</v>
      </c>
      <c r="E170" s="1">
        <v>26</v>
      </c>
      <c r="F170" s="1">
        <v>35</v>
      </c>
      <c r="G170" s="1">
        <v>18</v>
      </c>
      <c r="H170" s="1">
        <v>43</v>
      </c>
      <c r="I170" s="1">
        <v>43</v>
      </c>
      <c r="J170" s="1">
        <v>65</v>
      </c>
      <c r="K170" s="1">
        <v>25</v>
      </c>
      <c r="L170" s="1">
        <v>114</v>
      </c>
      <c r="M170" s="1">
        <v>30</v>
      </c>
      <c r="N170" s="1">
        <v>54</v>
      </c>
      <c r="O170" s="1">
        <v>28</v>
      </c>
      <c r="P170" s="1">
        <v>22</v>
      </c>
      <c r="Q170" s="1">
        <v>39</v>
      </c>
      <c r="R170" s="1">
        <v>33</v>
      </c>
      <c r="S170" s="1">
        <v>55</v>
      </c>
      <c r="T170" s="1">
        <v>45</v>
      </c>
      <c r="U170" s="1">
        <v>36</v>
      </c>
      <c r="V170" s="1">
        <v>27</v>
      </c>
      <c r="W170" s="1">
        <v>229</v>
      </c>
      <c r="X170" s="1">
        <v>68</v>
      </c>
      <c r="Y170" s="1">
        <v>42</v>
      </c>
      <c r="Z170" s="1">
        <v>16</v>
      </c>
      <c r="AA170" s="1">
        <v>63</v>
      </c>
      <c r="AB170" s="1">
        <v>18</v>
      </c>
      <c r="AC170" s="1">
        <v>63</v>
      </c>
      <c r="AD170" s="1">
        <v>28</v>
      </c>
      <c r="AE170" s="1">
        <v>77</v>
      </c>
      <c r="AF170" s="18">
        <f t="shared" si="2"/>
        <v>50.1</v>
      </c>
    </row>
    <row r="171" spans="1:32" x14ac:dyDescent="0.35">
      <c r="A171" s="1" t="s">
        <v>192</v>
      </c>
      <c r="B171" s="1">
        <v>60</v>
      </c>
      <c r="C171" s="1">
        <v>56</v>
      </c>
      <c r="D171" s="1">
        <v>13</v>
      </c>
      <c r="E171" s="1">
        <v>32</v>
      </c>
      <c r="F171" s="1">
        <v>20</v>
      </c>
      <c r="G171" s="1">
        <v>157</v>
      </c>
      <c r="H171" s="1">
        <v>57</v>
      </c>
      <c r="I171" s="1">
        <v>29</v>
      </c>
      <c r="J171" s="1">
        <v>16</v>
      </c>
      <c r="K171" s="1">
        <v>13</v>
      </c>
      <c r="L171" s="1">
        <v>46</v>
      </c>
      <c r="M171" s="1">
        <v>33</v>
      </c>
      <c r="N171" s="1">
        <v>85</v>
      </c>
      <c r="O171" s="1">
        <v>48</v>
      </c>
      <c r="P171" s="1">
        <v>105</v>
      </c>
      <c r="Q171" s="1">
        <v>71</v>
      </c>
      <c r="R171" s="1">
        <v>28</v>
      </c>
      <c r="S171" s="1">
        <v>33</v>
      </c>
      <c r="T171" s="1">
        <v>36</v>
      </c>
      <c r="U171" s="1">
        <v>40</v>
      </c>
      <c r="V171" s="1">
        <v>15</v>
      </c>
      <c r="W171" s="1">
        <v>24</v>
      </c>
      <c r="X171" s="1">
        <v>16</v>
      </c>
      <c r="Y171" s="1">
        <v>62</v>
      </c>
      <c r="Z171" s="1">
        <v>50</v>
      </c>
      <c r="AA171" s="1">
        <v>32</v>
      </c>
      <c r="AB171" s="1">
        <v>65</v>
      </c>
      <c r="AC171" s="1">
        <v>31</v>
      </c>
      <c r="AD171" s="1">
        <v>61</v>
      </c>
      <c r="AE171" s="1">
        <v>46</v>
      </c>
      <c r="AF171" s="18">
        <f t="shared" si="2"/>
        <v>46</v>
      </c>
    </row>
    <row r="172" spans="1:32" x14ac:dyDescent="0.35">
      <c r="A172" s="1" t="s">
        <v>131</v>
      </c>
      <c r="B172" s="1">
        <v>84</v>
      </c>
      <c r="C172" s="1">
        <v>88</v>
      </c>
      <c r="D172" s="1">
        <v>21</v>
      </c>
      <c r="E172" s="1">
        <v>112</v>
      </c>
      <c r="F172" s="1">
        <v>49</v>
      </c>
      <c r="G172" s="1">
        <v>88</v>
      </c>
      <c r="H172" s="1">
        <v>219</v>
      </c>
      <c r="I172" s="1">
        <v>21</v>
      </c>
      <c r="J172" s="1">
        <v>27</v>
      </c>
      <c r="K172" s="1">
        <v>47</v>
      </c>
      <c r="L172" s="1">
        <v>48</v>
      </c>
      <c r="M172" s="1">
        <v>122</v>
      </c>
      <c r="N172" s="1">
        <v>72</v>
      </c>
      <c r="O172" s="1">
        <v>44</v>
      </c>
      <c r="P172" s="1">
        <v>90</v>
      </c>
      <c r="Q172" s="1">
        <v>41</v>
      </c>
      <c r="R172" s="1">
        <v>29</v>
      </c>
      <c r="S172" s="1">
        <v>214</v>
      </c>
      <c r="T172" s="1">
        <v>29</v>
      </c>
      <c r="U172" s="1">
        <v>21</v>
      </c>
      <c r="V172" s="1">
        <v>73</v>
      </c>
      <c r="W172" s="1">
        <v>166</v>
      </c>
      <c r="X172" s="1">
        <v>59</v>
      </c>
      <c r="Y172" s="1">
        <v>66</v>
      </c>
      <c r="Z172" s="1">
        <v>18</v>
      </c>
      <c r="AA172" s="1">
        <v>94</v>
      </c>
      <c r="AB172" s="1">
        <v>37</v>
      </c>
      <c r="AC172" s="1">
        <v>41</v>
      </c>
      <c r="AD172" s="1">
        <v>22</v>
      </c>
      <c r="AE172" s="1">
        <v>158</v>
      </c>
      <c r="AF172" s="18">
        <f t="shared" si="2"/>
        <v>73.333333333333329</v>
      </c>
    </row>
    <row r="173" spans="1:32" x14ac:dyDescent="0.35">
      <c r="A173" s="1" t="s">
        <v>132</v>
      </c>
      <c r="B173" s="1">
        <v>18</v>
      </c>
      <c r="C173" s="1">
        <v>14</v>
      </c>
      <c r="D173" s="1">
        <v>67</v>
      </c>
      <c r="E173" s="1">
        <v>55</v>
      </c>
      <c r="F173" s="1">
        <v>99</v>
      </c>
      <c r="G173" s="1">
        <v>39</v>
      </c>
      <c r="H173" s="1">
        <v>29</v>
      </c>
      <c r="I173" s="1">
        <v>105</v>
      </c>
      <c r="J173" s="1">
        <v>16</v>
      </c>
      <c r="K173" s="1">
        <v>25</v>
      </c>
      <c r="L173" s="1">
        <v>44</v>
      </c>
      <c r="M173" s="1">
        <v>18</v>
      </c>
      <c r="N173" s="1">
        <v>36</v>
      </c>
      <c r="O173" s="1">
        <v>29</v>
      </c>
      <c r="P173" s="1">
        <v>14</v>
      </c>
      <c r="Q173" s="1">
        <v>85</v>
      </c>
      <c r="R173" s="1">
        <v>77</v>
      </c>
      <c r="S173" s="1">
        <v>67</v>
      </c>
      <c r="T173" s="1">
        <v>29</v>
      </c>
      <c r="U173" s="1">
        <v>54</v>
      </c>
      <c r="V173" s="1">
        <v>61</v>
      </c>
      <c r="W173" s="1">
        <v>18</v>
      </c>
      <c r="X173" s="1">
        <v>26</v>
      </c>
      <c r="Y173" s="1">
        <v>34</v>
      </c>
      <c r="Z173" s="1">
        <v>95</v>
      </c>
      <c r="AA173" s="1">
        <v>70</v>
      </c>
      <c r="AB173" s="1">
        <v>172</v>
      </c>
      <c r="AC173" s="1">
        <v>134</v>
      </c>
      <c r="AD173" s="1">
        <v>87</v>
      </c>
      <c r="AE173" s="1">
        <v>13</v>
      </c>
      <c r="AF173" s="18">
        <f t="shared" si="2"/>
        <v>54.333333333333336</v>
      </c>
    </row>
    <row r="174" spans="1:32" x14ac:dyDescent="0.35">
      <c r="A174" s="1" t="s">
        <v>133</v>
      </c>
      <c r="B174" s="1">
        <v>171</v>
      </c>
      <c r="C174" s="1">
        <v>134</v>
      </c>
      <c r="D174" s="1">
        <v>66</v>
      </c>
      <c r="E174" s="1">
        <v>41</v>
      </c>
      <c r="F174" s="1">
        <v>46</v>
      </c>
      <c r="G174" s="1">
        <v>33</v>
      </c>
      <c r="H174" s="1">
        <v>53</v>
      </c>
      <c r="I174" s="1">
        <v>134</v>
      </c>
      <c r="J174" s="1">
        <v>70</v>
      </c>
      <c r="K174" s="1">
        <v>59</v>
      </c>
      <c r="L174" s="1">
        <v>71</v>
      </c>
      <c r="M174" s="1">
        <v>15</v>
      </c>
      <c r="N174" s="1">
        <v>12</v>
      </c>
      <c r="O174" s="1">
        <v>43</v>
      </c>
      <c r="P174" s="1">
        <v>136</v>
      </c>
      <c r="Q174" s="1">
        <v>86</v>
      </c>
      <c r="R174" s="1">
        <v>19</v>
      </c>
      <c r="S174" s="1">
        <v>37</v>
      </c>
      <c r="T174" s="1">
        <v>46</v>
      </c>
      <c r="U174" s="1">
        <v>17</v>
      </c>
      <c r="V174" s="1">
        <v>12</v>
      </c>
      <c r="W174" s="1">
        <v>56</v>
      </c>
      <c r="X174" s="1">
        <v>116</v>
      </c>
      <c r="Y174" s="1">
        <v>69</v>
      </c>
      <c r="Z174" s="1">
        <v>24</v>
      </c>
      <c r="AA174" s="1">
        <v>15</v>
      </c>
      <c r="AB174" s="1">
        <v>53</v>
      </c>
      <c r="AC174" s="1">
        <v>74</v>
      </c>
      <c r="AD174" s="1">
        <v>26</v>
      </c>
      <c r="AE174" s="1">
        <v>12</v>
      </c>
      <c r="AF174" s="18">
        <f t="shared" si="2"/>
        <v>58.2</v>
      </c>
    </row>
    <row r="175" spans="1:32" x14ac:dyDescent="0.35">
      <c r="A175" s="1" t="s">
        <v>134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8">
        <f t="shared" si="2"/>
        <v>0</v>
      </c>
    </row>
    <row r="176" spans="1:32" x14ac:dyDescent="0.35">
      <c r="A176" s="1" t="s">
        <v>135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8">
        <f t="shared" si="2"/>
        <v>0</v>
      </c>
    </row>
    <row r="177" spans="1:32" x14ac:dyDescent="0.35">
      <c r="A177" s="1" t="s">
        <v>162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8">
        <f t="shared" si="2"/>
        <v>0</v>
      </c>
    </row>
    <row r="178" spans="1:32" x14ac:dyDescent="0.35">
      <c r="A178" s="1" t="s">
        <v>136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8">
        <f t="shared" si="2"/>
        <v>0</v>
      </c>
    </row>
    <row r="179" spans="1:32" x14ac:dyDescent="0.35">
      <c r="A179" s="1" t="s">
        <v>142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8">
        <f t="shared" si="2"/>
        <v>0</v>
      </c>
    </row>
    <row r="180" spans="1:32" x14ac:dyDescent="0.35">
      <c r="A180" s="1" t="s">
        <v>137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8">
        <f t="shared" si="2"/>
        <v>0</v>
      </c>
    </row>
    <row r="181" spans="1:32" x14ac:dyDescent="0.35">
      <c r="A181" s="1" t="s">
        <v>138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8">
        <f t="shared" si="2"/>
        <v>0</v>
      </c>
    </row>
    <row r="182" spans="1:32" x14ac:dyDescent="0.35">
      <c r="A182" s="1" t="s">
        <v>139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8">
        <f t="shared" si="2"/>
        <v>0</v>
      </c>
    </row>
    <row r="183" spans="1:32" x14ac:dyDescent="0.35">
      <c r="A183" s="1" t="s">
        <v>140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8">
        <f t="shared" si="2"/>
        <v>0</v>
      </c>
    </row>
    <row r="184" spans="1:32" x14ac:dyDescent="0.35">
      <c r="A184" s="1" t="s">
        <v>143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8">
        <f t="shared" si="2"/>
        <v>0</v>
      </c>
    </row>
    <row r="185" spans="1:32" x14ac:dyDescent="0.35">
      <c r="A185" s="1" t="s">
        <v>144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8">
        <f t="shared" si="2"/>
        <v>0</v>
      </c>
    </row>
    <row r="186" spans="1:32" x14ac:dyDescent="0.35">
      <c r="A186" s="1" t="s">
        <v>145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8">
        <f t="shared" si="2"/>
        <v>0</v>
      </c>
    </row>
    <row r="187" spans="1:32" x14ac:dyDescent="0.35">
      <c r="A187" s="1" t="s">
        <v>146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8">
        <f t="shared" si="2"/>
        <v>0</v>
      </c>
    </row>
    <row r="188" spans="1:32" x14ac:dyDescent="0.35">
      <c r="A188" s="1" t="s">
        <v>147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8">
        <f t="shared" si="2"/>
        <v>0</v>
      </c>
    </row>
    <row r="189" spans="1:32" x14ac:dyDescent="0.35">
      <c r="A189" s="1" t="s">
        <v>148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8">
        <f t="shared" si="2"/>
        <v>0</v>
      </c>
    </row>
    <row r="190" spans="1:32" x14ac:dyDescent="0.35">
      <c r="A190" s="1" t="s">
        <v>149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8">
        <f t="shared" si="2"/>
        <v>0</v>
      </c>
    </row>
    <row r="191" spans="1:32" x14ac:dyDescent="0.35">
      <c r="A191" s="1" t="s">
        <v>150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8">
        <f t="shared" si="2"/>
        <v>0</v>
      </c>
    </row>
    <row r="192" spans="1:32" x14ac:dyDescent="0.35">
      <c r="A192" s="1" t="s">
        <v>159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8">
        <f t="shared" si="2"/>
        <v>0</v>
      </c>
    </row>
    <row r="193" spans="1:32" x14ac:dyDescent="0.35">
      <c r="A193" s="1" t="s">
        <v>151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8">
        <f t="shared" si="2"/>
        <v>0</v>
      </c>
    </row>
    <row r="194" spans="1:32" x14ac:dyDescent="0.35">
      <c r="A194" s="1" t="s">
        <v>152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8">
        <f t="shared" si="2"/>
        <v>0</v>
      </c>
    </row>
    <row r="195" spans="1:32" x14ac:dyDescent="0.35">
      <c r="A195" s="1" t="s">
        <v>153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8">
        <f t="shared" si="2"/>
        <v>0</v>
      </c>
    </row>
    <row r="196" spans="1:32" x14ac:dyDescent="0.35">
      <c r="A196" s="1" t="s">
        <v>193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8">
        <f t="shared" ref="AF196:AF202" si="3">AVERAGE(B196:AE196)</f>
        <v>0</v>
      </c>
    </row>
    <row r="197" spans="1:32" x14ac:dyDescent="0.35">
      <c r="A197" s="1" t="s">
        <v>154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8">
        <f t="shared" si="3"/>
        <v>0</v>
      </c>
    </row>
    <row r="198" spans="1:32" x14ac:dyDescent="0.35">
      <c r="A198" s="1" t="s">
        <v>155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8">
        <f t="shared" si="3"/>
        <v>0</v>
      </c>
    </row>
    <row r="199" spans="1:32" x14ac:dyDescent="0.35">
      <c r="A199" s="1" t="s">
        <v>163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8">
        <f t="shared" si="3"/>
        <v>0</v>
      </c>
    </row>
    <row r="200" spans="1:32" x14ac:dyDescent="0.35">
      <c r="A200" s="1" t="s">
        <v>194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8">
        <f t="shared" si="3"/>
        <v>0</v>
      </c>
    </row>
    <row r="201" spans="1:32" x14ac:dyDescent="0.35">
      <c r="A201" s="1" t="s">
        <v>157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8">
        <f t="shared" si="3"/>
        <v>0</v>
      </c>
    </row>
    <row r="202" spans="1:32" x14ac:dyDescent="0.35">
      <c r="A202" s="1" t="s">
        <v>158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8">
        <f t="shared" si="3"/>
        <v>0</v>
      </c>
    </row>
    <row r="203" spans="1:32" x14ac:dyDescent="0.35"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8C82-A05D-4A22-B103-004A7BBBA616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8">
        <f>AVERAGE(B3:AE3)</f>
        <v>0</v>
      </c>
    </row>
    <row r="4" spans="1:32" x14ac:dyDescent="0.35">
      <c r="A4" s="1" t="s">
        <v>166</v>
      </c>
      <c r="B4" s="1">
        <v>28</v>
      </c>
      <c r="C4" s="1">
        <v>30</v>
      </c>
      <c r="D4" s="1">
        <v>102</v>
      </c>
      <c r="E4" s="1">
        <v>115</v>
      </c>
      <c r="F4" s="1">
        <v>65</v>
      </c>
      <c r="G4" s="1">
        <v>96</v>
      </c>
      <c r="H4" s="1">
        <v>83</v>
      </c>
      <c r="I4" s="1">
        <v>42</v>
      </c>
      <c r="J4" s="1">
        <v>28</v>
      </c>
      <c r="K4" s="1">
        <v>113</v>
      </c>
      <c r="L4" s="1">
        <v>148</v>
      </c>
      <c r="M4" s="1">
        <v>65</v>
      </c>
      <c r="N4" s="1">
        <v>27</v>
      </c>
      <c r="O4" s="1">
        <v>14</v>
      </c>
      <c r="P4" s="1">
        <v>92</v>
      </c>
      <c r="Q4" s="1">
        <v>101</v>
      </c>
      <c r="R4" s="1">
        <v>31</v>
      </c>
      <c r="S4" s="1">
        <v>36</v>
      </c>
      <c r="T4" s="1">
        <v>55</v>
      </c>
      <c r="U4" s="1">
        <v>46</v>
      </c>
      <c r="V4" s="1">
        <v>42</v>
      </c>
      <c r="W4" s="1">
        <v>46</v>
      </c>
      <c r="X4" s="1">
        <v>38</v>
      </c>
      <c r="Y4" s="1">
        <v>112</v>
      </c>
      <c r="Z4" s="1">
        <v>17</v>
      </c>
      <c r="AA4" s="1">
        <v>24</v>
      </c>
      <c r="AB4" s="1">
        <v>36</v>
      </c>
      <c r="AC4" s="1">
        <v>21</v>
      </c>
      <c r="AD4" s="1">
        <v>64</v>
      </c>
      <c r="AE4" s="1">
        <v>57</v>
      </c>
      <c r="AF4" s="18">
        <f t="shared" ref="AF4:AF67" si="0">AVERAGE(B4:AE4)</f>
        <v>59.133333333333333</v>
      </c>
    </row>
    <row r="5" spans="1:32" x14ac:dyDescent="0.35">
      <c r="A5" s="1" t="s">
        <v>167</v>
      </c>
      <c r="B5" s="1">
        <v>169</v>
      </c>
      <c r="C5" s="1">
        <v>29</v>
      </c>
      <c r="D5" s="1">
        <v>353</v>
      </c>
      <c r="E5" s="1">
        <v>14</v>
      </c>
      <c r="F5" s="1">
        <v>44</v>
      </c>
      <c r="G5" s="1">
        <v>40</v>
      </c>
      <c r="H5" s="1">
        <v>151</v>
      </c>
      <c r="I5" s="1">
        <v>153</v>
      </c>
      <c r="J5" s="1">
        <v>46</v>
      </c>
      <c r="K5" s="1">
        <v>37</v>
      </c>
      <c r="L5" s="1">
        <v>216</v>
      </c>
      <c r="M5" s="1">
        <v>124</v>
      </c>
      <c r="N5" s="1">
        <v>121</v>
      </c>
      <c r="O5" s="1">
        <v>23</v>
      </c>
      <c r="P5" s="1">
        <v>12</v>
      </c>
      <c r="Q5" s="1">
        <v>143</v>
      </c>
      <c r="R5" s="1">
        <v>160</v>
      </c>
      <c r="S5" s="1">
        <v>154</v>
      </c>
      <c r="T5" s="1">
        <v>197</v>
      </c>
      <c r="U5" s="1">
        <v>67</v>
      </c>
      <c r="V5" s="1">
        <v>48</v>
      </c>
      <c r="W5" s="1">
        <v>57</v>
      </c>
      <c r="X5" s="1">
        <v>102</v>
      </c>
      <c r="Y5" s="1">
        <v>49</v>
      </c>
      <c r="Z5" s="1">
        <v>24</v>
      </c>
      <c r="AA5" s="1">
        <v>36</v>
      </c>
      <c r="AB5" s="1">
        <v>52</v>
      </c>
      <c r="AC5" s="1">
        <v>43</v>
      </c>
      <c r="AD5" s="1">
        <v>53</v>
      </c>
      <c r="AE5" s="1">
        <v>48</v>
      </c>
      <c r="AF5" s="18">
        <f t="shared" si="0"/>
        <v>92.166666666666671</v>
      </c>
    </row>
    <row r="6" spans="1:32" x14ac:dyDescent="0.35">
      <c r="A6" s="1" t="s">
        <v>211</v>
      </c>
      <c r="B6" s="1">
        <v>12</v>
      </c>
      <c r="C6" s="1">
        <v>22</v>
      </c>
      <c r="D6" s="1">
        <v>19</v>
      </c>
      <c r="E6" s="1">
        <v>69</v>
      </c>
      <c r="F6" s="1">
        <v>155</v>
      </c>
      <c r="G6" s="1">
        <v>26</v>
      </c>
      <c r="H6" s="1">
        <v>21</v>
      </c>
      <c r="I6" s="1">
        <v>54</v>
      </c>
      <c r="J6" s="1">
        <v>80</v>
      </c>
      <c r="K6" s="1">
        <v>64</v>
      </c>
      <c r="L6" s="1">
        <v>18</v>
      </c>
      <c r="M6" s="1">
        <v>17</v>
      </c>
      <c r="N6" s="1">
        <v>14</v>
      </c>
      <c r="O6" s="1">
        <v>25</v>
      </c>
      <c r="P6" s="1">
        <v>17</v>
      </c>
      <c r="Q6" s="1">
        <v>145</v>
      </c>
      <c r="R6" s="1">
        <v>12</v>
      </c>
      <c r="S6" s="1">
        <v>88</v>
      </c>
      <c r="T6" s="1">
        <v>63</v>
      </c>
      <c r="U6" s="1">
        <v>47</v>
      </c>
      <c r="V6" s="1">
        <v>56</v>
      </c>
      <c r="W6" s="1">
        <v>84</v>
      </c>
      <c r="X6" s="1">
        <v>26</v>
      </c>
      <c r="Y6" s="1">
        <v>121</v>
      </c>
      <c r="Z6" s="1">
        <v>33</v>
      </c>
      <c r="AA6" s="1">
        <v>13</v>
      </c>
      <c r="AB6" s="1">
        <v>13</v>
      </c>
      <c r="AC6" s="1">
        <v>42</v>
      </c>
      <c r="AD6" s="1">
        <v>89</v>
      </c>
      <c r="AE6" s="1">
        <v>15</v>
      </c>
      <c r="AF6" s="18">
        <f t="shared" si="0"/>
        <v>48.666666666666664</v>
      </c>
    </row>
    <row r="7" spans="1:32" x14ac:dyDescent="0.35">
      <c r="A7" s="1" t="s">
        <v>168</v>
      </c>
      <c r="B7" s="1">
        <v>14</v>
      </c>
      <c r="C7" s="1">
        <v>68</v>
      </c>
      <c r="D7" s="1">
        <v>29</v>
      </c>
      <c r="E7" s="1">
        <v>40</v>
      </c>
      <c r="F7" s="1">
        <v>35</v>
      </c>
      <c r="G7" s="1">
        <v>62</v>
      </c>
      <c r="H7" s="1">
        <v>23</v>
      </c>
      <c r="I7" s="1">
        <v>27</v>
      </c>
      <c r="J7" s="1">
        <v>17</v>
      </c>
      <c r="K7" s="1">
        <v>53</v>
      </c>
      <c r="L7" s="1">
        <v>98</v>
      </c>
      <c r="M7" s="1">
        <v>63</v>
      </c>
      <c r="N7" s="1">
        <v>66</v>
      </c>
      <c r="O7" s="1">
        <v>42</v>
      </c>
      <c r="P7" s="1">
        <v>15</v>
      </c>
      <c r="Q7" s="1">
        <v>48</v>
      </c>
      <c r="R7" s="1">
        <v>24</v>
      </c>
      <c r="S7" s="1">
        <v>33</v>
      </c>
      <c r="T7" s="1">
        <v>63</v>
      </c>
      <c r="U7" s="1">
        <v>31</v>
      </c>
      <c r="V7" s="1">
        <v>22</v>
      </c>
      <c r="W7" s="1">
        <v>17</v>
      </c>
      <c r="X7" s="1">
        <v>35</v>
      </c>
      <c r="Y7" s="1">
        <v>13</v>
      </c>
      <c r="Z7" s="1">
        <v>47</v>
      </c>
      <c r="AA7" s="1">
        <v>60</v>
      </c>
      <c r="AB7" s="1">
        <v>13</v>
      </c>
      <c r="AC7" s="1">
        <v>39</v>
      </c>
      <c r="AD7" s="1">
        <v>16</v>
      </c>
      <c r="AE7" s="1">
        <v>40</v>
      </c>
      <c r="AF7" s="18">
        <f t="shared" si="0"/>
        <v>38.43333333333333</v>
      </c>
    </row>
    <row r="8" spans="1:32" x14ac:dyDescent="0.35">
      <c r="A8" s="1" t="s">
        <v>169</v>
      </c>
      <c r="B8" s="1">
        <v>61</v>
      </c>
      <c r="C8" s="1">
        <v>29</v>
      </c>
      <c r="D8" s="1">
        <v>42</v>
      </c>
      <c r="E8" s="1">
        <v>31</v>
      </c>
      <c r="F8" s="1">
        <v>39</v>
      </c>
      <c r="G8" s="1">
        <v>26</v>
      </c>
      <c r="H8" s="1">
        <v>52</v>
      </c>
      <c r="I8" s="1">
        <v>17</v>
      </c>
      <c r="J8" s="1">
        <v>21</v>
      </c>
      <c r="K8" s="1">
        <v>20</v>
      </c>
      <c r="L8" s="1">
        <v>14</v>
      </c>
      <c r="M8" s="1">
        <v>29</v>
      </c>
      <c r="N8" s="1">
        <v>19</v>
      </c>
      <c r="O8" s="1">
        <v>12</v>
      </c>
      <c r="P8" s="1">
        <v>85</v>
      </c>
      <c r="Q8" s="1">
        <v>24</v>
      </c>
      <c r="R8" s="1">
        <v>51</v>
      </c>
      <c r="S8" s="1">
        <v>34</v>
      </c>
      <c r="T8" s="1">
        <v>28</v>
      </c>
      <c r="U8" s="1">
        <v>19</v>
      </c>
      <c r="V8" s="1">
        <v>166</v>
      </c>
      <c r="W8" s="1">
        <v>39</v>
      </c>
      <c r="X8" s="1">
        <v>76</v>
      </c>
      <c r="Y8" s="1">
        <v>20</v>
      </c>
      <c r="Z8" s="1">
        <v>37</v>
      </c>
      <c r="AA8" s="1">
        <v>20</v>
      </c>
      <c r="AB8" s="1">
        <v>20</v>
      </c>
      <c r="AC8" s="1">
        <v>23</v>
      </c>
      <c r="AD8" s="1">
        <v>89</v>
      </c>
      <c r="AE8" s="1">
        <v>41</v>
      </c>
      <c r="AF8" s="18">
        <f t="shared" si="0"/>
        <v>39.466666666666669</v>
      </c>
    </row>
    <row r="9" spans="1:32" x14ac:dyDescent="0.35">
      <c r="A9" s="1" t="s">
        <v>170</v>
      </c>
      <c r="B9" s="1">
        <v>41</v>
      </c>
      <c r="C9" s="1">
        <v>58</v>
      </c>
      <c r="D9" s="1">
        <v>171</v>
      </c>
      <c r="E9" s="1">
        <v>72</v>
      </c>
      <c r="F9" s="1">
        <v>53</v>
      </c>
      <c r="G9" s="1">
        <v>60</v>
      </c>
      <c r="H9" s="1">
        <v>149</v>
      </c>
      <c r="I9" s="1">
        <v>78</v>
      </c>
      <c r="J9" s="1">
        <v>42</v>
      </c>
      <c r="K9" s="1">
        <v>23</v>
      </c>
      <c r="L9" s="1">
        <v>39</v>
      </c>
      <c r="M9" s="1">
        <v>15</v>
      </c>
      <c r="N9" s="1">
        <v>35</v>
      </c>
      <c r="O9" s="1">
        <v>22</v>
      </c>
      <c r="P9" s="1">
        <v>20</v>
      </c>
      <c r="Q9" s="1">
        <v>13</v>
      </c>
      <c r="R9" s="1">
        <v>71</v>
      </c>
      <c r="S9" s="1">
        <v>35</v>
      </c>
      <c r="T9" s="1">
        <v>105</v>
      </c>
      <c r="U9" s="1">
        <v>12</v>
      </c>
      <c r="V9" s="1">
        <v>84</v>
      </c>
      <c r="W9" s="1">
        <v>24</v>
      </c>
      <c r="X9" s="1">
        <v>36</v>
      </c>
      <c r="Y9" s="1">
        <v>206</v>
      </c>
      <c r="Z9" s="1">
        <v>31</v>
      </c>
      <c r="AA9" s="1">
        <v>227</v>
      </c>
      <c r="AB9" s="1">
        <v>28</v>
      </c>
      <c r="AC9" s="1">
        <v>99</v>
      </c>
      <c r="AD9" s="1">
        <v>29</v>
      </c>
      <c r="AE9" s="1">
        <v>69</v>
      </c>
      <c r="AF9" s="18">
        <f t="shared" si="0"/>
        <v>64.900000000000006</v>
      </c>
    </row>
    <row r="10" spans="1:32" x14ac:dyDescent="0.35">
      <c r="A10" s="1" t="s">
        <v>4</v>
      </c>
      <c r="B10" s="1">
        <v>32</v>
      </c>
      <c r="C10" s="1">
        <v>42</v>
      </c>
      <c r="D10" s="1">
        <v>60</v>
      </c>
      <c r="E10" s="1">
        <v>16</v>
      </c>
      <c r="F10" s="1">
        <v>95</v>
      </c>
      <c r="G10" s="1">
        <v>20</v>
      </c>
      <c r="H10" s="1">
        <v>19</v>
      </c>
      <c r="I10" s="1">
        <v>31</v>
      </c>
      <c r="J10" s="1">
        <v>76</v>
      </c>
      <c r="K10" s="1">
        <v>47</v>
      </c>
      <c r="L10" s="1">
        <v>169</v>
      </c>
      <c r="M10" s="1">
        <v>27</v>
      </c>
      <c r="N10" s="1">
        <v>43</v>
      </c>
      <c r="O10" s="1">
        <v>45</v>
      </c>
      <c r="P10" s="1">
        <v>31</v>
      </c>
      <c r="Q10" s="1">
        <v>22</v>
      </c>
      <c r="R10" s="1">
        <v>48</v>
      </c>
      <c r="S10" s="1">
        <v>73</v>
      </c>
      <c r="T10" s="1">
        <v>36</v>
      </c>
      <c r="U10" s="1">
        <v>60</v>
      </c>
      <c r="V10" s="1">
        <v>234</v>
      </c>
      <c r="W10" s="1">
        <v>69</v>
      </c>
      <c r="X10" s="1">
        <v>45</v>
      </c>
      <c r="Y10" s="1">
        <v>22</v>
      </c>
      <c r="Z10" s="1">
        <v>76</v>
      </c>
      <c r="AA10" s="1">
        <v>36</v>
      </c>
      <c r="AB10" s="1">
        <v>147</v>
      </c>
      <c r="AC10" s="1">
        <v>55</v>
      </c>
      <c r="AD10" s="1">
        <v>42</v>
      </c>
      <c r="AE10" s="1">
        <v>14</v>
      </c>
      <c r="AF10" s="18">
        <f t="shared" si="0"/>
        <v>57.733333333333334</v>
      </c>
    </row>
    <row r="11" spans="1:32" x14ac:dyDescent="0.35">
      <c r="A11" s="1" t="s">
        <v>5</v>
      </c>
      <c r="B11" s="1">
        <v>109</v>
      </c>
      <c r="C11" s="1">
        <v>28</v>
      </c>
      <c r="D11" s="1">
        <v>12</v>
      </c>
      <c r="E11" s="1">
        <v>23</v>
      </c>
      <c r="F11" s="1">
        <v>43</v>
      </c>
      <c r="G11" s="1">
        <v>12</v>
      </c>
      <c r="H11" s="1">
        <v>16</v>
      </c>
      <c r="I11" s="1">
        <v>36</v>
      </c>
      <c r="J11" s="1">
        <v>78</v>
      </c>
      <c r="K11" s="1">
        <v>23</v>
      </c>
      <c r="L11" s="1">
        <v>26</v>
      </c>
      <c r="M11" s="1">
        <v>18</v>
      </c>
      <c r="N11" s="1">
        <v>51</v>
      </c>
      <c r="O11" s="1">
        <v>35</v>
      </c>
      <c r="P11" s="1">
        <v>61</v>
      </c>
      <c r="Q11" s="1">
        <v>29</v>
      </c>
      <c r="R11" s="1">
        <v>59</v>
      </c>
      <c r="S11" s="1">
        <v>22</v>
      </c>
      <c r="T11" s="1">
        <v>24</v>
      </c>
      <c r="U11" s="1">
        <v>60</v>
      </c>
      <c r="V11" s="1">
        <v>16</v>
      </c>
      <c r="W11" s="1">
        <v>101</v>
      </c>
      <c r="X11" s="1">
        <v>70</v>
      </c>
      <c r="Y11" s="1">
        <v>85</v>
      </c>
      <c r="Z11" s="1">
        <v>34</v>
      </c>
      <c r="AA11" s="1">
        <v>94</v>
      </c>
      <c r="AB11" s="1">
        <v>193</v>
      </c>
      <c r="AC11" s="1">
        <v>60</v>
      </c>
      <c r="AD11" s="1">
        <v>219</v>
      </c>
      <c r="AE11" s="1">
        <v>197</v>
      </c>
      <c r="AF11" s="18">
        <f t="shared" si="0"/>
        <v>61.133333333333333</v>
      </c>
    </row>
    <row r="12" spans="1:32" x14ac:dyDescent="0.35">
      <c r="A12" s="1" t="s">
        <v>161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8">
        <f t="shared" si="0"/>
        <v>0</v>
      </c>
    </row>
    <row r="13" spans="1:32" x14ac:dyDescent="0.35">
      <c r="A13" s="1" t="s">
        <v>212</v>
      </c>
      <c r="B13" s="1">
        <v>22</v>
      </c>
      <c r="C13" s="1">
        <v>15</v>
      </c>
      <c r="D13" s="1">
        <v>27</v>
      </c>
      <c r="E13" s="1">
        <v>23</v>
      </c>
      <c r="F13" s="1">
        <v>25</v>
      </c>
      <c r="G13" s="1">
        <v>54</v>
      </c>
      <c r="H13" s="1">
        <v>115</v>
      </c>
      <c r="I13" s="1">
        <v>39</v>
      </c>
      <c r="J13" s="1">
        <v>47</v>
      </c>
      <c r="K13" s="1">
        <v>19</v>
      </c>
      <c r="L13" s="1">
        <v>40</v>
      </c>
      <c r="M13" s="1">
        <v>69</v>
      </c>
      <c r="N13" s="1">
        <v>135</v>
      </c>
      <c r="O13" s="1">
        <v>42</v>
      </c>
      <c r="P13" s="1">
        <v>21</v>
      </c>
      <c r="Q13" s="1">
        <v>61</v>
      </c>
      <c r="R13" s="1">
        <v>85</v>
      </c>
      <c r="S13" s="1">
        <v>39</v>
      </c>
      <c r="T13" s="1">
        <v>36</v>
      </c>
      <c r="U13" s="1">
        <v>87</v>
      </c>
      <c r="V13" s="1">
        <v>113</v>
      </c>
      <c r="W13" s="1">
        <v>16</v>
      </c>
      <c r="X13" s="1">
        <v>20</v>
      </c>
      <c r="Y13" s="1">
        <v>103</v>
      </c>
      <c r="Z13" s="1">
        <v>24</v>
      </c>
      <c r="AA13" s="1">
        <v>30</v>
      </c>
      <c r="AB13" s="1">
        <v>25</v>
      </c>
      <c r="AC13" s="1">
        <v>148</v>
      </c>
      <c r="AD13" s="1">
        <v>39</v>
      </c>
      <c r="AE13" s="1">
        <v>75</v>
      </c>
      <c r="AF13" s="18">
        <f t="shared" si="0"/>
        <v>53.133333333333333</v>
      </c>
    </row>
    <row r="14" spans="1:32" x14ac:dyDescent="0.35">
      <c r="A14" s="1" t="s">
        <v>6</v>
      </c>
      <c r="B14" s="1">
        <v>58</v>
      </c>
      <c r="C14" s="1">
        <v>57</v>
      </c>
      <c r="D14" s="1">
        <v>33</v>
      </c>
      <c r="E14" s="1">
        <v>22</v>
      </c>
      <c r="F14" s="1">
        <v>57</v>
      </c>
      <c r="G14" s="1">
        <v>44</v>
      </c>
      <c r="H14" s="1">
        <v>102</v>
      </c>
      <c r="I14" s="1">
        <v>35</v>
      </c>
      <c r="J14" s="1">
        <v>55</v>
      </c>
      <c r="K14" s="1">
        <v>46</v>
      </c>
      <c r="L14" s="1">
        <v>79</v>
      </c>
      <c r="M14" s="1">
        <v>45</v>
      </c>
      <c r="N14" s="1">
        <v>17</v>
      </c>
      <c r="O14" s="1">
        <v>65</v>
      </c>
      <c r="P14" s="1">
        <v>19</v>
      </c>
      <c r="Q14" s="1">
        <v>45</v>
      </c>
      <c r="R14" s="1">
        <v>18</v>
      </c>
      <c r="S14" s="1">
        <v>15</v>
      </c>
      <c r="T14" s="1">
        <v>47</v>
      </c>
      <c r="U14" s="1">
        <v>47</v>
      </c>
      <c r="V14" s="1">
        <v>53</v>
      </c>
      <c r="W14" s="1">
        <v>129</v>
      </c>
      <c r="X14" s="1">
        <v>21</v>
      </c>
      <c r="Y14" s="1">
        <v>13</v>
      </c>
      <c r="Z14" s="1">
        <v>17</v>
      </c>
      <c r="AA14" s="1">
        <v>46</v>
      </c>
      <c r="AB14" s="1">
        <v>74</v>
      </c>
      <c r="AC14" s="1">
        <v>27</v>
      </c>
      <c r="AD14" s="1">
        <v>39</v>
      </c>
      <c r="AE14" s="1">
        <v>19</v>
      </c>
      <c r="AF14" s="18">
        <f t="shared" si="0"/>
        <v>44.8</v>
      </c>
    </row>
    <row r="15" spans="1:32" x14ac:dyDescent="0.35">
      <c r="A15" s="1" t="s">
        <v>7</v>
      </c>
      <c r="B15" s="1">
        <v>54</v>
      </c>
      <c r="C15" s="1">
        <v>189</v>
      </c>
      <c r="D15" s="1">
        <v>40</v>
      </c>
      <c r="E15" s="1">
        <v>25</v>
      </c>
      <c r="F15" s="1">
        <v>72</v>
      </c>
      <c r="G15" s="1">
        <v>23</v>
      </c>
      <c r="H15" s="1">
        <v>17</v>
      </c>
      <c r="I15" s="1">
        <v>103</v>
      </c>
      <c r="J15" s="1">
        <v>67</v>
      </c>
      <c r="K15" s="1">
        <v>12</v>
      </c>
      <c r="L15" s="1">
        <v>53</v>
      </c>
      <c r="M15" s="1">
        <v>49</v>
      </c>
      <c r="N15" s="1">
        <v>134</v>
      </c>
      <c r="O15" s="1">
        <v>144</v>
      </c>
      <c r="P15" s="1">
        <v>122</v>
      </c>
      <c r="Q15" s="1">
        <v>80</v>
      </c>
      <c r="R15" s="1">
        <v>29</v>
      </c>
      <c r="S15" s="1">
        <v>50</v>
      </c>
      <c r="T15" s="1">
        <v>63</v>
      </c>
      <c r="U15" s="1">
        <v>44</v>
      </c>
      <c r="V15" s="1">
        <v>25</v>
      </c>
      <c r="W15" s="1">
        <v>27</v>
      </c>
      <c r="X15" s="1">
        <v>144</v>
      </c>
      <c r="Y15" s="1">
        <v>124</v>
      </c>
      <c r="Z15" s="1">
        <v>27</v>
      </c>
      <c r="AA15" s="1">
        <v>43</v>
      </c>
      <c r="AB15" s="1">
        <v>26</v>
      </c>
      <c r="AC15" s="1">
        <v>48</v>
      </c>
      <c r="AD15" s="1">
        <v>39</v>
      </c>
      <c r="AE15" s="1">
        <v>157</v>
      </c>
      <c r="AF15" s="18">
        <f t="shared" si="0"/>
        <v>67.666666666666671</v>
      </c>
    </row>
    <row r="16" spans="1:32" x14ac:dyDescent="0.35">
      <c r="A16" s="1" t="s">
        <v>8</v>
      </c>
      <c r="B16" s="1">
        <v>228</v>
      </c>
      <c r="C16" s="1">
        <v>38</v>
      </c>
      <c r="D16" s="1">
        <v>53</v>
      </c>
      <c r="E16" s="1">
        <v>54</v>
      </c>
      <c r="F16" s="1">
        <v>20</v>
      </c>
      <c r="G16" s="1">
        <v>42</v>
      </c>
      <c r="H16" s="1">
        <v>59</v>
      </c>
      <c r="I16" s="1">
        <v>12</v>
      </c>
      <c r="J16" s="1">
        <v>83</v>
      </c>
      <c r="K16" s="1">
        <v>93</v>
      </c>
      <c r="L16" s="1">
        <v>33</v>
      </c>
      <c r="M16" s="1">
        <v>22</v>
      </c>
      <c r="N16" s="1">
        <v>17</v>
      </c>
      <c r="O16" s="1">
        <v>27</v>
      </c>
      <c r="P16" s="1">
        <v>18</v>
      </c>
      <c r="Q16" s="1">
        <v>72</v>
      </c>
      <c r="R16" s="1">
        <v>198</v>
      </c>
      <c r="S16" s="1">
        <v>71</v>
      </c>
      <c r="T16" s="1">
        <v>69</v>
      </c>
      <c r="U16" s="1">
        <v>35</v>
      </c>
      <c r="V16" s="1">
        <v>35</v>
      </c>
      <c r="W16" s="1">
        <v>26</v>
      </c>
      <c r="X16" s="1">
        <v>88</v>
      </c>
      <c r="Y16" s="1">
        <v>25</v>
      </c>
      <c r="Z16" s="1">
        <v>78</v>
      </c>
      <c r="AA16" s="1">
        <v>121</v>
      </c>
      <c r="AB16" s="1">
        <v>34</v>
      </c>
      <c r="AC16" s="1">
        <v>69</v>
      </c>
      <c r="AD16" s="1">
        <v>66</v>
      </c>
      <c r="AE16" s="1">
        <v>21</v>
      </c>
      <c r="AF16" s="18">
        <f t="shared" si="0"/>
        <v>60.233333333333334</v>
      </c>
    </row>
    <row r="17" spans="1:32" x14ac:dyDescent="0.35">
      <c r="A17" s="1" t="s">
        <v>9</v>
      </c>
      <c r="B17" s="1">
        <v>69</v>
      </c>
      <c r="C17" s="1">
        <v>149</v>
      </c>
      <c r="D17" s="1">
        <v>14</v>
      </c>
      <c r="E17" s="1">
        <v>31</v>
      </c>
      <c r="F17" s="1">
        <v>37</v>
      </c>
      <c r="G17" s="1">
        <v>156</v>
      </c>
      <c r="H17" s="1">
        <v>22</v>
      </c>
      <c r="I17" s="1">
        <v>22</v>
      </c>
      <c r="J17" s="1">
        <v>116</v>
      </c>
      <c r="K17" s="1">
        <v>50</v>
      </c>
      <c r="L17" s="1">
        <v>58</v>
      </c>
      <c r="M17" s="1">
        <v>49</v>
      </c>
      <c r="N17" s="1">
        <v>67</v>
      </c>
      <c r="O17" s="1">
        <v>21</v>
      </c>
      <c r="P17" s="1">
        <v>20</v>
      </c>
      <c r="Q17" s="1">
        <v>17</v>
      </c>
      <c r="R17" s="1">
        <v>70</v>
      </c>
      <c r="S17" s="1">
        <v>98</v>
      </c>
      <c r="T17" s="1">
        <v>49</v>
      </c>
      <c r="U17" s="1">
        <v>21</v>
      </c>
      <c r="V17" s="1">
        <v>37</v>
      </c>
      <c r="W17" s="1">
        <v>70</v>
      </c>
      <c r="X17" s="1">
        <v>21</v>
      </c>
      <c r="Y17" s="1">
        <v>36</v>
      </c>
      <c r="Z17" s="1">
        <v>267</v>
      </c>
      <c r="AA17" s="1">
        <v>23</v>
      </c>
      <c r="AB17" s="1">
        <v>17</v>
      </c>
      <c r="AC17" s="1">
        <v>48</v>
      </c>
      <c r="AD17" s="1">
        <v>23</v>
      </c>
      <c r="AE17" s="1">
        <v>73</v>
      </c>
      <c r="AF17" s="18">
        <f t="shared" si="0"/>
        <v>58.366666666666667</v>
      </c>
    </row>
    <row r="18" spans="1:32" x14ac:dyDescent="0.35">
      <c r="A18" s="1" t="s">
        <v>213</v>
      </c>
      <c r="B18" s="1">
        <v>33</v>
      </c>
      <c r="C18" s="1">
        <v>27</v>
      </c>
      <c r="D18" s="1">
        <v>30</v>
      </c>
      <c r="E18" s="1">
        <v>35</v>
      </c>
      <c r="F18" s="1">
        <v>15</v>
      </c>
      <c r="G18" s="1">
        <v>16</v>
      </c>
      <c r="H18" s="1">
        <v>16</v>
      </c>
      <c r="I18" s="1">
        <v>100</v>
      </c>
      <c r="J18" s="1">
        <v>41</v>
      </c>
      <c r="K18" s="1">
        <v>23</v>
      </c>
      <c r="L18" s="1">
        <v>126</v>
      </c>
      <c r="M18" s="1">
        <v>40</v>
      </c>
      <c r="N18" s="1">
        <v>52</v>
      </c>
      <c r="O18" s="1">
        <v>58</v>
      </c>
      <c r="P18" s="1">
        <v>56</v>
      </c>
      <c r="Q18" s="1">
        <v>64</v>
      </c>
      <c r="R18" s="1">
        <v>31</v>
      </c>
      <c r="S18" s="1">
        <v>28</v>
      </c>
      <c r="T18" s="1">
        <v>46</v>
      </c>
      <c r="U18" s="1">
        <v>26</v>
      </c>
      <c r="V18" s="1">
        <v>18</v>
      </c>
      <c r="W18" s="1">
        <v>29</v>
      </c>
      <c r="X18" s="1">
        <v>38</v>
      </c>
      <c r="Y18" s="1">
        <v>52</v>
      </c>
      <c r="Z18" s="1">
        <v>24</v>
      </c>
      <c r="AA18" s="1">
        <v>23</v>
      </c>
      <c r="AB18" s="1">
        <v>35</v>
      </c>
      <c r="AC18" s="1">
        <v>41</v>
      </c>
      <c r="AD18" s="1">
        <v>15</v>
      </c>
      <c r="AE18" s="1">
        <v>20</v>
      </c>
      <c r="AF18" s="18">
        <f t="shared" si="0"/>
        <v>38.6</v>
      </c>
    </row>
    <row r="19" spans="1:32" x14ac:dyDescent="0.35">
      <c r="A19" s="1" t="s">
        <v>171</v>
      </c>
      <c r="B19" s="1">
        <v>74</v>
      </c>
      <c r="C19" s="1">
        <v>16</v>
      </c>
      <c r="D19" s="1">
        <v>80</v>
      </c>
      <c r="E19" s="1">
        <v>14</v>
      </c>
      <c r="F19" s="1">
        <v>56</v>
      </c>
      <c r="G19" s="1">
        <v>53</v>
      </c>
      <c r="H19" s="1">
        <v>32</v>
      </c>
      <c r="I19" s="1">
        <v>130</v>
      </c>
      <c r="J19" s="1">
        <v>66</v>
      </c>
      <c r="K19" s="1">
        <v>131</v>
      </c>
      <c r="L19" s="1">
        <v>36</v>
      </c>
      <c r="M19" s="1">
        <v>323</v>
      </c>
      <c r="N19" s="1">
        <v>48</v>
      </c>
      <c r="O19" s="1">
        <v>142</v>
      </c>
      <c r="P19" s="1">
        <v>44</v>
      </c>
      <c r="Q19" s="1">
        <v>93</v>
      </c>
      <c r="R19" s="1">
        <v>20</v>
      </c>
      <c r="S19" s="1">
        <v>132</v>
      </c>
      <c r="T19" s="1">
        <v>228</v>
      </c>
      <c r="U19" s="1">
        <v>77</v>
      </c>
      <c r="V19" s="1">
        <v>44</v>
      </c>
      <c r="W19" s="1">
        <v>31</v>
      </c>
      <c r="X19" s="1">
        <v>18</v>
      </c>
      <c r="Y19" s="1">
        <v>54</v>
      </c>
      <c r="Z19" s="1">
        <v>35</v>
      </c>
      <c r="AA19" s="1">
        <v>45</v>
      </c>
      <c r="AB19" s="1">
        <v>18</v>
      </c>
      <c r="AC19" s="1">
        <v>384</v>
      </c>
      <c r="AD19" s="1">
        <v>39</v>
      </c>
      <c r="AE19" s="1">
        <v>88</v>
      </c>
      <c r="AF19" s="18">
        <f t="shared" si="0"/>
        <v>85.033333333333331</v>
      </c>
    </row>
    <row r="20" spans="1:32" x14ac:dyDescent="0.35">
      <c r="A20" s="1" t="s">
        <v>214</v>
      </c>
      <c r="B20" s="1">
        <v>18</v>
      </c>
      <c r="C20" s="1">
        <v>20</v>
      </c>
      <c r="D20" s="1">
        <v>18</v>
      </c>
      <c r="E20" s="1">
        <v>12</v>
      </c>
      <c r="F20" s="1">
        <v>99</v>
      </c>
      <c r="G20" s="1">
        <v>51</v>
      </c>
      <c r="H20" s="1">
        <v>50</v>
      </c>
      <c r="I20" s="1">
        <v>44</v>
      </c>
      <c r="J20" s="1">
        <v>54</v>
      </c>
      <c r="K20" s="1">
        <v>40</v>
      </c>
      <c r="L20" s="1">
        <v>30</v>
      </c>
      <c r="M20" s="1">
        <v>35</v>
      </c>
      <c r="N20" s="1">
        <v>13</v>
      </c>
      <c r="O20" s="1">
        <v>16</v>
      </c>
      <c r="P20" s="1">
        <v>58</v>
      </c>
      <c r="Q20" s="1">
        <v>23</v>
      </c>
      <c r="R20" s="1">
        <v>48</v>
      </c>
      <c r="S20" s="1">
        <v>22</v>
      </c>
      <c r="T20" s="1">
        <v>52</v>
      </c>
      <c r="U20" s="1">
        <v>70</v>
      </c>
      <c r="V20" s="1">
        <v>38</v>
      </c>
      <c r="W20" s="1">
        <v>63</v>
      </c>
      <c r="X20" s="1">
        <v>22</v>
      </c>
      <c r="Y20" s="1">
        <v>32</v>
      </c>
      <c r="Z20" s="1">
        <v>44</v>
      </c>
      <c r="AA20" s="1">
        <v>26</v>
      </c>
      <c r="AB20" s="1">
        <v>16</v>
      </c>
      <c r="AC20" s="1">
        <v>38</v>
      </c>
      <c r="AD20" s="1">
        <v>68</v>
      </c>
      <c r="AE20" s="1">
        <v>17</v>
      </c>
      <c r="AF20" s="18">
        <f t="shared" si="0"/>
        <v>37.9</v>
      </c>
    </row>
    <row r="21" spans="1:32" x14ac:dyDescent="0.35">
      <c r="A21" s="1" t="s">
        <v>10</v>
      </c>
      <c r="B21" s="1">
        <v>16</v>
      </c>
      <c r="C21" s="1">
        <v>53</v>
      </c>
      <c r="D21" s="1">
        <v>134</v>
      </c>
      <c r="E21" s="1">
        <v>199</v>
      </c>
      <c r="F21" s="1">
        <v>19</v>
      </c>
      <c r="G21" s="1">
        <v>33</v>
      </c>
      <c r="H21" s="1">
        <v>16</v>
      </c>
      <c r="I21" s="1">
        <v>28</v>
      </c>
      <c r="J21" s="1">
        <v>43</v>
      </c>
      <c r="K21" s="1">
        <v>14</v>
      </c>
      <c r="L21" s="1">
        <v>49</v>
      </c>
      <c r="M21" s="1">
        <v>47</v>
      </c>
      <c r="N21" s="1">
        <v>127</v>
      </c>
      <c r="O21" s="1">
        <v>36</v>
      </c>
      <c r="P21" s="1">
        <v>19</v>
      </c>
      <c r="Q21" s="1">
        <v>136</v>
      </c>
      <c r="R21" s="1">
        <v>83</v>
      </c>
      <c r="S21" s="1">
        <v>22</v>
      </c>
      <c r="T21" s="1">
        <v>89</v>
      </c>
      <c r="U21" s="1">
        <v>38</v>
      </c>
      <c r="V21" s="1">
        <v>59</v>
      </c>
      <c r="W21" s="1">
        <v>18</v>
      </c>
      <c r="X21" s="1">
        <v>43</v>
      </c>
      <c r="Y21" s="1">
        <v>12</v>
      </c>
      <c r="Z21" s="1">
        <v>30</v>
      </c>
      <c r="AA21" s="1">
        <v>25</v>
      </c>
      <c r="AB21" s="1">
        <v>29</v>
      </c>
      <c r="AC21" s="1">
        <v>30</v>
      </c>
      <c r="AD21" s="1">
        <v>85</v>
      </c>
      <c r="AE21" s="1">
        <v>17</v>
      </c>
      <c r="AF21" s="18">
        <f t="shared" si="0"/>
        <v>51.633333333333333</v>
      </c>
    </row>
    <row r="22" spans="1:32" x14ac:dyDescent="0.35">
      <c r="A22" s="1" t="s">
        <v>11</v>
      </c>
      <c r="B22" s="1">
        <v>89</v>
      </c>
      <c r="C22" s="1">
        <v>36</v>
      </c>
      <c r="D22" s="1">
        <v>15</v>
      </c>
      <c r="E22" s="1">
        <v>27</v>
      </c>
      <c r="F22" s="1">
        <v>78</v>
      </c>
      <c r="G22" s="1">
        <v>95</v>
      </c>
      <c r="H22" s="1">
        <v>31</v>
      </c>
      <c r="I22" s="1">
        <v>49</v>
      </c>
      <c r="J22" s="1">
        <v>18</v>
      </c>
      <c r="K22" s="1">
        <v>23</v>
      </c>
      <c r="L22" s="1">
        <v>19</v>
      </c>
      <c r="M22" s="1">
        <v>52</v>
      </c>
      <c r="N22" s="1">
        <v>45</v>
      </c>
      <c r="O22" s="1">
        <v>46</v>
      </c>
      <c r="P22" s="1">
        <v>62</v>
      </c>
      <c r="Q22" s="1">
        <v>19</v>
      </c>
      <c r="R22" s="1">
        <v>12</v>
      </c>
      <c r="S22" s="1">
        <v>49</v>
      </c>
      <c r="T22" s="1">
        <v>82</v>
      </c>
      <c r="U22" s="1">
        <v>16</v>
      </c>
      <c r="V22" s="1">
        <v>44</v>
      </c>
      <c r="W22" s="1">
        <v>40</v>
      </c>
      <c r="X22" s="1">
        <v>14</v>
      </c>
      <c r="Y22" s="1">
        <v>69</v>
      </c>
      <c r="Z22" s="1">
        <v>54</v>
      </c>
      <c r="AA22" s="1">
        <v>87</v>
      </c>
      <c r="AB22" s="1">
        <v>46</v>
      </c>
      <c r="AC22" s="1">
        <v>49</v>
      </c>
      <c r="AD22" s="1">
        <v>15</v>
      </c>
      <c r="AE22" s="1">
        <v>32</v>
      </c>
      <c r="AF22" s="18">
        <f t="shared" si="0"/>
        <v>43.766666666666666</v>
      </c>
    </row>
    <row r="23" spans="1:32" x14ac:dyDescent="0.35">
      <c r="A23" s="1" t="s">
        <v>12</v>
      </c>
      <c r="B23" s="1">
        <v>74</v>
      </c>
      <c r="C23" s="1">
        <v>68</v>
      </c>
      <c r="D23" s="1">
        <v>51</v>
      </c>
      <c r="E23" s="1">
        <v>15</v>
      </c>
      <c r="F23" s="1">
        <v>95</v>
      </c>
      <c r="G23" s="1">
        <v>76</v>
      </c>
      <c r="H23" s="1">
        <v>22</v>
      </c>
      <c r="I23" s="1">
        <v>15</v>
      </c>
      <c r="J23" s="1">
        <v>15</v>
      </c>
      <c r="K23" s="1">
        <v>91</v>
      </c>
      <c r="L23" s="1">
        <v>47</v>
      </c>
      <c r="M23" s="1">
        <v>17</v>
      </c>
      <c r="N23" s="1">
        <v>29</v>
      </c>
      <c r="O23" s="1">
        <v>41</v>
      </c>
      <c r="P23" s="1">
        <v>55</v>
      </c>
      <c r="Q23" s="1">
        <v>35</v>
      </c>
      <c r="R23" s="1">
        <v>15</v>
      </c>
      <c r="S23" s="1">
        <v>83</v>
      </c>
      <c r="T23" s="1">
        <v>22</v>
      </c>
      <c r="U23" s="1">
        <v>81</v>
      </c>
      <c r="V23" s="1">
        <v>26</v>
      </c>
      <c r="W23" s="1">
        <v>80</v>
      </c>
      <c r="X23" s="1">
        <v>89</v>
      </c>
      <c r="Y23" s="1">
        <v>12</v>
      </c>
      <c r="Z23" s="1">
        <v>26</v>
      </c>
      <c r="AA23" s="1">
        <v>14</v>
      </c>
      <c r="AB23" s="1">
        <v>37</v>
      </c>
      <c r="AC23" s="1">
        <v>45</v>
      </c>
      <c r="AD23" s="1">
        <v>55</v>
      </c>
      <c r="AE23" s="1">
        <v>63</v>
      </c>
      <c r="AF23" s="18">
        <f t="shared" si="0"/>
        <v>46.466666666666669</v>
      </c>
    </row>
    <row r="24" spans="1:32" x14ac:dyDescent="0.35">
      <c r="A24" s="1" t="s">
        <v>13</v>
      </c>
      <c r="B24" s="1">
        <v>78</v>
      </c>
      <c r="C24" s="1">
        <v>132</v>
      </c>
      <c r="D24" s="1">
        <v>65</v>
      </c>
      <c r="E24" s="1">
        <v>139</v>
      </c>
      <c r="F24" s="1">
        <v>55</v>
      </c>
      <c r="G24" s="1">
        <v>15</v>
      </c>
      <c r="H24" s="1">
        <v>12</v>
      </c>
      <c r="I24" s="1">
        <v>33</v>
      </c>
      <c r="J24" s="1">
        <v>38</v>
      </c>
      <c r="K24" s="1">
        <v>55</v>
      </c>
      <c r="L24" s="1">
        <v>30</v>
      </c>
      <c r="M24" s="1">
        <v>53</v>
      </c>
      <c r="N24" s="1">
        <v>17</v>
      </c>
      <c r="O24" s="1">
        <v>41</v>
      </c>
      <c r="P24" s="1">
        <v>135</v>
      </c>
      <c r="Q24" s="1">
        <v>59</v>
      </c>
      <c r="R24" s="1">
        <v>201</v>
      </c>
      <c r="S24" s="1">
        <v>28</v>
      </c>
      <c r="T24" s="1">
        <v>12</v>
      </c>
      <c r="U24" s="1">
        <v>93</v>
      </c>
      <c r="V24" s="1">
        <v>144</v>
      </c>
      <c r="W24" s="1">
        <v>35</v>
      </c>
      <c r="X24" s="1">
        <v>91</v>
      </c>
      <c r="Y24" s="1">
        <v>28</v>
      </c>
      <c r="Z24" s="1">
        <v>47</v>
      </c>
      <c r="AA24" s="1">
        <v>19</v>
      </c>
      <c r="AB24" s="1">
        <v>35</v>
      </c>
      <c r="AC24" s="1">
        <v>29</v>
      </c>
      <c r="AD24" s="1">
        <v>29</v>
      </c>
      <c r="AE24" s="1">
        <v>35</v>
      </c>
      <c r="AF24" s="18">
        <f t="shared" si="0"/>
        <v>59.43333333333333</v>
      </c>
    </row>
    <row r="25" spans="1:32" x14ac:dyDescent="0.35">
      <c r="A25" s="1" t="s">
        <v>14</v>
      </c>
      <c r="B25" s="1">
        <v>168</v>
      </c>
      <c r="C25" s="1">
        <v>85</v>
      </c>
      <c r="D25" s="1">
        <v>93</v>
      </c>
      <c r="E25" s="1">
        <v>54</v>
      </c>
      <c r="F25" s="1">
        <v>14</v>
      </c>
      <c r="G25" s="1">
        <v>54</v>
      </c>
      <c r="H25" s="1">
        <v>157</v>
      </c>
      <c r="I25" s="1">
        <v>157</v>
      </c>
      <c r="J25" s="1">
        <v>27</v>
      </c>
      <c r="K25" s="1">
        <v>41</v>
      </c>
      <c r="L25" s="1">
        <v>39</v>
      </c>
      <c r="M25" s="1">
        <v>110</v>
      </c>
      <c r="N25" s="1">
        <v>249</v>
      </c>
      <c r="O25" s="1">
        <v>39</v>
      </c>
      <c r="P25" s="1">
        <v>86</v>
      </c>
      <c r="Q25" s="1">
        <v>58</v>
      </c>
      <c r="R25" s="1">
        <v>31</v>
      </c>
      <c r="S25" s="1">
        <v>25</v>
      </c>
      <c r="T25" s="1">
        <v>32</v>
      </c>
      <c r="U25" s="1">
        <v>158</v>
      </c>
      <c r="V25" s="1">
        <v>40</v>
      </c>
      <c r="W25" s="1">
        <v>27</v>
      </c>
      <c r="X25" s="1">
        <v>120</v>
      </c>
      <c r="Y25" s="1">
        <v>29</v>
      </c>
      <c r="Z25" s="1">
        <v>45</v>
      </c>
      <c r="AA25" s="1">
        <v>108</v>
      </c>
      <c r="AB25" s="1">
        <v>41</v>
      </c>
      <c r="AC25" s="1">
        <v>13</v>
      </c>
      <c r="AD25" s="1">
        <v>40</v>
      </c>
      <c r="AE25" s="1">
        <v>188</v>
      </c>
      <c r="AF25" s="18">
        <f t="shared" si="0"/>
        <v>77.599999999999994</v>
      </c>
    </row>
    <row r="26" spans="1:32" x14ac:dyDescent="0.35">
      <c r="A26" s="1" t="s">
        <v>15</v>
      </c>
      <c r="B26" s="1">
        <v>32</v>
      </c>
      <c r="C26" s="1">
        <v>225</v>
      </c>
      <c r="D26" s="1">
        <v>70</v>
      </c>
      <c r="E26" s="1">
        <v>37</v>
      </c>
      <c r="F26" s="1">
        <v>154</v>
      </c>
      <c r="G26" s="1">
        <v>285</v>
      </c>
      <c r="H26" s="1">
        <v>149</v>
      </c>
      <c r="I26" s="1">
        <v>31</v>
      </c>
      <c r="J26" s="1">
        <v>18</v>
      </c>
      <c r="K26" s="1">
        <v>39</v>
      </c>
      <c r="L26" s="1">
        <v>133</v>
      </c>
      <c r="M26" s="1">
        <v>22</v>
      </c>
      <c r="N26" s="1">
        <v>12</v>
      </c>
      <c r="O26" s="1">
        <v>24</v>
      </c>
      <c r="P26" s="1">
        <v>55</v>
      </c>
      <c r="Q26" s="1">
        <v>47</v>
      </c>
      <c r="R26" s="1">
        <v>46</v>
      </c>
      <c r="S26" s="1">
        <v>39</v>
      </c>
      <c r="T26" s="1">
        <v>58</v>
      </c>
      <c r="U26" s="1">
        <v>13</v>
      </c>
      <c r="V26" s="1">
        <v>65</v>
      </c>
      <c r="W26" s="1">
        <v>130</v>
      </c>
      <c r="X26" s="1">
        <v>75</v>
      </c>
      <c r="Y26" s="1">
        <v>36</v>
      </c>
      <c r="Z26" s="1">
        <v>35</v>
      </c>
      <c r="AA26" s="1">
        <v>125</v>
      </c>
      <c r="AB26" s="1">
        <v>115</v>
      </c>
      <c r="AC26" s="1">
        <v>26</v>
      </c>
      <c r="AD26" s="1">
        <v>21</v>
      </c>
      <c r="AE26" s="1">
        <v>30</v>
      </c>
      <c r="AF26" s="18">
        <f t="shared" si="0"/>
        <v>71.566666666666663</v>
      </c>
    </row>
    <row r="27" spans="1:32" x14ac:dyDescent="0.35">
      <c r="A27" s="1" t="s">
        <v>172</v>
      </c>
      <c r="B27" s="1">
        <v>23</v>
      </c>
      <c r="C27" s="1">
        <v>97</v>
      </c>
      <c r="D27" s="1">
        <v>20</v>
      </c>
      <c r="E27" s="1">
        <v>79</v>
      </c>
      <c r="F27" s="1">
        <v>16</v>
      </c>
      <c r="G27" s="1">
        <v>61</v>
      </c>
      <c r="H27" s="1">
        <v>18</v>
      </c>
      <c r="I27" s="1">
        <v>75</v>
      </c>
      <c r="J27" s="1">
        <v>47</v>
      </c>
      <c r="K27" s="1">
        <v>36</v>
      </c>
      <c r="L27" s="1">
        <v>47</v>
      </c>
      <c r="M27" s="1">
        <v>41</v>
      </c>
      <c r="N27" s="1">
        <v>18</v>
      </c>
      <c r="O27" s="1">
        <v>43</v>
      </c>
      <c r="P27" s="1">
        <v>19</v>
      </c>
      <c r="Q27" s="1">
        <v>21</v>
      </c>
      <c r="R27" s="1">
        <v>17</v>
      </c>
      <c r="S27" s="1">
        <v>33</v>
      </c>
      <c r="T27" s="1">
        <v>29</v>
      </c>
      <c r="U27" s="1">
        <v>37</v>
      </c>
      <c r="V27" s="1">
        <v>41</v>
      </c>
      <c r="W27" s="1">
        <v>51</v>
      </c>
      <c r="X27" s="1">
        <v>14</v>
      </c>
      <c r="Y27" s="1">
        <v>89</v>
      </c>
      <c r="Z27" s="1">
        <v>69</v>
      </c>
      <c r="AA27" s="1">
        <v>39</v>
      </c>
      <c r="AB27" s="1">
        <v>51</v>
      </c>
      <c r="AC27" s="1">
        <v>26</v>
      </c>
      <c r="AD27" s="1">
        <v>45</v>
      </c>
      <c r="AE27" s="1">
        <v>18</v>
      </c>
      <c r="AF27" s="18">
        <f t="shared" si="0"/>
        <v>40.666666666666664</v>
      </c>
    </row>
    <row r="28" spans="1:32" x14ac:dyDescent="0.35">
      <c r="A28" s="1" t="s">
        <v>16</v>
      </c>
      <c r="B28" s="1">
        <v>28</v>
      </c>
      <c r="C28" s="1">
        <v>36</v>
      </c>
      <c r="D28" s="1">
        <v>37</v>
      </c>
      <c r="E28" s="1">
        <v>92</v>
      </c>
      <c r="F28" s="1">
        <v>59</v>
      </c>
      <c r="G28" s="1">
        <v>65</v>
      </c>
      <c r="H28" s="1">
        <v>95</v>
      </c>
      <c r="I28" s="1">
        <v>16</v>
      </c>
      <c r="J28" s="1">
        <v>40</v>
      </c>
      <c r="K28" s="1">
        <v>62</v>
      </c>
      <c r="L28" s="1">
        <v>92</v>
      </c>
      <c r="M28" s="1">
        <v>161</v>
      </c>
      <c r="N28" s="1">
        <v>100</v>
      </c>
      <c r="O28" s="1">
        <v>68</v>
      </c>
      <c r="P28" s="1">
        <v>22</v>
      </c>
      <c r="Q28" s="1">
        <v>51</v>
      </c>
      <c r="R28" s="1">
        <v>17</v>
      </c>
      <c r="S28" s="1">
        <v>85</v>
      </c>
      <c r="T28" s="1">
        <v>108</v>
      </c>
      <c r="U28" s="1">
        <v>28</v>
      </c>
      <c r="V28" s="1">
        <v>141</v>
      </c>
      <c r="W28" s="1">
        <v>74</v>
      </c>
      <c r="X28" s="1">
        <v>76</v>
      </c>
      <c r="Y28" s="1">
        <v>55</v>
      </c>
      <c r="Z28" s="1">
        <v>64</v>
      </c>
      <c r="AA28" s="1">
        <v>43</v>
      </c>
      <c r="AB28" s="1">
        <v>44</v>
      </c>
      <c r="AC28" s="1">
        <v>81</v>
      </c>
      <c r="AD28" s="1">
        <v>101</v>
      </c>
      <c r="AE28" s="1">
        <v>138</v>
      </c>
      <c r="AF28" s="18">
        <f t="shared" si="0"/>
        <v>69.3</v>
      </c>
    </row>
    <row r="29" spans="1:32" x14ac:dyDescent="0.35">
      <c r="A29" s="1" t="s">
        <v>195</v>
      </c>
      <c r="B29" s="1">
        <v>39</v>
      </c>
      <c r="C29" s="1">
        <v>69</v>
      </c>
      <c r="D29" s="1">
        <v>39</v>
      </c>
      <c r="E29" s="1">
        <v>106</v>
      </c>
      <c r="F29" s="1">
        <v>120</v>
      </c>
      <c r="G29" s="1">
        <v>42</v>
      </c>
      <c r="H29" s="1">
        <v>34</v>
      </c>
      <c r="I29" s="1">
        <v>24</v>
      </c>
      <c r="J29" s="1">
        <v>15</v>
      </c>
      <c r="K29" s="1">
        <v>31</v>
      </c>
      <c r="L29" s="1">
        <v>34</v>
      </c>
      <c r="M29" s="1">
        <v>15</v>
      </c>
      <c r="N29" s="1">
        <v>29</v>
      </c>
      <c r="O29" s="1">
        <v>12</v>
      </c>
      <c r="P29" s="1">
        <v>61</v>
      </c>
      <c r="Q29" s="1">
        <v>21</v>
      </c>
      <c r="R29" s="1">
        <v>73</v>
      </c>
      <c r="S29" s="1">
        <v>23</v>
      </c>
      <c r="T29" s="1">
        <v>19</v>
      </c>
      <c r="U29" s="1">
        <v>55</v>
      </c>
      <c r="V29" s="1">
        <v>26</v>
      </c>
      <c r="W29" s="1">
        <v>94</v>
      </c>
      <c r="X29" s="1">
        <v>164</v>
      </c>
      <c r="Y29" s="1">
        <v>26</v>
      </c>
      <c r="Z29" s="1">
        <v>92</v>
      </c>
      <c r="AA29" s="1">
        <v>116</v>
      </c>
      <c r="AB29" s="1">
        <v>28</v>
      </c>
      <c r="AC29" s="1">
        <v>34</v>
      </c>
      <c r="AD29" s="1">
        <v>16</v>
      </c>
      <c r="AE29" s="1">
        <v>17</v>
      </c>
      <c r="AF29" s="18">
        <f t="shared" si="0"/>
        <v>49.133333333333333</v>
      </c>
    </row>
    <row r="30" spans="1:32" x14ac:dyDescent="0.35">
      <c r="A30" s="1" t="s">
        <v>173</v>
      </c>
      <c r="B30" s="1">
        <v>19</v>
      </c>
      <c r="C30" s="1">
        <v>18</v>
      </c>
      <c r="D30" s="1">
        <v>43</v>
      </c>
      <c r="E30" s="1">
        <v>105</v>
      </c>
      <c r="F30" s="1">
        <v>88</v>
      </c>
      <c r="G30" s="1">
        <v>16</v>
      </c>
      <c r="H30" s="1">
        <v>26</v>
      </c>
      <c r="I30" s="1">
        <v>15</v>
      </c>
      <c r="J30" s="1">
        <v>19</v>
      </c>
      <c r="K30" s="1">
        <v>84</v>
      </c>
      <c r="L30" s="1">
        <v>52</v>
      </c>
      <c r="M30" s="1">
        <v>24</v>
      </c>
      <c r="N30" s="1">
        <v>29</v>
      </c>
      <c r="O30" s="1">
        <v>79</v>
      </c>
      <c r="P30" s="1">
        <v>247</v>
      </c>
      <c r="Q30" s="1">
        <v>64</v>
      </c>
      <c r="R30" s="1">
        <v>17</v>
      </c>
      <c r="S30" s="1">
        <v>86</v>
      </c>
      <c r="T30" s="1">
        <v>47</v>
      </c>
      <c r="U30" s="1">
        <v>22</v>
      </c>
      <c r="V30" s="1">
        <v>98</v>
      </c>
      <c r="W30" s="1">
        <v>37</v>
      </c>
      <c r="X30" s="1">
        <v>37</v>
      </c>
      <c r="Y30" s="1">
        <v>18</v>
      </c>
      <c r="Z30" s="1">
        <v>73</v>
      </c>
      <c r="AA30" s="1">
        <v>30</v>
      </c>
      <c r="AB30" s="1">
        <v>15</v>
      </c>
      <c r="AC30" s="1">
        <v>23</v>
      </c>
      <c r="AD30" s="1">
        <v>51</v>
      </c>
      <c r="AE30" s="1">
        <v>44</v>
      </c>
      <c r="AF30" s="18">
        <f t="shared" si="0"/>
        <v>50.866666666666667</v>
      </c>
    </row>
    <row r="31" spans="1:32" x14ac:dyDescent="0.35">
      <c r="A31" s="1" t="s">
        <v>17</v>
      </c>
      <c r="B31" s="1">
        <v>69</v>
      </c>
      <c r="C31" s="1">
        <v>55</v>
      </c>
      <c r="D31" s="1">
        <v>38</v>
      </c>
      <c r="E31" s="1">
        <v>49</v>
      </c>
      <c r="F31" s="1">
        <v>24</v>
      </c>
      <c r="G31" s="1">
        <v>30</v>
      </c>
      <c r="H31" s="1">
        <v>25</v>
      </c>
      <c r="I31" s="1">
        <v>29</v>
      </c>
      <c r="J31" s="1">
        <v>123</v>
      </c>
      <c r="K31" s="1">
        <v>146</v>
      </c>
      <c r="L31" s="1">
        <v>31</v>
      </c>
      <c r="M31" s="1">
        <v>117</v>
      </c>
      <c r="N31" s="1">
        <v>41</v>
      </c>
      <c r="O31" s="1">
        <v>61</v>
      </c>
      <c r="P31" s="1">
        <v>22</v>
      </c>
      <c r="Q31" s="1">
        <v>118</v>
      </c>
      <c r="R31" s="1">
        <v>95</v>
      </c>
      <c r="S31" s="1">
        <v>81</v>
      </c>
      <c r="T31" s="1">
        <v>22</v>
      </c>
      <c r="U31" s="1">
        <v>38</v>
      </c>
      <c r="V31" s="1">
        <v>20</v>
      </c>
      <c r="W31" s="1">
        <v>82</v>
      </c>
      <c r="X31" s="1">
        <v>29</v>
      </c>
      <c r="Y31" s="1">
        <v>17</v>
      </c>
      <c r="Z31" s="1">
        <v>22</v>
      </c>
      <c r="AA31" s="1">
        <v>84</v>
      </c>
      <c r="AB31" s="1">
        <v>23</v>
      </c>
      <c r="AC31" s="1">
        <v>58</v>
      </c>
      <c r="AD31" s="1">
        <v>26</v>
      </c>
      <c r="AE31" s="1">
        <v>123</v>
      </c>
      <c r="AF31" s="18">
        <f t="shared" si="0"/>
        <v>56.6</v>
      </c>
    </row>
    <row r="32" spans="1:32" x14ac:dyDescent="0.35">
      <c r="A32" s="1" t="s">
        <v>18</v>
      </c>
      <c r="B32" s="1">
        <v>25</v>
      </c>
      <c r="C32" s="1">
        <v>82</v>
      </c>
      <c r="D32" s="1">
        <v>22</v>
      </c>
      <c r="E32" s="1">
        <v>75</v>
      </c>
      <c r="F32" s="1">
        <v>85</v>
      </c>
      <c r="G32" s="1">
        <v>90</v>
      </c>
      <c r="H32" s="1">
        <v>37</v>
      </c>
      <c r="I32" s="1">
        <v>34</v>
      </c>
      <c r="J32" s="1">
        <v>86</v>
      </c>
      <c r="K32" s="1">
        <v>60</v>
      </c>
      <c r="L32" s="1">
        <v>21</v>
      </c>
      <c r="M32" s="1">
        <v>61</v>
      </c>
      <c r="N32" s="1">
        <v>53</v>
      </c>
      <c r="O32" s="1">
        <v>109</v>
      </c>
      <c r="P32" s="1">
        <v>41</v>
      </c>
      <c r="Q32" s="1">
        <v>38</v>
      </c>
      <c r="R32" s="1">
        <v>25</v>
      </c>
      <c r="S32" s="1">
        <v>281</v>
      </c>
      <c r="T32" s="1">
        <v>31</v>
      </c>
      <c r="U32" s="1">
        <v>24</v>
      </c>
      <c r="V32" s="1">
        <v>77</v>
      </c>
      <c r="W32" s="1">
        <v>104</v>
      </c>
      <c r="X32" s="1">
        <v>37</v>
      </c>
      <c r="Y32" s="1">
        <v>60</v>
      </c>
      <c r="Z32" s="1">
        <v>35</v>
      </c>
      <c r="AA32" s="1">
        <v>20</v>
      </c>
      <c r="AB32" s="1">
        <v>50</v>
      </c>
      <c r="AC32" s="1">
        <v>31</v>
      </c>
      <c r="AD32" s="1">
        <v>43</v>
      </c>
      <c r="AE32" s="1">
        <v>19</v>
      </c>
      <c r="AF32" s="18">
        <f t="shared" si="0"/>
        <v>58.533333333333331</v>
      </c>
    </row>
    <row r="33" spans="1:32" x14ac:dyDescent="0.35">
      <c r="A33" s="1" t="s">
        <v>19</v>
      </c>
      <c r="B33" s="1">
        <v>79</v>
      </c>
      <c r="C33" s="1">
        <v>117</v>
      </c>
      <c r="D33" s="1">
        <v>71</v>
      </c>
      <c r="E33" s="1">
        <v>20</v>
      </c>
      <c r="F33" s="1">
        <v>47</v>
      </c>
      <c r="G33" s="1">
        <v>12</v>
      </c>
      <c r="H33" s="1">
        <v>58</v>
      </c>
      <c r="I33" s="1">
        <v>26</v>
      </c>
      <c r="J33" s="1">
        <v>34</v>
      </c>
      <c r="K33" s="1">
        <v>25</v>
      </c>
      <c r="L33" s="1">
        <v>23</v>
      </c>
      <c r="M33" s="1">
        <v>31</v>
      </c>
      <c r="N33" s="1">
        <v>28</v>
      </c>
      <c r="O33" s="1">
        <v>37</v>
      </c>
      <c r="P33" s="1">
        <v>30</v>
      </c>
      <c r="Q33" s="1">
        <v>90</v>
      </c>
      <c r="R33" s="1">
        <v>60</v>
      </c>
      <c r="S33" s="1">
        <v>30</v>
      </c>
      <c r="T33" s="1">
        <v>24</v>
      </c>
      <c r="U33" s="1">
        <v>69</v>
      </c>
      <c r="V33" s="1">
        <v>43</v>
      </c>
      <c r="W33" s="1">
        <v>51</v>
      </c>
      <c r="X33" s="1">
        <v>54</v>
      </c>
      <c r="Y33" s="1">
        <v>96</v>
      </c>
      <c r="Z33" s="1">
        <v>69</v>
      </c>
      <c r="AA33" s="1">
        <v>37</v>
      </c>
      <c r="AB33" s="1">
        <v>154</v>
      </c>
      <c r="AC33" s="1">
        <v>20</v>
      </c>
      <c r="AD33" s="1">
        <v>30</v>
      </c>
      <c r="AE33" s="1">
        <v>47</v>
      </c>
      <c r="AF33" s="18">
        <f t="shared" si="0"/>
        <v>50.4</v>
      </c>
    </row>
    <row r="34" spans="1:32" x14ac:dyDescent="0.35">
      <c r="A34" s="1" t="s">
        <v>174</v>
      </c>
      <c r="B34" s="1">
        <v>32</v>
      </c>
      <c r="C34" s="1">
        <v>52</v>
      </c>
      <c r="D34" s="1">
        <v>96</v>
      </c>
      <c r="E34" s="1">
        <v>26</v>
      </c>
      <c r="F34" s="1">
        <v>13</v>
      </c>
      <c r="G34" s="1">
        <v>20</v>
      </c>
      <c r="H34" s="1">
        <v>45</v>
      </c>
      <c r="I34" s="1">
        <v>14</v>
      </c>
      <c r="J34" s="1">
        <v>177</v>
      </c>
      <c r="K34" s="1">
        <v>30</v>
      </c>
      <c r="L34" s="1">
        <v>228</v>
      </c>
      <c r="M34" s="1">
        <v>91</v>
      </c>
      <c r="N34" s="1">
        <v>93</v>
      </c>
      <c r="O34" s="1">
        <v>72</v>
      </c>
      <c r="P34" s="1">
        <v>183</v>
      </c>
      <c r="Q34" s="1">
        <v>27</v>
      </c>
      <c r="R34" s="1">
        <v>39</v>
      </c>
      <c r="S34" s="1">
        <v>34</v>
      </c>
      <c r="T34" s="1">
        <v>81</v>
      </c>
      <c r="U34" s="1">
        <v>56</v>
      </c>
      <c r="V34" s="1">
        <v>33</v>
      </c>
      <c r="W34" s="1">
        <v>118</v>
      </c>
      <c r="X34" s="1">
        <v>33</v>
      </c>
      <c r="Y34" s="1">
        <v>102</v>
      </c>
      <c r="Z34" s="1">
        <v>76</v>
      </c>
      <c r="AA34" s="1">
        <v>46</v>
      </c>
      <c r="AB34" s="1">
        <v>42</v>
      </c>
      <c r="AC34" s="1">
        <v>65</v>
      </c>
      <c r="AD34" s="1">
        <v>29</v>
      </c>
      <c r="AE34" s="1">
        <v>56</v>
      </c>
      <c r="AF34" s="18">
        <f t="shared" si="0"/>
        <v>66.966666666666669</v>
      </c>
    </row>
    <row r="35" spans="1:32" x14ac:dyDescent="0.35">
      <c r="A35" s="1" t="s">
        <v>20</v>
      </c>
      <c r="B35" s="1">
        <v>43</v>
      </c>
      <c r="C35" s="1">
        <v>45</v>
      </c>
      <c r="D35" s="1">
        <v>40</v>
      </c>
      <c r="E35" s="1">
        <v>23</v>
      </c>
      <c r="F35" s="1">
        <v>28</v>
      </c>
      <c r="G35" s="1">
        <v>22</v>
      </c>
      <c r="H35" s="1">
        <v>82</v>
      </c>
      <c r="I35" s="1">
        <v>15</v>
      </c>
      <c r="J35" s="1">
        <v>67</v>
      </c>
      <c r="K35" s="1">
        <v>18</v>
      </c>
      <c r="L35" s="1">
        <v>77</v>
      </c>
      <c r="M35" s="1">
        <v>97</v>
      </c>
      <c r="N35" s="1">
        <v>33</v>
      </c>
      <c r="O35" s="1">
        <v>72</v>
      </c>
      <c r="P35" s="1">
        <v>32</v>
      </c>
      <c r="Q35" s="1">
        <v>33</v>
      </c>
      <c r="R35" s="1">
        <v>41</v>
      </c>
      <c r="S35" s="1">
        <v>43</v>
      </c>
      <c r="T35" s="1">
        <v>102</v>
      </c>
      <c r="U35" s="1">
        <v>67</v>
      </c>
      <c r="V35" s="1">
        <v>18</v>
      </c>
      <c r="W35" s="1">
        <v>105</v>
      </c>
      <c r="X35" s="1">
        <v>28</v>
      </c>
      <c r="Y35" s="1">
        <v>22</v>
      </c>
      <c r="Z35" s="1">
        <v>133</v>
      </c>
      <c r="AA35" s="1">
        <v>32</v>
      </c>
      <c r="AB35" s="1">
        <v>114</v>
      </c>
      <c r="AC35" s="1">
        <v>74</v>
      </c>
      <c r="AD35" s="1">
        <v>45</v>
      </c>
      <c r="AE35" s="1">
        <v>220</v>
      </c>
      <c r="AF35" s="18">
        <f t="shared" si="0"/>
        <v>59.033333333333331</v>
      </c>
    </row>
    <row r="36" spans="1:32" x14ac:dyDescent="0.35">
      <c r="A36" s="1" t="s">
        <v>21</v>
      </c>
      <c r="B36" s="1">
        <v>16</v>
      </c>
      <c r="C36" s="1">
        <v>33</v>
      </c>
      <c r="D36" s="1">
        <v>208</v>
      </c>
      <c r="E36" s="1">
        <v>49</v>
      </c>
      <c r="F36" s="1">
        <v>12</v>
      </c>
      <c r="G36" s="1">
        <v>83</v>
      </c>
      <c r="H36" s="1">
        <v>173</v>
      </c>
      <c r="I36" s="1">
        <v>43</v>
      </c>
      <c r="J36" s="1">
        <v>47</v>
      </c>
      <c r="K36" s="1">
        <v>68</v>
      </c>
      <c r="L36" s="1">
        <v>26</v>
      </c>
      <c r="M36" s="1">
        <v>100</v>
      </c>
      <c r="N36" s="1">
        <v>81</v>
      </c>
      <c r="O36" s="1">
        <v>21</v>
      </c>
      <c r="P36" s="1">
        <v>50</v>
      </c>
      <c r="Q36" s="1">
        <v>96</v>
      </c>
      <c r="R36" s="1">
        <v>82</v>
      </c>
      <c r="S36" s="1">
        <v>31</v>
      </c>
      <c r="T36" s="1">
        <v>82</v>
      </c>
      <c r="U36" s="1">
        <v>26</v>
      </c>
      <c r="V36" s="1">
        <v>127</v>
      </c>
      <c r="W36" s="1">
        <v>204</v>
      </c>
      <c r="X36" s="1">
        <v>80</v>
      </c>
      <c r="Y36" s="1">
        <v>28</v>
      </c>
      <c r="Z36" s="1">
        <v>71</v>
      </c>
      <c r="AA36" s="1">
        <v>62</v>
      </c>
      <c r="AB36" s="1">
        <v>54</v>
      </c>
      <c r="AC36" s="1">
        <v>15</v>
      </c>
      <c r="AD36" s="1">
        <v>57</v>
      </c>
      <c r="AE36" s="1">
        <v>135</v>
      </c>
      <c r="AF36" s="18">
        <f t="shared" si="0"/>
        <v>72</v>
      </c>
    </row>
    <row r="37" spans="1:32" x14ac:dyDescent="0.35">
      <c r="A37" s="1" t="s">
        <v>22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8">
        <f t="shared" si="0"/>
        <v>0</v>
      </c>
    </row>
    <row r="38" spans="1:32" x14ac:dyDescent="0.35">
      <c r="A38" s="1" t="s">
        <v>23</v>
      </c>
      <c r="B38" s="1">
        <v>70</v>
      </c>
      <c r="C38" s="1">
        <v>26</v>
      </c>
      <c r="D38" s="1">
        <v>69</v>
      </c>
      <c r="E38" s="1">
        <v>13</v>
      </c>
      <c r="F38" s="1">
        <v>69</v>
      </c>
      <c r="G38" s="1">
        <v>66</v>
      </c>
      <c r="H38" s="1">
        <v>21</v>
      </c>
      <c r="I38" s="1">
        <v>34</v>
      </c>
      <c r="J38" s="1">
        <v>41</v>
      </c>
      <c r="K38" s="1">
        <v>34</v>
      </c>
      <c r="L38" s="1">
        <v>96</v>
      </c>
      <c r="M38" s="1">
        <v>85</v>
      </c>
      <c r="N38" s="1">
        <v>63</v>
      </c>
      <c r="O38" s="1">
        <v>25</v>
      </c>
      <c r="P38" s="1">
        <v>32</v>
      </c>
      <c r="Q38" s="1">
        <v>16</v>
      </c>
      <c r="R38" s="1">
        <v>35</v>
      </c>
      <c r="S38" s="1">
        <v>51</v>
      </c>
      <c r="T38" s="1">
        <v>64</v>
      </c>
      <c r="U38" s="1">
        <v>89</v>
      </c>
      <c r="V38" s="1">
        <v>27</v>
      </c>
      <c r="W38" s="1">
        <v>121</v>
      </c>
      <c r="X38" s="1">
        <v>20</v>
      </c>
      <c r="Y38" s="1">
        <v>18</v>
      </c>
      <c r="Z38" s="1">
        <v>16</v>
      </c>
      <c r="AA38" s="1">
        <v>12</v>
      </c>
      <c r="AB38" s="1">
        <v>35</v>
      </c>
      <c r="AC38" s="1">
        <v>19</v>
      </c>
      <c r="AD38" s="1">
        <v>57</v>
      </c>
      <c r="AE38" s="1">
        <v>15</v>
      </c>
      <c r="AF38" s="18">
        <f t="shared" si="0"/>
        <v>44.633333333333333</v>
      </c>
    </row>
    <row r="39" spans="1:32" x14ac:dyDescent="0.35">
      <c r="A39" s="1" t="s">
        <v>24</v>
      </c>
      <c r="B39" s="1">
        <v>56</v>
      </c>
      <c r="C39" s="1">
        <v>15</v>
      </c>
      <c r="D39" s="1">
        <v>15</v>
      </c>
      <c r="E39" s="1">
        <v>65</v>
      </c>
      <c r="F39" s="1">
        <v>69</v>
      </c>
      <c r="G39" s="1">
        <v>15</v>
      </c>
      <c r="H39" s="1">
        <v>41</v>
      </c>
      <c r="I39" s="1">
        <v>14</v>
      </c>
      <c r="J39" s="1">
        <v>74</v>
      </c>
      <c r="K39" s="1">
        <v>45</v>
      </c>
      <c r="L39" s="1">
        <v>23</v>
      </c>
      <c r="M39" s="1">
        <v>85</v>
      </c>
      <c r="N39" s="1">
        <v>97</v>
      </c>
      <c r="O39" s="1">
        <v>136</v>
      </c>
      <c r="P39" s="1">
        <v>141</v>
      </c>
      <c r="Q39" s="1">
        <v>112</v>
      </c>
      <c r="R39" s="1">
        <v>118</v>
      </c>
      <c r="S39" s="1">
        <v>43</v>
      </c>
      <c r="T39" s="1">
        <v>83</v>
      </c>
      <c r="U39" s="1">
        <v>43</v>
      </c>
      <c r="V39" s="1">
        <v>40</v>
      </c>
      <c r="W39" s="1">
        <v>256</v>
      </c>
      <c r="X39" s="1">
        <v>17</v>
      </c>
      <c r="Y39" s="1">
        <v>12</v>
      </c>
      <c r="Z39" s="1">
        <v>77</v>
      </c>
      <c r="AA39" s="1">
        <v>30</v>
      </c>
      <c r="AB39" s="1">
        <v>70</v>
      </c>
      <c r="AC39" s="1">
        <v>170</v>
      </c>
      <c r="AD39" s="1">
        <v>17</v>
      </c>
      <c r="AE39" s="1">
        <v>50</v>
      </c>
      <c r="AF39" s="18">
        <f t="shared" si="0"/>
        <v>67.63333333333334</v>
      </c>
    </row>
    <row r="40" spans="1:32" x14ac:dyDescent="0.35">
      <c r="A40" s="1" t="s">
        <v>25</v>
      </c>
      <c r="B40" s="1">
        <v>13</v>
      </c>
      <c r="C40" s="1">
        <v>101</v>
      </c>
      <c r="D40" s="1">
        <v>178</v>
      </c>
      <c r="E40" s="1">
        <v>64</v>
      </c>
      <c r="F40" s="1">
        <v>90</v>
      </c>
      <c r="G40" s="1">
        <v>69</v>
      </c>
      <c r="H40" s="1">
        <v>15</v>
      </c>
      <c r="I40" s="1">
        <v>63</v>
      </c>
      <c r="J40" s="1">
        <v>24</v>
      </c>
      <c r="K40" s="1">
        <v>35</v>
      </c>
      <c r="L40" s="1">
        <v>30</v>
      </c>
      <c r="M40" s="1">
        <v>94</v>
      </c>
      <c r="N40" s="1">
        <v>14</v>
      </c>
      <c r="O40" s="1">
        <v>99</v>
      </c>
      <c r="P40" s="1">
        <v>116</v>
      </c>
      <c r="Q40" s="1">
        <v>17</v>
      </c>
      <c r="R40" s="1">
        <v>50</v>
      </c>
      <c r="S40" s="1">
        <v>41</v>
      </c>
      <c r="T40" s="1">
        <v>36</v>
      </c>
      <c r="U40" s="1">
        <v>165</v>
      </c>
      <c r="V40" s="1">
        <v>12</v>
      </c>
      <c r="W40" s="1">
        <v>31</v>
      </c>
      <c r="X40" s="1">
        <v>31</v>
      </c>
      <c r="Y40" s="1">
        <v>19</v>
      </c>
      <c r="Z40" s="1">
        <v>32</v>
      </c>
      <c r="AA40" s="1">
        <v>35</v>
      </c>
      <c r="AB40" s="1">
        <v>54</v>
      </c>
      <c r="AC40" s="1">
        <v>32</v>
      </c>
      <c r="AD40" s="1">
        <v>52</v>
      </c>
      <c r="AE40" s="1">
        <v>146</v>
      </c>
      <c r="AF40" s="18">
        <f t="shared" si="0"/>
        <v>58.6</v>
      </c>
    </row>
    <row r="41" spans="1:32" x14ac:dyDescent="0.35">
      <c r="A41" s="1" t="s">
        <v>26</v>
      </c>
      <c r="B41" s="1">
        <v>19</v>
      </c>
      <c r="C41" s="1">
        <v>37</v>
      </c>
      <c r="D41" s="1">
        <v>116</v>
      </c>
      <c r="E41" s="1">
        <v>51</v>
      </c>
      <c r="F41" s="1">
        <v>245</v>
      </c>
      <c r="G41" s="1">
        <v>114</v>
      </c>
      <c r="H41" s="1">
        <v>32</v>
      </c>
      <c r="I41" s="1">
        <v>43</v>
      </c>
      <c r="J41" s="1">
        <v>24</v>
      </c>
      <c r="K41" s="1">
        <v>52</v>
      </c>
      <c r="L41" s="1">
        <v>41</v>
      </c>
      <c r="M41" s="1">
        <v>28</v>
      </c>
      <c r="N41" s="1">
        <v>23</v>
      </c>
      <c r="O41" s="1">
        <v>56</v>
      </c>
      <c r="P41" s="1">
        <v>142</v>
      </c>
      <c r="Q41" s="1">
        <v>26</v>
      </c>
      <c r="R41" s="1">
        <v>187</v>
      </c>
      <c r="S41" s="1">
        <v>67</v>
      </c>
      <c r="T41" s="1">
        <v>114</v>
      </c>
      <c r="U41" s="1">
        <v>17</v>
      </c>
      <c r="V41" s="1">
        <v>86</v>
      </c>
      <c r="W41" s="1">
        <v>70</v>
      </c>
      <c r="X41" s="1">
        <v>71</v>
      </c>
      <c r="Y41" s="1">
        <v>28</v>
      </c>
      <c r="Z41" s="1">
        <v>65</v>
      </c>
      <c r="AA41" s="1">
        <v>254</v>
      </c>
      <c r="AB41" s="1">
        <v>15</v>
      </c>
      <c r="AC41" s="1">
        <v>46</v>
      </c>
      <c r="AD41" s="1">
        <v>253</v>
      </c>
      <c r="AE41" s="1">
        <v>211</v>
      </c>
      <c r="AF41" s="18">
        <f t="shared" si="0"/>
        <v>84.433333333333337</v>
      </c>
    </row>
    <row r="42" spans="1:32" x14ac:dyDescent="0.35">
      <c r="A42" s="1" t="s">
        <v>27</v>
      </c>
      <c r="B42" s="1">
        <v>62</v>
      </c>
      <c r="C42" s="1">
        <v>19</v>
      </c>
      <c r="D42" s="1">
        <v>21</v>
      </c>
      <c r="E42" s="1">
        <v>16</v>
      </c>
      <c r="F42" s="1">
        <v>51</v>
      </c>
      <c r="G42" s="1">
        <v>14</v>
      </c>
      <c r="H42" s="1">
        <v>18</v>
      </c>
      <c r="I42" s="1">
        <v>18</v>
      </c>
      <c r="J42" s="1">
        <v>90</v>
      </c>
      <c r="K42" s="1">
        <v>23</v>
      </c>
      <c r="L42" s="1">
        <v>14</v>
      </c>
      <c r="M42" s="1">
        <v>99</v>
      </c>
      <c r="N42" s="1">
        <v>31</v>
      </c>
      <c r="O42" s="1">
        <v>24</v>
      </c>
      <c r="P42" s="1">
        <v>27</v>
      </c>
      <c r="Q42" s="1">
        <v>12</v>
      </c>
      <c r="R42" s="1">
        <v>24</v>
      </c>
      <c r="S42" s="1">
        <v>64</v>
      </c>
      <c r="T42" s="1">
        <v>20</v>
      </c>
      <c r="U42" s="1">
        <v>13</v>
      </c>
      <c r="V42" s="1">
        <v>21</v>
      </c>
      <c r="W42" s="1">
        <v>17</v>
      </c>
      <c r="X42" s="1">
        <v>127</v>
      </c>
      <c r="Y42" s="1">
        <v>14</v>
      </c>
      <c r="Z42" s="1">
        <v>91</v>
      </c>
      <c r="AA42" s="1">
        <v>23</v>
      </c>
      <c r="AB42" s="1">
        <v>16</v>
      </c>
      <c r="AC42" s="1">
        <v>21</v>
      </c>
      <c r="AD42" s="1">
        <v>55</v>
      </c>
      <c r="AE42" s="1">
        <v>16</v>
      </c>
      <c r="AF42" s="18">
        <f t="shared" si="0"/>
        <v>35.366666666666667</v>
      </c>
    </row>
    <row r="43" spans="1:32" x14ac:dyDescent="0.35">
      <c r="A43" s="1" t="s">
        <v>164</v>
      </c>
      <c r="B43" s="1">
        <v>56</v>
      </c>
      <c r="C43" s="1">
        <v>33</v>
      </c>
      <c r="D43" s="1">
        <v>59</v>
      </c>
      <c r="E43" s="1">
        <v>39</v>
      </c>
      <c r="F43" s="1">
        <v>19</v>
      </c>
      <c r="G43" s="1">
        <v>24</v>
      </c>
      <c r="H43" s="1">
        <v>25</v>
      </c>
      <c r="I43" s="1">
        <v>30</v>
      </c>
      <c r="J43" s="1">
        <v>17</v>
      </c>
      <c r="K43" s="1">
        <v>19</v>
      </c>
      <c r="L43" s="1">
        <v>24</v>
      </c>
      <c r="M43" s="1">
        <v>33</v>
      </c>
      <c r="N43" s="1">
        <v>27</v>
      </c>
      <c r="O43" s="1">
        <v>47</v>
      </c>
      <c r="P43" s="1">
        <v>15</v>
      </c>
      <c r="Q43" s="1">
        <v>27</v>
      </c>
      <c r="R43" s="1">
        <v>27</v>
      </c>
      <c r="S43" s="1">
        <v>31</v>
      </c>
      <c r="T43" s="1">
        <v>23</v>
      </c>
      <c r="U43" s="1">
        <v>19</v>
      </c>
      <c r="V43" s="1">
        <v>15</v>
      </c>
      <c r="W43" s="1">
        <v>34</v>
      </c>
      <c r="X43" s="1">
        <v>23</v>
      </c>
      <c r="Y43" s="1">
        <v>17</v>
      </c>
      <c r="Z43" s="1">
        <v>53</v>
      </c>
      <c r="AA43" s="1">
        <v>25</v>
      </c>
      <c r="AB43" s="1">
        <v>67</v>
      </c>
      <c r="AC43" s="1">
        <v>47</v>
      </c>
      <c r="AD43" s="1">
        <v>28</v>
      </c>
      <c r="AE43" s="1">
        <v>76</v>
      </c>
      <c r="AF43" s="18">
        <f t="shared" si="0"/>
        <v>32.633333333333333</v>
      </c>
    </row>
    <row r="44" spans="1:32" x14ac:dyDescent="0.35">
      <c r="A44" s="1" t="s">
        <v>28</v>
      </c>
      <c r="B44" s="1">
        <v>22</v>
      </c>
      <c r="C44" s="1">
        <v>91</v>
      </c>
      <c r="D44" s="1">
        <v>147</v>
      </c>
      <c r="E44" s="1">
        <v>50</v>
      </c>
      <c r="F44" s="1">
        <v>22</v>
      </c>
      <c r="G44" s="1">
        <v>77</v>
      </c>
      <c r="H44" s="1">
        <v>30</v>
      </c>
      <c r="I44" s="1">
        <v>25</v>
      </c>
      <c r="J44" s="1">
        <v>58</v>
      </c>
      <c r="K44" s="1">
        <v>53</v>
      </c>
      <c r="L44" s="1">
        <v>162</v>
      </c>
      <c r="M44" s="1">
        <v>46</v>
      </c>
      <c r="N44" s="1">
        <v>52</v>
      </c>
      <c r="O44" s="1">
        <v>36</v>
      </c>
      <c r="P44" s="1">
        <v>37</v>
      </c>
      <c r="Q44" s="1">
        <v>127</v>
      </c>
      <c r="R44" s="1">
        <v>18</v>
      </c>
      <c r="S44" s="1">
        <v>49</v>
      </c>
      <c r="T44" s="1">
        <v>54</v>
      </c>
      <c r="U44" s="1">
        <v>132</v>
      </c>
      <c r="V44" s="1">
        <v>19</v>
      </c>
      <c r="W44" s="1">
        <v>22</v>
      </c>
      <c r="X44" s="1">
        <v>195</v>
      </c>
      <c r="Y44" s="1">
        <v>29</v>
      </c>
      <c r="Z44" s="1">
        <v>39</v>
      </c>
      <c r="AA44" s="1">
        <v>26</v>
      </c>
      <c r="AB44" s="1">
        <v>53</v>
      </c>
      <c r="AC44" s="1">
        <v>12</v>
      </c>
      <c r="AD44" s="1">
        <v>20</v>
      </c>
      <c r="AE44" s="1">
        <v>89</v>
      </c>
      <c r="AF44" s="18">
        <f t="shared" si="0"/>
        <v>59.733333333333334</v>
      </c>
    </row>
    <row r="45" spans="1:32" x14ac:dyDescent="0.35">
      <c r="A45" s="1" t="s">
        <v>29</v>
      </c>
      <c r="B45" s="1">
        <v>52</v>
      </c>
      <c r="C45" s="1">
        <v>91</v>
      </c>
      <c r="D45" s="1">
        <v>93</v>
      </c>
      <c r="E45" s="1">
        <v>70</v>
      </c>
      <c r="F45" s="1">
        <v>18</v>
      </c>
      <c r="G45" s="1">
        <v>21</v>
      </c>
      <c r="H45" s="1">
        <v>43</v>
      </c>
      <c r="I45" s="1">
        <v>36</v>
      </c>
      <c r="J45" s="1">
        <v>21</v>
      </c>
      <c r="K45" s="1">
        <v>32</v>
      </c>
      <c r="L45" s="1">
        <v>42</v>
      </c>
      <c r="M45" s="1">
        <v>17</v>
      </c>
      <c r="N45" s="1">
        <v>16</v>
      </c>
      <c r="O45" s="1">
        <v>31</v>
      </c>
      <c r="P45" s="1">
        <v>81</v>
      </c>
      <c r="Q45" s="1">
        <v>40</v>
      </c>
      <c r="R45" s="1">
        <v>17</v>
      </c>
      <c r="S45" s="1">
        <v>16</v>
      </c>
      <c r="T45" s="1">
        <v>38</v>
      </c>
      <c r="U45" s="1">
        <v>29</v>
      </c>
      <c r="V45" s="1">
        <v>25</v>
      </c>
      <c r="W45" s="1">
        <v>99</v>
      </c>
      <c r="X45" s="1">
        <v>14</v>
      </c>
      <c r="Y45" s="1">
        <v>37</v>
      </c>
      <c r="Z45" s="1">
        <v>12</v>
      </c>
      <c r="AA45" s="1">
        <v>27</v>
      </c>
      <c r="AB45" s="1">
        <v>15</v>
      </c>
      <c r="AC45" s="1">
        <v>15</v>
      </c>
      <c r="AD45" s="1">
        <v>23</v>
      </c>
      <c r="AE45" s="1">
        <v>33</v>
      </c>
      <c r="AF45" s="18">
        <f t="shared" si="0"/>
        <v>36.799999999999997</v>
      </c>
    </row>
    <row r="46" spans="1:32" x14ac:dyDescent="0.35">
      <c r="A46" s="1" t="s">
        <v>30</v>
      </c>
      <c r="B46" s="1">
        <v>46</v>
      </c>
      <c r="C46" s="1">
        <v>43</v>
      </c>
      <c r="D46" s="1">
        <v>29</v>
      </c>
      <c r="E46" s="1">
        <v>55</v>
      </c>
      <c r="F46" s="1">
        <v>19</v>
      </c>
      <c r="G46" s="1">
        <v>21</v>
      </c>
      <c r="H46" s="1">
        <v>65</v>
      </c>
      <c r="I46" s="1">
        <v>81</v>
      </c>
      <c r="J46" s="1">
        <v>23</v>
      </c>
      <c r="K46" s="1">
        <v>114</v>
      </c>
      <c r="L46" s="1">
        <v>19</v>
      </c>
      <c r="M46" s="1">
        <v>58</v>
      </c>
      <c r="N46" s="1">
        <v>163</v>
      </c>
      <c r="O46" s="1">
        <v>85</v>
      </c>
      <c r="P46" s="1">
        <v>89</v>
      </c>
      <c r="Q46" s="1">
        <v>38</v>
      </c>
      <c r="R46" s="1">
        <v>95</v>
      </c>
      <c r="S46" s="1">
        <v>20</v>
      </c>
      <c r="T46" s="1">
        <v>12</v>
      </c>
      <c r="U46" s="1">
        <v>40</v>
      </c>
      <c r="V46" s="1">
        <v>47</v>
      </c>
      <c r="W46" s="1">
        <v>16</v>
      </c>
      <c r="X46" s="1">
        <v>36</v>
      </c>
      <c r="Y46" s="1">
        <v>75</v>
      </c>
      <c r="Z46" s="1">
        <v>14</v>
      </c>
      <c r="AA46" s="1">
        <v>12</v>
      </c>
      <c r="AB46" s="1">
        <v>28</v>
      </c>
      <c r="AC46" s="1">
        <v>14</v>
      </c>
      <c r="AD46" s="1">
        <v>48</v>
      </c>
      <c r="AE46" s="1">
        <v>38</v>
      </c>
      <c r="AF46" s="18">
        <f t="shared" si="0"/>
        <v>48.1</v>
      </c>
    </row>
    <row r="47" spans="1:32" x14ac:dyDescent="0.35">
      <c r="A47" s="1" t="s">
        <v>175</v>
      </c>
      <c r="B47" s="1">
        <v>51</v>
      </c>
      <c r="C47" s="1">
        <v>77</v>
      </c>
      <c r="D47" s="1">
        <v>30</v>
      </c>
      <c r="E47" s="1">
        <v>26</v>
      </c>
      <c r="F47" s="1">
        <v>27</v>
      </c>
      <c r="G47" s="1">
        <v>74</v>
      </c>
      <c r="H47" s="1">
        <v>58</v>
      </c>
      <c r="I47" s="1">
        <v>31</v>
      </c>
      <c r="J47" s="1">
        <v>58</v>
      </c>
      <c r="K47" s="1">
        <v>294</v>
      </c>
      <c r="L47" s="1">
        <v>31</v>
      </c>
      <c r="M47" s="1">
        <v>51</v>
      </c>
      <c r="N47" s="1">
        <v>62</v>
      </c>
      <c r="O47" s="1">
        <v>12</v>
      </c>
      <c r="P47" s="1">
        <v>180</v>
      </c>
      <c r="Q47" s="1">
        <v>189</v>
      </c>
      <c r="R47" s="1">
        <v>135</v>
      </c>
      <c r="S47" s="1">
        <v>115</v>
      </c>
      <c r="T47" s="1">
        <v>44</v>
      </c>
      <c r="U47" s="1">
        <v>17</v>
      </c>
      <c r="V47" s="1">
        <v>91</v>
      </c>
      <c r="W47" s="1">
        <v>52</v>
      </c>
      <c r="X47" s="1">
        <v>19</v>
      </c>
      <c r="Y47" s="1">
        <v>27</v>
      </c>
      <c r="Z47" s="1">
        <v>72</v>
      </c>
      <c r="AA47" s="1">
        <v>63</v>
      </c>
      <c r="AB47" s="1">
        <v>89</v>
      </c>
      <c r="AC47" s="1">
        <v>59</v>
      </c>
      <c r="AD47" s="1">
        <v>20</v>
      </c>
      <c r="AE47" s="1">
        <v>87</v>
      </c>
      <c r="AF47" s="18">
        <f t="shared" si="0"/>
        <v>71.36666666666666</v>
      </c>
    </row>
    <row r="48" spans="1:32" x14ac:dyDescent="0.35">
      <c r="A48" s="1" t="s">
        <v>31</v>
      </c>
      <c r="B48" s="1">
        <v>13</v>
      </c>
      <c r="C48" s="1">
        <v>64</v>
      </c>
      <c r="D48" s="1">
        <v>14</v>
      </c>
      <c r="E48" s="1">
        <v>29</v>
      </c>
      <c r="F48" s="1">
        <v>13</v>
      </c>
      <c r="G48" s="1">
        <v>49</v>
      </c>
      <c r="H48" s="1">
        <v>32</v>
      </c>
      <c r="I48" s="1">
        <v>30</v>
      </c>
      <c r="J48" s="1">
        <v>122</v>
      </c>
      <c r="K48" s="1">
        <v>70</v>
      </c>
      <c r="L48" s="1">
        <v>82</v>
      </c>
      <c r="M48" s="1">
        <v>140</v>
      </c>
      <c r="N48" s="1">
        <v>43</v>
      </c>
      <c r="O48" s="1">
        <v>27</v>
      </c>
      <c r="P48" s="1">
        <v>27</v>
      </c>
      <c r="Q48" s="1">
        <v>24</v>
      </c>
      <c r="R48" s="1">
        <v>38</v>
      </c>
      <c r="S48" s="1">
        <v>46</v>
      </c>
      <c r="T48" s="1">
        <v>30</v>
      </c>
      <c r="U48" s="1">
        <v>17</v>
      </c>
      <c r="V48" s="1">
        <v>57</v>
      </c>
      <c r="W48" s="1">
        <v>17</v>
      </c>
      <c r="X48" s="1">
        <v>33</v>
      </c>
      <c r="Y48" s="1">
        <v>100</v>
      </c>
      <c r="Z48" s="1">
        <v>20</v>
      </c>
      <c r="AA48" s="1">
        <v>62</v>
      </c>
      <c r="AB48" s="1">
        <v>37</v>
      </c>
      <c r="AC48" s="1">
        <v>31</v>
      </c>
      <c r="AD48" s="1">
        <v>46</v>
      </c>
      <c r="AE48" s="1">
        <v>106</v>
      </c>
      <c r="AF48" s="18">
        <f t="shared" si="0"/>
        <v>47.3</v>
      </c>
    </row>
    <row r="49" spans="1:32" x14ac:dyDescent="0.35">
      <c r="A49" s="1" t="s">
        <v>32</v>
      </c>
      <c r="B49" s="1">
        <v>54</v>
      </c>
      <c r="C49" s="1">
        <v>69</v>
      </c>
      <c r="D49" s="1">
        <v>212</v>
      </c>
      <c r="E49" s="1">
        <v>19</v>
      </c>
      <c r="F49" s="1">
        <v>67</v>
      </c>
      <c r="G49" s="1">
        <v>23</v>
      </c>
      <c r="H49" s="1">
        <v>24</v>
      </c>
      <c r="I49" s="1">
        <v>39</v>
      </c>
      <c r="J49" s="1">
        <v>12</v>
      </c>
      <c r="K49" s="1">
        <v>13</v>
      </c>
      <c r="L49" s="1">
        <v>74</v>
      </c>
      <c r="M49" s="1">
        <v>23</v>
      </c>
      <c r="N49" s="1">
        <v>43</v>
      </c>
      <c r="O49" s="1">
        <v>159</v>
      </c>
      <c r="P49" s="1">
        <v>105</v>
      </c>
      <c r="Q49" s="1">
        <v>103</v>
      </c>
      <c r="R49" s="1">
        <v>15</v>
      </c>
      <c r="S49" s="1">
        <v>12</v>
      </c>
      <c r="T49" s="1">
        <v>39</v>
      </c>
      <c r="U49" s="1">
        <v>28</v>
      </c>
      <c r="V49" s="1">
        <v>21</v>
      </c>
      <c r="W49" s="1">
        <v>23</v>
      </c>
      <c r="X49" s="1">
        <v>19</v>
      </c>
      <c r="Y49" s="1">
        <v>14</v>
      </c>
      <c r="Z49" s="1">
        <v>41</v>
      </c>
      <c r="AA49" s="1">
        <v>90</v>
      </c>
      <c r="AB49" s="1">
        <v>18</v>
      </c>
      <c r="AC49" s="1">
        <v>30</v>
      </c>
      <c r="AD49" s="1">
        <v>72</v>
      </c>
      <c r="AE49" s="1">
        <v>80</v>
      </c>
      <c r="AF49" s="18">
        <f t="shared" si="0"/>
        <v>51.366666666666667</v>
      </c>
    </row>
    <row r="50" spans="1:32" x14ac:dyDescent="0.35">
      <c r="A50" s="1" t="s">
        <v>33</v>
      </c>
      <c r="B50" s="1">
        <v>17</v>
      </c>
      <c r="C50" s="1">
        <v>63</v>
      </c>
      <c r="D50" s="1">
        <v>16</v>
      </c>
      <c r="E50" s="1">
        <v>44</v>
      </c>
      <c r="F50" s="1">
        <v>47</v>
      </c>
      <c r="G50" s="1">
        <v>84</v>
      </c>
      <c r="H50" s="1">
        <v>83</v>
      </c>
      <c r="I50" s="1">
        <v>32</v>
      </c>
      <c r="J50" s="1">
        <v>45</v>
      </c>
      <c r="K50" s="1">
        <v>12</v>
      </c>
      <c r="L50" s="1">
        <v>13</v>
      </c>
      <c r="M50" s="1">
        <v>38</v>
      </c>
      <c r="N50" s="1">
        <v>42</v>
      </c>
      <c r="O50" s="1">
        <v>84</v>
      </c>
      <c r="P50" s="1">
        <v>16</v>
      </c>
      <c r="Q50" s="1">
        <v>59</v>
      </c>
      <c r="R50" s="1">
        <v>18</v>
      </c>
      <c r="S50" s="1">
        <v>83</v>
      </c>
      <c r="T50" s="1">
        <v>39</v>
      </c>
      <c r="U50" s="1">
        <v>15</v>
      </c>
      <c r="V50" s="1">
        <v>38</v>
      </c>
      <c r="W50" s="1">
        <v>18</v>
      </c>
      <c r="X50" s="1">
        <v>24</v>
      </c>
      <c r="Y50" s="1">
        <v>23</v>
      </c>
      <c r="Z50" s="1">
        <v>17</v>
      </c>
      <c r="AA50" s="1">
        <v>85</v>
      </c>
      <c r="AB50" s="1">
        <v>26</v>
      </c>
      <c r="AC50" s="1">
        <v>57</v>
      </c>
      <c r="AD50" s="1">
        <v>45</v>
      </c>
      <c r="AE50" s="1">
        <v>20</v>
      </c>
      <c r="AF50" s="18">
        <f t="shared" si="0"/>
        <v>40.1</v>
      </c>
    </row>
    <row r="51" spans="1:32" x14ac:dyDescent="0.35">
      <c r="A51" s="1" t="s">
        <v>34</v>
      </c>
      <c r="B51" s="1">
        <v>44</v>
      </c>
      <c r="C51" s="1">
        <v>194</v>
      </c>
      <c r="D51" s="1">
        <v>48</v>
      </c>
      <c r="E51" s="1">
        <v>29</v>
      </c>
      <c r="F51" s="1">
        <v>40</v>
      </c>
      <c r="G51" s="1">
        <v>24</v>
      </c>
      <c r="H51" s="1">
        <v>14</v>
      </c>
      <c r="I51" s="1">
        <v>99</v>
      </c>
      <c r="J51" s="1">
        <v>22</v>
      </c>
      <c r="K51" s="1">
        <v>21</v>
      </c>
      <c r="L51" s="1">
        <v>27</v>
      </c>
      <c r="M51" s="1">
        <v>40</v>
      </c>
      <c r="N51" s="1">
        <v>49</v>
      </c>
      <c r="O51" s="1">
        <v>28</v>
      </c>
      <c r="P51" s="1">
        <v>19</v>
      </c>
      <c r="Q51" s="1">
        <v>94</v>
      </c>
      <c r="R51" s="1">
        <v>94</v>
      </c>
      <c r="S51" s="1">
        <v>42</v>
      </c>
      <c r="T51" s="1">
        <v>28</v>
      </c>
      <c r="U51" s="1">
        <v>41</v>
      </c>
      <c r="V51" s="1">
        <v>59</v>
      </c>
      <c r="W51" s="1">
        <v>33</v>
      </c>
      <c r="X51" s="1">
        <v>31</v>
      </c>
      <c r="Y51" s="1">
        <v>14</v>
      </c>
      <c r="Z51" s="1">
        <v>13</v>
      </c>
      <c r="AA51" s="1">
        <v>19</v>
      </c>
      <c r="AB51" s="1">
        <v>38</v>
      </c>
      <c r="AC51" s="1">
        <v>77</v>
      </c>
      <c r="AD51" s="1">
        <v>21</v>
      </c>
      <c r="AE51" s="1">
        <v>16</v>
      </c>
      <c r="AF51" s="18">
        <f t="shared" si="0"/>
        <v>43.93333333333333</v>
      </c>
    </row>
    <row r="52" spans="1:32" x14ac:dyDescent="0.35">
      <c r="A52" s="1" t="s">
        <v>35</v>
      </c>
      <c r="B52" s="1">
        <v>30</v>
      </c>
      <c r="C52" s="1">
        <v>22</v>
      </c>
      <c r="D52" s="1">
        <v>16</v>
      </c>
      <c r="E52" s="1">
        <v>52</v>
      </c>
      <c r="F52" s="1">
        <v>25</v>
      </c>
      <c r="G52" s="1">
        <v>95</v>
      </c>
      <c r="H52" s="1">
        <v>15</v>
      </c>
      <c r="I52" s="1">
        <v>84</v>
      </c>
      <c r="J52" s="1">
        <v>67</v>
      </c>
      <c r="K52" s="1">
        <v>95</v>
      </c>
      <c r="L52" s="1">
        <v>19</v>
      </c>
      <c r="M52" s="1">
        <v>35</v>
      </c>
      <c r="N52" s="1">
        <v>17</v>
      </c>
      <c r="O52" s="1">
        <v>15</v>
      </c>
      <c r="P52" s="1">
        <v>198</v>
      </c>
      <c r="Q52" s="1">
        <v>128</v>
      </c>
      <c r="R52" s="1">
        <v>34</v>
      </c>
      <c r="S52" s="1">
        <v>100</v>
      </c>
      <c r="T52" s="1">
        <v>91</v>
      </c>
      <c r="U52" s="1">
        <v>71</v>
      </c>
      <c r="V52" s="1">
        <v>76</v>
      </c>
      <c r="W52" s="1">
        <v>101</v>
      </c>
      <c r="X52" s="1">
        <v>53</v>
      </c>
      <c r="Y52" s="1">
        <v>33</v>
      </c>
      <c r="Z52" s="1">
        <v>20</v>
      </c>
      <c r="AA52" s="1">
        <v>53</v>
      </c>
      <c r="AB52" s="1">
        <v>31</v>
      </c>
      <c r="AC52" s="1">
        <v>154</v>
      </c>
      <c r="AD52" s="1">
        <v>46</v>
      </c>
      <c r="AE52" s="1">
        <v>120</v>
      </c>
      <c r="AF52" s="18">
        <f t="shared" si="0"/>
        <v>63.2</v>
      </c>
    </row>
    <row r="53" spans="1:32" x14ac:dyDescent="0.35">
      <c r="A53" s="1" t="s">
        <v>36</v>
      </c>
      <c r="B53" s="1">
        <v>60</v>
      </c>
      <c r="C53" s="1">
        <v>22</v>
      </c>
      <c r="D53" s="1">
        <v>27</v>
      </c>
      <c r="E53" s="1">
        <v>33</v>
      </c>
      <c r="F53" s="1">
        <v>36</v>
      </c>
      <c r="G53" s="1">
        <v>65</v>
      </c>
      <c r="H53" s="1">
        <v>72</v>
      </c>
      <c r="I53" s="1">
        <v>35</v>
      </c>
      <c r="J53" s="1">
        <v>49</v>
      </c>
      <c r="K53" s="1">
        <v>17</v>
      </c>
      <c r="L53" s="1">
        <v>60</v>
      </c>
      <c r="M53" s="1">
        <v>15</v>
      </c>
      <c r="N53" s="1">
        <v>31</v>
      </c>
      <c r="O53" s="1">
        <v>33</v>
      </c>
      <c r="P53" s="1">
        <v>45</v>
      </c>
      <c r="Q53" s="1">
        <v>62</v>
      </c>
      <c r="R53" s="1">
        <v>40</v>
      </c>
      <c r="S53" s="1">
        <v>90</v>
      </c>
      <c r="T53" s="1">
        <v>36</v>
      </c>
      <c r="U53" s="1">
        <v>80</v>
      </c>
      <c r="V53" s="1">
        <v>86</v>
      </c>
      <c r="W53" s="1">
        <v>19</v>
      </c>
      <c r="X53" s="1">
        <v>74</v>
      </c>
      <c r="Y53" s="1">
        <v>15</v>
      </c>
      <c r="Z53" s="1">
        <v>12</v>
      </c>
      <c r="AA53" s="1">
        <v>60</v>
      </c>
      <c r="AB53" s="1">
        <v>89</v>
      </c>
      <c r="AC53" s="1">
        <v>34</v>
      </c>
      <c r="AD53" s="1">
        <v>22</v>
      </c>
      <c r="AE53" s="1">
        <v>65</v>
      </c>
      <c r="AF53" s="18">
        <f t="shared" si="0"/>
        <v>46.133333333333333</v>
      </c>
    </row>
    <row r="54" spans="1:32" x14ac:dyDescent="0.35">
      <c r="A54" s="1" t="s">
        <v>37</v>
      </c>
      <c r="B54" s="1">
        <v>44</v>
      </c>
      <c r="C54" s="1">
        <v>50</v>
      </c>
      <c r="D54" s="1">
        <v>62</v>
      </c>
      <c r="E54" s="1">
        <v>54</v>
      </c>
      <c r="F54" s="1">
        <v>28</v>
      </c>
      <c r="G54" s="1">
        <v>24</v>
      </c>
      <c r="H54" s="1">
        <v>16</v>
      </c>
      <c r="I54" s="1">
        <v>153</v>
      </c>
      <c r="J54" s="1">
        <v>56</v>
      </c>
      <c r="K54" s="1">
        <v>23</v>
      </c>
      <c r="L54" s="1">
        <v>34</v>
      </c>
      <c r="M54" s="1">
        <v>16</v>
      </c>
      <c r="N54" s="1">
        <v>32</v>
      </c>
      <c r="O54" s="1">
        <v>14</v>
      </c>
      <c r="P54" s="1">
        <v>35</v>
      </c>
      <c r="Q54" s="1">
        <v>52</v>
      </c>
      <c r="R54" s="1">
        <v>19</v>
      </c>
      <c r="S54" s="1">
        <v>64</v>
      </c>
      <c r="T54" s="1">
        <v>24</v>
      </c>
      <c r="U54" s="1">
        <v>78</v>
      </c>
      <c r="V54" s="1">
        <v>19</v>
      </c>
      <c r="W54" s="1">
        <v>78</v>
      </c>
      <c r="X54" s="1">
        <v>22</v>
      </c>
      <c r="Y54" s="1">
        <v>106</v>
      </c>
      <c r="Z54" s="1">
        <v>48</v>
      </c>
      <c r="AA54" s="1">
        <v>88</v>
      </c>
      <c r="AB54" s="1">
        <v>20</v>
      </c>
      <c r="AC54" s="1">
        <v>54</v>
      </c>
      <c r="AD54" s="1">
        <v>69</v>
      </c>
      <c r="AE54" s="1">
        <v>16</v>
      </c>
      <c r="AF54" s="18">
        <f t="shared" si="0"/>
        <v>46.6</v>
      </c>
    </row>
    <row r="55" spans="1:32" x14ac:dyDescent="0.35">
      <c r="A55" s="1" t="s">
        <v>38</v>
      </c>
      <c r="B55" s="1">
        <v>18</v>
      </c>
      <c r="C55" s="1">
        <v>20</v>
      </c>
      <c r="D55" s="1">
        <v>20</v>
      </c>
      <c r="E55" s="1">
        <v>19</v>
      </c>
      <c r="F55" s="1">
        <v>76</v>
      </c>
      <c r="G55" s="1">
        <v>63</v>
      </c>
      <c r="H55" s="1">
        <v>38</v>
      </c>
      <c r="I55" s="1">
        <v>32</v>
      </c>
      <c r="J55" s="1">
        <v>22</v>
      </c>
      <c r="K55" s="1">
        <v>61</v>
      </c>
      <c r="L55" s="1">
        <v>68</v>
      </c>
      <c r="M55" s="1">
        <v>17</v>
      </c>
      <c r="N55" s="1">
        <v>79</v>
      </c>
      <c r="O55" s="1">
        <v>22</v>
      </c>
      <c r="P55" s="1">
        <v>21</v>
      </c>
      <c r="Q55" s="1">
        <v>43</v>
      </c>
      <c r="R55" s="1">
        <v>108</v>
      </c>
      <c r="S55" s="1">
        <v>227</v>
      </c>
      <c r="T55" s="1">
        <v>34</v>
      </c>
      <c r="U55" s="1">
        <v>37</v>
      </c>
      <c r="V55" s="1">
        <v>22</v>
      </c>
      <c r="W55" s="1">
        <v>31</v>
      </c>
      <c r="X55" s="1">
        <v>36</v>
      </c>
      <c r="Y55" s="1">
        <v>14</v>
      </c>
      <c r="Z55" s="1">
        <v>16</v>
      </c>
      <c r="AA55" s="1">
        <v>24</v>
      </c>
      <c r="AB55" s="1">
        <v>19</v>
      </c>
      <c r="AC55" s="1">
        <v>52</v>
      </c>
      <c r="AD55" s="1">
        <v>12</v>
      </c>
      <c r="AE55" s="1">
        <v>94</v>
      </c>
      <c r="AF55" s="18">
        <f t="shared" si="0"/>
        <v>44.833333333333336</v>
      </c>
    </row>
    <row r="56" spans="1:32" x14ac:dyDescent="0.35">
      <c r="A56" s="1" t="s">
        <v>39</v>
      </c>
      <c r="B56" s="1">
        <v>12</v>
      </c>
      <c r="C56" s="1">
        <v>21</v>
      </c>
      <c r="D56" s="1">
        <v>26</v>
      </c>
      <c r="E56" s="1">
        <v>63</v>
      </c>
      <c r="F56" s="1">
        <v>40</v>
      </c>
      <c r="G56" s="1">
        <v>80</v>
      </c>
      <c r="H56" s="1">
        <v>39</v>
      </c>
      <c r="I56" s="1">
        <v>59</v>
      </c>
      <c r="J56" s="1">
        <v>86</v>
      </c>
      <c r="K56" s="1">
        <v>15</v>
      </c>
      <c r="L56" s="1">
        <v>129</v>
      </c>
      <c r="M56" s="1">
        <v>20</v>
      </c>
      <c r="N56" s="1">
        <v>54</v>
      </c>
      <c r="O56" s="1">
        <v>102</v>
      </c>
      <c r="P56" s="1">
        <v>16</v>
      </c>
      <c r="Q56" s="1">
        <v>94</v>
      </c>
      <c r="R56" s="1">
        <v>13</v>
      </c>
      <c r="S56" s="1">
        <v>83</v>
      </c>
      <c r="T56" s="1">
        <v>188</v>
      </c>
      <c r="U56" s="1">
        <v>66</v>
      </c>
      <c r="V56" s="1">
        <v>45</v>
      </c>
      <c r="W56" s="1">
        <v>35</v>
      </c>
      <c r="X56" s="1">
        <v>15</v>
      </c>
      <c r="Y56" s="1">
        <v>170</v>
      </c>
      <c r="Z56" s="1">
        <v>215</v>
      </c>
      <c r="AA56" s="1">
        <v>33</v>
      </c>
      <c r="AB56" s="1">
        <v>132</v>
      </c>
      <c r="AC56" s="1">
        <v>80</v>
      </c>
      <c r="AD56" s="1">
        <v>66</v>
      </c>
      <c r="AE56" s="1">
        <v>23</v>
      </c>
      <c r="AF56" s="18">
        <f t="shared" si="0"/>
        <v>67.333333333333329</v>
      </c>
    </row>
    <row r="57" spans="1:32" x14ac:dyDescent="0.35">
      <c r="A57" s="1" t="s">
        <v>176</v>
      </c>
      <c r="B57" s="1">
        <v>41</v>
      </c>
      <c r="C57" s="1">
        <v>76</v>
      </c>
      <c r="D57" s="1">
        <v>42</v>
      </c>
      <c r="E57" s="1">
        <v>19</v>
      </c>
      <c r="F57" s="1">
        <v>88</v>
      </c>
      <c r="G57" s="1">
        <v>28</v>
      </c>
      <c r="H57" s="1">
        <v>51</v>
      </c>
      <c r="I57" s="1">
        <v>25</v>
      </c>
      <c r="J57" s="1">
        <v>185</v>
      </c>
      <c r="K57" s="1">
        <v>15</v>
      </c>
      <c r="L57" s="1">
        <v>32</v>
      </c>
      <c r="M57" s="1">
        <v>32</v>
      </c>
      <c r="N57" s="1">
        <v>36</v>
      </c>
      <c r="O57" s="1">
        <v>17</v>
      </c>
      <c r="P57" s="1">
        <v>32</v>
      </c>
      <c r="Q57" s="1">
        <v>27</v>
      </c>
      <c r="R57" s="1">
        <v>31</v>
      </c>
      <c r="S57" s="1">
        <v>76</v>
      </c>
      <c r="T57" s="1">
        <v>25</v>
      </c>
      <c r="U57" s="1">
        <v>76</v>
      </c>
      <c r="V57" s="1">
        <v>105</v>
      </c>
      <c r="W57" s="1">
        <v>52</v>
      </c>
      <c r="X57" s="1">
        <v>20</v>
      </c>
      <c r="Y57" s="1">
        <v>118</v>
      </c>
      <c r="Z57" s="1">
        <v>36</v>
      </c>
      <c r="AA57" s="1">
        <v>75</v>
      </c>
      <c r="AB57" s="1">
        <v>19</v>
      </c>
      <c r="AC57" s="1">
        <v>69</v>
      </c>
      <c r="AD57" s="1">
        <v>16</v>
      </c>
      <c r="AE57" s="1">
        <v>76</v>
      </c>
      <c r="AF57" s="18">
        <f t="shared" si="0"/>
        <v>51.333333333333336</v>
      </c>
    </row>
    <row r="58" spans="1:32" x14ac:dyDescent="0.35">
      <c r="A58" s="1" t="s">
        <v>40</v>
      </c>
      <c r="B58" s="1">
        <v>38</v>
      </c>
      <c r="C58" s="1">
        <v>29</v>
      </c>
      <c r="D58" s="1">
        <v>68</v>
      </c>
      <c r="E58" s="1">
        <v>69</v>
      </c>
      <c r="F58" s="1">
        <v>39</v>
      </c>
      <c r="G58" s="1">
        <v>82</v>
      </c>
      <c r="H58" s="1">
        <v>44</v>
      </c>
      <c r="I58" s="1">
        <v>52</v>
      </c>
      <c r="J58" s="1">
        <v>86</v>
      </c>
      <c r="K58" s="1">
        <v>49</v>
      </c>
      <c r="L58" s="1">
        <v>24</v>
      </c>
      <c r="M58" s="1">
        <v>64</v>
      </c>
      <c r="N58" s="1">
        <v>13</v>
      </c>
      <c r="O58" s="1">
        <v>13</v>
      </c>
      <c r="P58" s="1">
        <v>36</v>
      </c>
      <c r="Q58" s="1">
        <v>17</v>
      </c>
      <c r="R58" s="1">
        <v>26</v>
      </c>
      <c r="S58" s="1">
        <v>31</v>
      </c>
      <c r="T58" s="1">
        <v>101</v>
      </c>
      <c r="U58" s="1">
        <v>168</v>
      </c>
      <c r="V58" s="1">
        <v>159</v>
      </c>
      <c r="W58" s="1">
        <v>37</v>
      </c>
      <c r="X58" s="1">
        <v>43</v>
      </c>
      <c r="Y58" s="1">
        <v>45</v>
      </c>
      <c r="Z58" s="1">
        <v>59</v>
      </c>
      <c r="AA58" s="1">
        <v>67</v>
      </c>
      <c r="AB58" s="1">
        <v>394</v>
      </c>
      <c r="AC58" s="1">
        <v>96</v>
      </c>
      <c r="AD58" s="1">
        <v>51</v>
      </c>
      <c r="AE58" s="1">
        <v>121</v>
      </c>
      <c r="AF58" s="18">
        <f t="shared" si="0"/>
        <v>70.7</v>
      </c>
    </row>
    <row r="59" spans="1:32" x14ac:dyDescent="0.35">
      <c r="A59" s="1" t="s">
        <v>41</v>
      </c>
      <c r="B59" s="1">
        <v>45</v>
      </c>
      <c r="C59" s="1">
        <v>58</v>
      </c>
      <c r="D59" s="1">
        <v>94</v>
      </c>
      <c r="E59" s="1">
        <v>95</v>
      </c>
      <c r="F59" s="1">
        <v>48</v>
      </c>
      <c r="G59" s="1">
        <v>12</v>
      </c>
      <c r="H59" s="1">
        <v>14</v>
      </c>
      <c r="I59" s="1">
        <v>82</v>
      </c>
      <c r="J59" s="1">
        <v>14</v>
      </c>
      <c r="K59" s="1">
        <v>33</v>
      </c>
      <c r="L59" s="1">
        <v>34</v>
      </c>
      <c r="M59" s="1">
        <v>85</v>
      </c>
      <c r="N59" s="1">
        <v>44</v>
      </c>
      <c r="O59" s="1">
        <v>18</v>
      </c>
      <c r="P59" s="1">
        <v>20</v>
      </c>
      <c r="Q59" s="1">
        <v>270</v>
      </c>
      <c r="R59" s="1">
        <v>24</v>
      </c>
      <c r="S59" s="1">
        <v>51</v>
      </c>
      <c r="T59" s="1">
        <v>55</v>
      </c>
      <c r="U59" s="1">
        <v>29</v>
      </c>
      <c r="V59" s="1">
        <v>54</v>
      </c>
      <c r="W59" s="1">
        <v>34</v>
      </c>
      <c r="X59" s="1">
        <v>101</v>
      </c>
      <c r="Y59" s="1">
        <v>93</v>
      </c>
      <c r="Z59" s="1">
        <v>157</v>
      </c>
      <c r="AA59" s="1">
        <v>22</v>
      </c>
      <c r="AB59" s="1">
        <v>22</v>
      </c>
      <c r="AC59" s="1">
        <v>122</v>
      </c>
      <c r="AD59" s="1">
        <v>24</v>
      </c>
      <c r="AE59" s="1">
        <v>22</v>
      </c>
      <c r="AF59" s="18">
        <f t="shared" si="0"/>
        <v>59.2</v>
      </c>
    </row>
    <row r="60" spans="1:32" x14ac:dyDescent="0.35">
      <c r="A60" s="1" t="s">
        <v>42</v>
      </c>
      <c r="B60" s="1">
        <v>71</v>
      </c>
      <c r="C60" s="1">
        <v>16</v>
      </c>
      <c r="D60" s="1">
        <v>19</v>
      </c>
      <c r="E60" s="1">
        <v>24</v>
      </c>
      <c r="F60" s="1">
        <v>48</v>
      </c>
      <c r="G60" s="1">
        <v>35</v>
      </c>
      <c r="H60" s="1">
        <v>15</v>
      </c>
      <c r="I60" s="1">
        <v>21</v>
      </c>
      <c r="J60" s="1">
        <v>36</v>
      </c>
      <c r="K60" s="1">
        <v>92</v>
      </c>
      <c r="L60" s="1">
        <v>107</v>
      </c>
      <c r="M60" s="1">
        <v>24</v>
      </c>
      <c r="N60" s="1">
        <v>201</v>
      </c>
      <c r="O60" s="1">
        <v>31</v>
      </c>
      <c r="P60" s="1">
        <v>40</v>
      </c>
      <c r="Q60" s="1">
        <v>177</v>
      </c>
      <c r="R60" s="1">
        <v>14</v>
      </c>
      <c r="S60" s="1">
        <v>77</v>
      </c>
      <c r="T60" s="1">
        <v>93</v>
      </c>
      <c r="U60" s="1">
        <v>133</v>
      </c>
      <c r="V60" s="1">
        <v>40</v>
      </c>
      <c r="W60" s="1">
        <v>104</v>
      </c>
      <c r="X60" s="1">
        <v>32</v>
      </c>
      <c r="Y60" s="1">
        <v>56</v>
      </c>
      <c r="Z60" s="1">
        <v>168</v>
      </c>
      <c r="AA60" s="1">
        <v>65</v>
      </c>
      <c r="AB60" s="1">
        <v>18</v>
      </c>
      <c r="AC60" s="1">
        <v>66</v>
      </c>
      <c r="AD60" s="1">
        <v>126</v>
      </c>
      <c r="AE60" s="1">
        <v>16</v>
      </c>
      <c r="AF60" s="18">
        <f t="shared" si="0"/>
        <v>65.5</v>
      </c>
    </row>
    <row r="61" spans="1:32" x14ac:dyDescent="0.35">
      <c r="A61" s="1" t="s">
        <v>43</v>
      </c>
      <c r="B61" s="1">
        <v>101</v>
      </c>
      <c r="C61" s="1">
        <v>26</v>
      </c>
      <c r="D61" s="1">
        <v>87</v>
      </c>
      <c r="E61" s="1">
        <v>195</v>
      </c>
      <c r="F61" s="1">
        <v>23</v>
      </c>
      <c r="G61" s="1">
        <v>33</v>
      </c>
      <c r="H61" s="1">
        <v>51</v>
      </c>
      <c r="I61" s="1">
        <v>36</v>
      </c>
      <c r="J61" s="1">
        <v>29</v>
      </c>
      <c r="K61" s="1">
        <v>45</v>
      </c>
      <c r="L61" s="1">
        <v>52</v>
      </c>
      <c r="M61" s="1">
        <v>69</v>
      </c>
      <c r="N61" s="1">
        <v>30</v>
      </c>
      <c r="O61" s="1">
        <v>14</v>
      </c>
      <c r="P61" s="1">
        <v>12</v>
      </c>
      <c r="Q61" s="1">
        <v>45</v>
      </c>
      <c r="R61" s="1">
        <v>45</v>
      </c>
      <c r="S61" s="1">
        <v>30</v>
      </c>
      <c r="T61" s="1">
        <v>13</v>
      </c>
      <c r="U61" s="1">
        <v>25</v>
      </c>
      <c r="V61" s="1">
        <v>38</v>
      </c>
      <c r="W61" s="1">
        <v>93</v>
      </c>
      <c r="X61" s="1">
        <v>62</v>
      </c>
      <c r="Y61" s="1">
        <v>17</v>
      </c>
      <c r="Z61" s="1">
        <v>40</v>
      </c>
      <c r="AA61" s="1">
        <v>33</v>
      </c>
      <c r="AB61" s="1">
        <v>55</v>
      </c>
      <c r="AC61" s="1">
        <v>27</v>
      </c>
      <c r="AD61" s="1">
        <v>25</v>
      </c>
      <c r="AE61" s="1">
        <v>47</v>
      </c>
      <c r="AF61" s="18">
        <f t="shared" si="0"/>
        <v>46.6</v>
      </c>
    </row>
    <row r="62" spans="1:32" x14ac:dyDescent="0.35">
      <c r="A62" s="1" t="s">
        <v>44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8">
        <f t="shared" si="0"/>
        <v>0</v>
      </c>
    </row>
    <row r="63" spans="1:32" x14ac:dyDescent="0.35">
      <c r="A63" s="1" t="s">
        <v>177</v>
      </c>
      <c r="B63" s="1">
        <v>35</v>
      </c>
      <c r="C63" s="1">
        <v>13</v>
      </c>
      <c r="D63" s="1">
        <v>39</v>
      </c>
      <c r="E63" s="1">
        <v>21</v>
      </c>
      <c r="F63" s="1">
        <v>57</v>
      </c>
      <c r="G63" s="1">
        <v>27</v>
      </c>
      <c r="H63" s="1">
        <v>20</v>
      </c>
      <c r="I63" s="1">
        <v>55</v>
      </c>
      <c r="J63" s="1">
        <v>107</v>
      </c>
      <c r="K63" s="1">
        <v>116</v>
      </c>
      <c r="L63" s="1">
        <v>209</v>
      </c>
      <c r="M63" s="1">
        <v>32</v>
      </c>
      <c r="N63" s="1">
        <v>151</v>
      </c>
      <c r="O63" s="1">
        <v>40</v>
      </c>
      <c r="P63" s="1">
        <v>103</v>
      </c>
      <c r="Q63" s="1">
        <v>25</v>
      </c>
      <c r="R63" s="1">
        <v>203</v>
      </c>
      <c r="S63" s="1">
        <v>18</v>
      </c>
      <c r="T63" s="1">
        <v>70</v>
      </c>
      <c r="U63" s="1">
        <v>256</v>
      </c>
      <c r="V63" s="1">
        <v>38</v>
      </c>
      <c r="W63" s="1">
        <v>53</v>
      </c>
      <c r="X63" s="1">
        <v>16</v>
      </c>
      <c r="Y63" s="1">
        <v>58</v>
      </c>
      <c r="Z63" s="1">
        <v>17</v>
      </c>
      <c r="AA63" s="1">
        <v>16</v>
      </c>
      <c r="AB63" s="1">
        <v>14</v>
      </c>
      <c r="AC63" s="1">
        <v>122</v>
      </c>
      <c r="AD63" s="1">
        <v>48</v>
      </c>
      <c r="AE63" s="1">
        <v>39</v>
      </c>
      <c r="AF63" s="18">
        <f t="shared" si="0"/>
        <v>67.266666666666666</v>
      </c>
    </row>
    <row r="64" spans="1:32" x14ac:dyDescent="0.35">
      <c r="A64" s="1" t="s">
        <v>178</v>
      </c>
      <c r="B64" s="1">
        <v>203</v>
      </c>
      <c r="C64" s="1">
        <v>20</v>
      </c>
      <c r="D64" s="1">
        <v>160</v>
      </c>
      <c r="E64" s="1">
        <v>157</v>
      </c>
      <c r="F64" s="1">
        <v>67</v>
      </c>
      <c r="G64" s="1">
        <v>42</v>
      </c>
      <c r="H64" s="1">
        <v>22</v>
      </c>
      <c r="I64" s="1">
        <v>17</v>
      </c>
      <c r="J64" s="1">
        <v>123</v>
      </c>
      <c r="K64" s="1">
        <v>135</v>
      </c>
      <c r="L64" s="1">
        <v>98</v>
      </c>
      <c r="M64" s="1">
        <v>145</v>
      </c>
      <c r="N64" s="1">
        <v>24</v>
      </c>
      <c r="O64" s="1">
        <v>48</v>
      </c>
      <c r="P64" s="1">
        <v>137</v>
      </c>
      <c r="Q64" s="1">
        <v>51</v>
      </c>
      <c r="R64" s="1">
        <v>37</v>
      </c>
      <c r="S64" s="1">
        <v>43</v>
      </c>
      <c r="T64" s="1">
        <v>33</v>
      </c>
      <c r="U64" s="1">
        <v>154</v>
      </c>
      <c r="V64" s="1">
        <v>36</v>
      </c>
      <c r="W64" s="1">
        <v>35</v>
      </c>
      <c r="X64" s="1">
        <v>66</v>
      </c>
      <c r="Y64" s="1">
        <v>39</v>
      </c>
      <c r="Z64" s="1">
        <v>123</v>
      </c>
      <c r="AA64" s="1">
        <v>30</v>
      </c>
      <c r="AB64" s="1">
        <v>41</v>
      </c>
      <c r="AC64" s="1">
        <v>46</v>
      </c>
      <c r="AD64" s="1">
        <v>39</v>
      </c>
      <c r="AE64" s="1">
        <v>47</v>
      </c>
      <c r="AF64" s="18">
        <f t="shared" si="0"/>
        <v>73.933333333333337</v>
      </c>
    </row>
    <row r="65" spans="1:32" x14ac:dyDescent="0.35">
      <c r="A65" s="1" t="s">
        <v>45</v>
      </c>
      <c r="B65" s="1">
        <v>24</v>
      </c>
      <c r="C65" s="1">
        <v>40</v>
      </c>
      <c r="D65" s="1">
        <v>193</v>
      </c>
      <c r="E65" s="1">
        <v>84</v>
      </c>
      <c r="F65" s="1">
        <v>54</v>
      </c>
      <c r="G65" s="1">
        <v>80</v>
      </c>
      <c r="H65" s="1">
        <v>98</v>
      </c>
      <c r="I65" s="1">
        <v>96</v>
      </c>
      <c r="J65" s="1">
        <v>22</v>
      </c>
      <c r="K65" s="1">
        <v>87</v>
      </c>
      <c r="L65" s="1">
        <v>42</v>
      </c>
      <c r="M65" s="1">
        <v>38</v>
      </c>
      <c r="N65" s="1">
        <v>22</v>
      </c>
      <c r="O65" s="1">
        <v>33</v>
      </c>
      <c r="P65" s="1">
        <v>19</v>
      </c>
      <c r="Q65" s="1">
        <v>105</v>
      </c>
      <c r="R65" s="1">
        <v>106</v>
      </c>
      <c r="S65" s="1">
        <v>77</v>
      </c>
      <c r="T65" s="1">
        <v>23</v>
      </c>
      <c r="U65" s="1">
        <v>68</v>
      </c>
      <c r="V65" s="1">
        <v>60</v>
      </c>
      <c r="W65" s="1">
        <v>30</v>
      </c>
      <c r="X65" s="1">
        <v>25</v>
      </c>
      <c r="Y65" s="1">
        <v>68</v>
      </c>
      <c r="Z65" s="1">
        <v>32</v>
      </c>
      <c r="AA65" s="1">
        <v>38</v>
      </c>
      <c r="AB65" s="1">
        <v>134</v>
      </c>
      <c r="AC65" s="1">
        <v>44</v>
      </c>
      <c r="AD65" s="1">
        <v>49</v>
      </c>
      <c r="AE65" s="1">
        <v>35</v>
      </c>
      <c r="AF65" s="18">
        <f t="shared" si="0"/>
        <v>60.866666666666667</v>
      </c>
    </row>
    <row r="66" spans="1:32" x14ac:dyDescent="0.35">
      <c r="A66" s="1" t="s">
        <v>46</v>
      </c>
      <c r="B66" s="1">
        <v>26</v>
      </c>
      <c r="C66" s="1">
        <v>20</v>
      </c>
      <c r="D66" s="1">
        <v>32</v>
      </c>
      <c r="E66" s="1">
        <v>27</v>
      </c>
      <c r="F66" s="1">
        <v>12</v>
      </c>
      <c r="G66" s="1">
        <v>217</v>
      </c>
      <c r="H66" s="1">
        <v>19</v>
      </c>
      <c r="I66" s="1">
        <v>42</v>
      </c>
      <c r="J66" s="1">
        <v>21</v>
      </c>
      <c r="K66" s="1">
        <v>34</v>
      </c>
      <c r="L66" s="1">
        <v>67</v>
      </c>
      <c r="M66" s="1">
        <v>52</v>
      </c>
      <c r="N66" s="1">
        <v>31</v>
      </c>
      <c r="O66" s="1">
        <v>54</v>
      </c>
      <c r="P66" s="1">
        <v>30</v>
      </c>
      <c r="Q66" s="1">
        <v>67</v>
      </c>
      <c r="R66" s="1">
        <v>19</v>
      </c>
      <c r="S66" s="1">
        <v>12</v>
      </c>
      <c r="T66" s="1">
        <v>12</v>
      </c>
      <c r="U66" s="1">
        <v>23</v>
      </c>
      <c r="V66" s="1">
        <v>31</v>
      </c>
      <c r="W66" s="1">
        <v>13</v>
      </c>
      <c r="X66" s="1">
        <v>167</v>
      </c>
      <c r="Y66" s="1">
        <v>41</v>
      </c>
      <c r="Z66" s="1">
        <v>26</v>
      </c>
      <c r="AA66" s="1">
        <v>12</v>
      </c>
      <c r="AB66" s="1">
        <v>12</v>
      </c>
      <c r="AC66" s="1">
        <v>23</v>
      </c>
      <c r="AD66" s="1">
        <v>17</v>
      </c>
      <c r="AE66" s="1">
        <v>19</v>
      </c>
      <c r="AF66" s="18">
        <f t="shared" si="0"/>
        <v>39.266666666666666</v>
      </c>
    </row>
    <row r="67" spans="1:32" x14ac:dyDescent="0.35">
      <c r="A67" s="1" t="s">
        <v>47</v>
      </c>
      <c r="B67" s="1">
        <v>89</v>
      </c>
      <c r="C67" s="1">
        <v>19</v>
      </c>
      <c r="D67" s="1">
        <v>41</v>
      </c>
      <c r="E67" s="1">
        <v>124</v>
      </c>
      <c r="F67" s="1">
        <v>19</v>
      </c>
      <c r="G67" s="1">
        <v>101</v>
      </c>
      <c r="H67" s="1">
        <v>62</v>
      </c>
      <c r="I67" s="1">
        <v>65</v>
      </c>
      <c r="J67" s="1">
        <v>17</v>
      </c>
      <c r="K67" s="1">
        <v>201</v>
      </c>
      <c r="L67" s="1">
        <v>19</v>
      </c>
      <c r="M67" s="1">
        <v>45</v>
      </c>
      <c r="N67" s="1">
        <v>21</v>
      </c>
      <c r="O67" s="1">
        <v>34</v>
      </c>
      <c r="P67" s="1">
        <v>12</v>
      </c>
      <c r="Q67" s="1">
        <v>97</v>
      </c>
      <c r="R67" s="1">
        <v>23</v>
      </c>
      <c r="S67" s="1">
        <v>26</v>
      </c>
      <c r="T67" s="1">
        <v>59</v>
      </c>
      <c r="U67" s="1">
        <v>95</v>
      </c>
      <c r="V67" s="1">
        <v>13</v>
      </c>
      <c r="W67" s="1">
        <v>33</v>
      </c>
      <c r="X67" s="1">
        <v>14</v>
      </c>
      <c r="Y67" s="1">
        <v>85</v>
      </c>
      <c r="Z67" s="1">
        <v>89</v>
      </c>
      <c r="AA67" s="1">
        <v>129</v>
      </c>
      <c r="AB67" s="1">
        <v>36</v>
      </c>
      <c r="AC67" s="1">
        <v>92</v>
      </c>
      <c r="AD67" s="1">
        <v>15</v>
      </c>
      <c r="AE67" s="1">
        <v>17</v>
      </c>
      <c r="AF67" s="18">
        <f t="shared" si="0"/>
        <v>56.4</v>
      </c>
    </row>
    <row r="68" spans="1:32" x14ac:dyDescent="0.35">
      <c r="A68" s="1" t="s">
        <v>48</v>
      </c>
      <c r="B68" s="1">
        <v>87</v>
      </c>
      <c r="C68" s="1">
        <v>25</v>
      </c>
      <c r="D68" s="1">
        <v>63</v>
      </c>
      <c r="E68" s="1">
        <v>14</v>
      </c>
      <c r="F68" s="1">
        <v>25</v>
      </c>
      <c r="G68" s="1">
        <v>20</v>
      </c>
      <c r="H68" s="1">
        <v>14</v>
      </c>
      <c r="I68" s="1">
        <v>13</v>
      </c>
      <c r="J68" s="1">
        <v>30</v>
      </c>
      <c r="K68" s="1">
        <v>16</v>
      </c>
      <c r="L68" s="1">
        <v>34</v>
      </c>
      <c r="M68" s="1">
        <v>77</v>
      </c>
      <c r="N68" s="1">
        <v>26</v>
      </c>
      <c r="O68" s="1">
        <v>15</v>
      </c>
      <c r="P68" s="1">
        <v>44</v>
      </c>
      <c r="Q68" s="1">
        <v>19</v>
      </c>
      <c r="R68" s="1">
        <v>19</v>
      </c>
      <c r="S68" s="1">
        <v>77</v>
      </c>
      <c r="T68" s="1">
        <v>75</v>
      </c>
      <c r="U68" s="1">
        <v>89</v>
      </c>
      <c r="V68" s="1">
        <v>87</v>
      </c>
      <c r="W68" s="1">
        <v>36</v>
      </c>
      <c r="X68" s="1">
        <v>30</v>
      </c>
      <c r="Y68" s="1">
        <v>54</v>
      </c>
      <c r="Z68" s="1">
        <v>21</v>
      </c>
      <c r="AA68" s="1">
        <v>18</v>
      </c>
      <c r="AB68" s="1">
        <v>15</v>
      </c>
      <c r="AC68" s="1">
        <v>48</v>
      </c>
      <c r="AD68" s="1">
        <v>35</v>
      </c>
      <c r="AE68" s="1">
        <v>27</v>
      </c>
      <c r="AF68" s="18">
        <f t="shared" ref="AF68:AF131" si="1">AVERAGE(B68:AE68)</f>
        <v>38.43333333333333</v>
      </c>
    </row>
    <row r="69" spans="1:32" x14ac:dyDescent="0.35">
      <c r="A69" s="1" t="s">
        <v>179</v>
      </c>
      <c r="B69" s="1">
        <v>113</v>
      </c>
      <c r="C69" s="1">
        <v>61</v>
      </c>
      <c r="D69" s="1">
        <v>62</v>
      </c>
      <c r="E69" s="1">
        <v>58</v>
      </c>
      <c r="F69" s="1">
        <v>21</v>
      </c>
      <c r="G69" s="1">
        <v>43</v>
      </c>
      <c r="H69" s="1">
        <v>38</v>
      </c>
      <c r="I69" s="1">
        <v>43</v>
      </c>
      <c r="J69" s="1">
        <v>49</v>
      </c>
      <c r="K69" s="1">
        <v>54</v>
      </c>
      <c r="L69" s="1">
        <v>22</v>
      </c>
      <c r="M69" s="1">
        <v>86</v>
      </c>
      <c r="N69" s="1">
        <v>48</v>
      </c>
      <c r="O69" s="1">
        <v>90</v>
      </c>
      <c r="P69" s="1">
        <v>18</v>
      </c>
      <c r="Q69" s="1">
        <v>52</v>
      </c>
      <c r="R69" s="1">
        <v>78</v>
      </c>
      <c r="S69" s="1">
        <v>23</v>
      </c>
      <c r="T69" s="1">
        <v>96</v>
      </c>
      <c r="U69" s="1">
        <v>33</v>
      </c>
      <c r="V69" s="1">
        <v>54</v>
      </c>
      <c r="W69" s="1">
        <v>71</v>
      </c>
      <c r="X69" s="1">
        <v>42</v>
      </c>
      <c r="Y69" s="1">
        <v>22</v>
      </c>
      <c r="Z69" s="1">
        <v>83</v>
      </c>
      <c r="AA69" s="1">
        <v>123</v>
      </c>
      <c r="AB69" s="1">
        <v>164</v>
      </c>
      <c r="AC69" s="1">
        <v>29</v>
      </c>
      <c r="AD69" s="1">
        <v>13</v>
      </c>
      <c r="AE69" s="1">
        <v>21</v>
      </c>
      <c r="AF69" s="18">
        <f t="shared" si="1"/>
        <v>57</v>
      </c>
    </row>
    <row r="70" spans="1:32" x14ac:dyDescent="0.35">
      <c r="A70" s="1" t="s">
        <v>49</v>
      </c>
      <c r="B70" s="1">
        <v>55</v>
      </c>
      <c r="C70" s="1">
        <v>58</v>
      </c>
      <c r="D70" s="1">
        <v>119</v>
      </c>
      <c r="E70" s="1">
        <v>45</v>
      </c>
      <c r="F70" s="1">
        <v>57</v>
      </c>
      <c r="G70" s="1">
        <v>30</v>
      </c>
      <c r="H70" s="1">
        <v>59</v>
      </c>
      <c r="I70" s="1">
        <v>47</v>
      </c>
      <c r="J70" s="1">
        <v>48</v>
      </c>
      <c r="K70" s="1">
        <v>27</v>
      </c>
      <c r="L70" s="1">
        <v>36</v>
      </c>
      <c r="M70" s="1">
        <v>78</v>
      </c>
      <c r="N70" s="1">
        <v>31</v>
      </c>
      <c r="O70" s="1">
        <v>59</v>
      </c>
      <c r="P70" s="1">
        <v>15</v>
      </c>
      <c r="Q70" s="1">
        <v>45</v>
      </c>
      <c r="R70" s="1">
        <v>51</v>
      </c>
      <c r="S70" s="1">
        <v>47</v>
      </c>
      <c r="T70" s="1">
        <v>246</v>
      </c>
      <c r="U70" s="1">
        <v>35</v>
      </c>
      <c r="V70" s="1">
        <v>163</v>
      </c>
      <c r="W70" s="1">
        <v>153</v>
      </c>
      <c r="X70" s="1">
        <v>26</v>
      </c>
      <c r="Y70" s="1">
        <v>44</v>
      </c>
      <c r="Z70" s="1">
        <v>34</v>
      </c>
      <c r="AA70" s="1">
        <v>123</v>
      </c>
      <c r="AB70" s="1">
        <v>55</v>
      </c>
      <c r="AC70" s="1">
        <v>103</v>
      </c>
      <c r="AD70" s="1">
        <v>226</v>
      </c>
      <c r="AE70" s="1">
        <v>22</v>
      </c>
      <c r="AF70" s="18">
        <f t="shared" si="1"/>
        <v>71.233333333333334</v>
      </c>
    </row>
    <row r="71" spans="1:32" x14ac:dyDescent="0.35">
      <c r="A71" s="1" t="s">
        <v>50</v>
      </c>
      <c r="B71" s="1">
        <v>61</v>
      </c>
      <c r="C71" s="1">
        <v>132</v>
      </c>
      <c r="D71" s="1">
        <v>18</v>
      </c>
      <c r="E71" s="1">
        <v>95</v>
      </c>
      <c r="F71" s="1">
        <v>91</v>
      </c>
      <c r="G71" s="1">
        <v>43</v>
      </c>
      <c r="H71" s="1">
        <v>54</v>
      </c>
      <c r="I71" s="1">
        <v>29</v>
      </c>
      <c r="J71" s="1">
        <v>39</v>
      </c>
      <c r="K71" s="1">
        <v>48</v>
      </c>
      <c r="L71" s="1">
        <v>133</v>
      </c>
      <c r="M71" s="1">
        <v>30</v>
      </c>
      <c r="N71" s="1">
        <v>95</v>
      </c>
      <c r="O71" s="1">
        <v>35</v>
      </c>
      <c r="P71" s="1">
        <v>52</v>
      </c>
      <c r="Q71" s="1">
        <v>109</v>
      </c>
      <c r="R71" s="1">
        <v>69</v>
      </c>
      <c r="S71" s="1">
        <v>82</v>
      </c>
      <c r="T71" s="1">
        <v>33</v>
      </c>
      <c r="U71" s="1">
        <v>108</v>
      </c>
      <c r="V71" s="1">
        <v>45</v>
      </c>
      <c r="W71" s="1">
        <v>62</v>
      </c>
      <c r="X71" s="1">
        <v>122</v>
      </c>
      <c r="Y71" s="1">
        <v>155</v>
      </c>
      <c r="Z71" s="1">
        <v>48</v>
      </c>
      <c r="AA71" s="1">
        <v>18</v>
      </c>
      <c r="AB71" s="1">
        <v>54</v>
      </c>
      <c r="AC71" s="1">
        <v>25</v>
      </c>
      <c r="AD71" s="1">
        <v>76</v>
      </c>
      <c r="AE71" s="1">
        <v>49</v>
      </c>
      <c r="AF71" s="18">
        <f t="shared" si="1"/>
        <v>67</v>
      </c>
    </row>
    <row r="72" spans="1:32" x14ac:dyDescent="0.35">
      <c r="A72" s="1" t="s">
        <v>51</v>
      </c>
      <c r="B72" s="1">
        <v>14</v>
      </c>
      <c r="C72" s="1">
        <v>49</v>
      </c>
      <c r="D72" s="1">
        <v>22</v>
      </c>
      <c r="E72" s="1">
        <v>17</v>
      </c>
      <c r="F72" s="1">
        <v>16</v>
      </c>
      <c r="G72" s="1">
        <v>18</v>
      </c>
      <c r="H72" s="1">
        <v>16</v>
      </c>
      <c r="I72" s="1">
        <v>36</v>
      </c>
      <c r="J72" s="1">
        <v>99</v>
      </c>
      <c r="K72" s="1">
        <v>21</v>
      </c>
      <c r="L72" s="1">
        <v>196</v>
      </c>
      <c r="M72" s="1">
        <v>42</v>
      </c>
      <c r="N72" s="1">
        <v>45</v>
      </c>
      <c r="O72" s="1">
        <v>41</v>
      </c>
      <c r="P72" s="1">
        <v>15</v>
      </c>
      <c r="Q72" s="1">
        <v>16</v>
      </c>
      <c r="R72" s="1">
        <v>41</v>
      </c>
      <c r="S72" s="1">
        <v>30</v>
      </c>
      <c r="T72" s="1">
        <v>159</v>
      </c>
      <c r="U72" s="1">
        <v>34</v>
      </c>
      <c r="V72" s="1">
        <v>19</v>
      </c>
      <c r="W72" s="1">
        <v>13</v>
      </c>
      <c r="X72" s="1">
        <v>67</v>
      </c>
      <c r="Y72" s="1">
        <v>42</v>
      </c>
      <c r="Z72" s="1">
        <v>19</v>
      </c>
      <c r="AA72" s="1">
        <v>18</v>
      </c>
      <c r="AB72" s="1">
        <v>23</v>
      </c>
      <c r="AC72" s="1">
        <v>34</v>
      </c>
      <c r="AD72" s="1">
        <v>103</v>
      </c>
      <c r="AE72" s="1">
        <v>59</v>
      </c>
      <c r="AF72" s="18">
        <f t="shared" si="1"/>
        <v>44.133333333333333</v>
      </c>
    </row>
    <row r="73" spans="1:32" x14ac:dyDescent="0.35">
      <c r="A73" s="1" t="s">
        <v>52</v>
      </c>
      <c r="B73" s="1">
        <v>20</v>
      </c>
      <c r="C73" s="1">
        <v>38</v>
      </c>
      <c r="D73" s="1">
        <v>38</v>
      </c>
      <c r="E73" s="1">
        <v>32</v>
      </c>
      <c r="F73" s="1">
        <v>36</v>
      </c>
      <c r="G73" s="1">
        <v>33</v>
      </c>
      <c r="H73" s="1">
        <v>19</v>
      </c>
      <c r="I73" s="1">
        <v>20</v>
      </c>
      <c r="J73" s="1">
        <v>59</v>
      </c>
      <c r="K73" s="1">
        <v>56</v>
      </c>
      <c r="L73" s="1">
        <v>17</v>
      </c>
      <c r="M73" s="1">
        <v>28</v>
      </c>
      <c r="N73" s="1">
        <v>18</v>
      </c>
      <c r="O73" s="1">
        <v>28</v>
      </c>
      <c r="P73" s="1">
        <v>14</v>
      </c>
      <c r="Q73" s="1">
        <v>18</v>
      </c>
      <c r="R73" s="1">
        <v>32</v>
      </c>
      <c r="S73" s="1">
        <v>25</v>
      </c>
      <c r="T73" s="1">
        <v>62</v>
      </c>
      <c r="U73" s="1">
        <v>76</v>
      </c>
      <c r="V73" s="1">
        <v>51</v>
      </c>
      <c r="W73" s="1">
        <v>30</v>
      </c>
      <c r="X73" s="1">
        <v>18</v>
      </c>
      <c r="Y73" s="1">
        <v>48</v>
      </c>
      <c r="Z73" s="1">
        <v>50</v>
      </c>
      <c r="AA73" s="1">
        <v>13</v>
      </c>
      <c r="AB73" s="1">
        <v>40</v>
      </c>
      <c r="AC73" s="1">
        <v>74</v>
      </c>
      <c r="AD73" s="1">
        <v>35</v>
      </c>
      <c r="AE73" s="1">
        <v>32</v>
      </c>
      <c r="AF73" s="18">
        <f t="shared" si="1"/>
        <v>35.333333333333336</v>
      </c>
    </row>
    <row r="74" spans="1:32" x14ac:dyDescent="0.35">
      <c r="A74" s="1" t="s">
        <v>53</v>
      </c>
      <c r="B74" s="1">
        <v>139</v>
      </c>
      <c r="C74" s="1">
        <v>59</v>
      </c>
      <c r="D74" s="1">
        <v>34</v>
      </c>
      <c r="E74" s="1">
        <v>51</v>
      </c>
      <c r="F74" s="1">
        <v>14</v>
      </c>
      <c r="G74" s="1">
        <v>23</v>
      </c>
      <c r="H74" s="1">
        <v>17</v>
      </c>
      <c r="I74" s="1">
        <v>38</v>
      </c>
      <c r="J74" s="1">
        <v>131</v>
      </c>
      <c r="K74" s="1">
        <v>17</v>
      </c>
      <c r="L74" s="1">
        <v>19</v>
      </c>
      <c r="M74" s="1">
        <v>66</v>
      </c>
      <c r="N74" s="1">
        <v>31</v>
      </c>
      <c r="O74" s="1">
        <v>12</v>
      </c>
      <c r="P74" s="1">
        <v>151</v>
      </c>
      <c r="Q74" s="1">
        <v>40</v>
      </c>
      <c r="R74" s="1">
        <v>73</v>
      </c>
      <c r="S74" s="1">
        <v>280</v>
      </c>
      <c r="T74" s="1">
        <v>43</v>
      </c>
      <c r="U74" s="1">
        <v>132</v>
      </c>
      <c r="V74" s="1">
        <v>29</v>
      </c>
      <c r="W74" s="1">
        <v>157</v>
      </c>
      <c r="X74" s="1">
        <v>38</v>
      </c>
      <c r="Y74" s="1">
        <v>71</v>
      </c>
      <c r="Z74" s="1">
        <v>64</v>
      </c>
      <c r="AA74" s="1">
        <v>13</v>
      </c>
      <c r="AB74" s="1">
        <v>86</v>
      </c>
      <c r="AC74" s="1">
        <v>35</v>
      </c>
      <c r="AD74" s="1">
        <v>185</v>
      </c>
      <c r="AE74" s="1">
        <v>267</v>
      </c>
      <c r="AF74" s="18">
        <f t="shared" si="1"/>
        <v>77.166666666666671</v>
      </c>
    </row>
    <row r="75" spans="1:32" x14ac:dyDescent="0.35">
      <c r="A75" s="1" t="s">
        <v>54</v>
      </c>
      <c r="B75" s="1">
        <v>31</v>
      </c>
      <c r="C75" s="1">
        <v>42</v>
      </c>
      <c r="D75" s="1">
        <v>67</v>
      </c>
      <c r="E75" s="1">
        <v>26</v>
      </c>
      <c r="F75" s="1">
        <v>155</v>
      </c>
      <c r="G75" s="1">
        <v>90</v>
      </c>
      <c r="H75" s="1">
        <v>134</v>
      </c>
      <c r="I75" s="1">
        <v>102</v>
      </c>
      <c r="J75" s="1">
        <v>15</v>
      </c>
      <c r="K75" s="1">
        <v>24</v>
      </c>
      <c r="L75" s="1">
        <v>20</v>
      </c>
      <c r="M75" s="1">
        <v>16</v>
      </c>
      <c r="N75" s="1">
        <v>75</v>
      </c>
      <c r="O75" s="1">
        <v>26</v>
      </c>
      <c r="P75" s="1">
        <v>56</v>
      </c>
      <c r="Q75" s="1">
        <v>73</v>
      </c>
      <c r="R75" s="1">
        <v>30</v>
      </c>
      <c r="S75" s="1">
        <v>21</v>
      </c>
      <c r="T75" s="1">
        <v>12</v>
      </c>
      <c r="U75" s="1">
        <v>20</v>
      </c>
      <c r="V75" s="1">
        <v>34</v>
      </c>
      <c r="W75" s="1">
        <v>40</v>
      </c>
      <c r="X75" s="1">
        <v>68</v>
      </c>
      <c r="Y75" s="1">
        <v>46</v>
      </c>
      <c r="Z75" s="1">
        <v>40</v>
      </c>
      <c r="AA75" s="1">
        <v>105</v>
      </c>
      <c r="AB75" s="1">
        <v>49</v>
      </c>
      <c r="AC75" s="1">
        <v>42</v>
      </c>
      <c r="AD75" s="1">
        <v>37</v>
      </c>
      <c r="AE75" s="1">
        <v>22</v>
      </c>
      <c r="AF75" s="18">
        <f t="shared" si="1"/>
        <v>50.6</v>
      </c>
    </row>
    <row r="76" spans="1:32" x14ac:dyDescent="0.35">
      <c r="A76" s="1" t="s">
        <v>180</v>
      </c>
      <c r="B76" s="1">
        <v>33</v>
      </c>
      <c r="C76" s="1">
        <v>79</v>
      </c>
      <c r="D76" s="1">
        <v>13</v>
      </c>
      <c r="E76" s="1">
        <v>72</v>
      </c>
      <c r="F76" s="1">
        <v>59</v>
      </c>
      <c r="G76" s="1">
        <v>18</v>
      </c>
      <c r="H76" s="1">
        <v>16</v>
      </c>
      <c r="I76" s="1">
        <v>34</v>
      </c>
      <c r="J76" s="1">
        <v>66</v>
      </c>
      <c r="K76" s="1">
        <v>51</v>
      </c>
      <c r="L76" s="1">
        <v>38</v>
      </c>
      <c r="M76" s="1">
        <v>35</v>
      </c>
      <c r="N76" s="1">
        <v>79</v>
      </c>
      <c r="O76" s="1">
        <v>111</v>
      </c>
      <c r="P76" s="1">
        <v>52</v>
      </c>
      <c r="Q76" s="1">
        <v>24</v>
      </c>
      <c r="R76" s="1">
        <v>30</v>
      </c>
      <c r="S76" s="1">
        <v>54</v>
      </c>
      <c r="T76" s="1">
        <v>221</v>
      </c>
      <c r="U76" s="1">
        <v>14</v>
      </c>
      <c r="V76" s="1">
        <v>17</v>
      </c>
      <c r="W76" s="1">
        <v>41</v>
      </c>
      <c r="X76" s="1">
        <v>33</v>
      </c>
      <c r="Y76" s="1">
        <v>31</v>
      </c>
      <c r="Z76" s="1">
        <v>20</v>
      </c>
      <c r="AA76" s="1">
        <v>12</v>
      </c>
      <c r="AB76" s="1">
        <v>42</v>
      </c>
      <c r="AC76" s="1">
        <v>23</v>
      </c>
      <c r="AD76" s="1">
        <v>104</v>
      </c>
      <c r="AE76" s="1">
        <v>41</v>
      </c>
      <c r="AF76" s="18">
        <f t="shared" si="1"/>
        <v>48.766666666666666</v>
      </c>
    </row>
    <row r="77" spans="1:32" x14ac:dyDescent="0.35">
      <c r="A77" s="1" t="s">
        <v>55</v>
      </c>
      <c r="B77" s="1">
        <v>44</v>
      </c>
      <c r="C77" s="1">
        <v>16</v>
      </c>
      <c r="D77" s="1">
        <v>15</v>
      </c>
      <c r="E77" s="1">
        <v>36</v>
      </c>
      <c r="F77" s="1">
        <v>24</v>
      </c>
      <c r="G77" s="1">
        <v>40</v>
      </c>
      <c r="H77" s="1">
        <v>128</v>
      </c>
      <c r="I77" s="1">
        <v>17</v>
      </c>
      <c r="J77" s="1">
        <v>14</v>
      </c>
      <c r="K77" s="1">
        <v>43</v>
      </c>
      <c r="L77" s="1">
        <v>28</v>
      </c>
      <c r="M77" s="1">
        <v>19</v>
      </c>
      <c r="N77" s="1">
        <v>27</v>
      </c>
      <c r="O77" s="1">
        <v>57</v>
      </c>
      <c r="P77" s="1">
        <v>20</v>
      </c>
      <c r="Q77" s="1">
        <v>62</v>
      </c>
      <c r="R77" s="1">
        <v>74</v>
      </c>
      <c r="S77" s="1">
        <v>64</v>
      </c>
      <c r="T77" s="1">
        <v>23</v>
      </c>
      <c r="U77" s="1">
        <v>41</v>
      </c>
      <c r="V77" s="1">
        <v>15</v>
      </c>
      <c r="W77" s="1">
        <v>36</v>
      </c>
      <c r="X77" s="1">
        <v>17</v>
      </c>
      <c r="Y77" s="1">
        <v>110</v>
      </c>
      <c r="Z77" s="1">
        <v>15</v>
      </c>
      <c r="AA77" s="1">
        <v>49</v>
      </c>
      <c r="AB77" s="1">
        <v>20</v>
      </c>
      <c r="AC77" s="1">
        <v>60</v>
      </c>
      <c r="AD77" s="1">
        <v>125</v>
      </c>
      <c r="AE77" s="1">
        <v>42</v>
      </c>
      <c r="AF77" s="18">
        <f t="shared" si="1"/>
        <v>42.7</v>
      </c>
    </row>
    <row r="78" spans="1:32" x14ac:dyDescent="0.35">
      <c r="A78" s="1" t="s">
        <v>56</v>
      </c>
      <c r="B78" s="1">
        <v>40</v>
      </c>
      <c r="C78" s="1">
        <v>36</v>
      </c>
      <c r="D78" s="1">
        <v>17</v>
      </c>
      <c r="E78" s="1">
        <v>25</v>
      </c>
      <c r="F78" s="1">
        <v>46</v>
      </c>
      <c r="G78" s="1">
        <v>51</v>
      </c>
      <c r="H78" s="1">
        <v>12</v>
      </c>
      <c r="I78" s="1">
        <v>46</v>
      </c>
      <c r="J78" s="1">
        <v>62</v>
      </c>
      <c r="K78" s="1">
        <v>13</v>
      </c>
      <c r="L78" s="1">
        <v>64</v>
      </c>
      <c r="M78" s="1">
        <v>36</v>
      </c>
      <c r="N78" s="1">
        <v>24</v>
      </c>
      <c r="O78" s="1">
        <v>28</v>
      </c>
      <c r="P78" s="1">
        <v>29</v>
      </c>
      <c r="Q78" s="1">
        <v>91</v>
      </c>
      <c r="R78" s="1">
        <v>90</v>
      </c>
      <c r="S78" s="1">
        <v>13</v>
      </c>
      <c r="T78" s="1">
        <v>116</v>
      </c>
      <c r="U78" s="1">
        <v>54</v>
      </c>
      <c r="V78" s="1">
        <v>19</v>
      </c>
      <c r="W78" s="1">
        <v>30</v>
      </c>
      <c r="X78" s="1">
        <v>226</v>
      </c>
      <c r="Y78" s="1">
        <v>19</v>
      </c>
      <c r="Z78" s="1">
        <v>39</v>
      </c>
      <c r="AA78" s="1">
        <v>114</v>
      </c>
      <c r="AB78" s="1">
        <v>19</v>
      </c>
      <c r="AC78" s="1">
        <v>127</v>
      </c>
      <c r="AD78" s="1">
        <v>86</v>
      </c>
      <c r="AE78" s="1">
        <v>14</v>
      </c>
      <c r="AF78" s="18">
        <f t="shared" si="1"/>
        <v>52.866666666666667</v>
      </c>
    </row>
    <row r="79" spans="1:32" x14ac:dyDescent="0.35">
      <c r="A79" s="1" t="s">
        <v>57</v>
      </c>
      <c r="B79" s="1">
        <v>78</v>
      </c>
      <c r="C79" s="1">
        <v>124</v>
      </c>
      <c r="D79" s="1">
        <v>26</v>
      </c>
      <c r="E79" s="1">
        <v>94</v>
      </c>
      <c r="F79" s="1">
        <v>59</v>
      </c>
      <c r="G79" s="1">
        <v>35</v>
      </c>
      <c r="H79" s="1">
        <v>154</v>
      </c>
      <c r="I79" s="1">
        <v>100</v>
      </c>
      <c r="J79" s="1">
        <v>182</v>
      </c>
      <c r="K79" s="1">
        <v>23</v>
      </c>
      <c r="L79" s="1">
        <v>47</v>
      </c>
      <c r="M79" s="1">
        <v>17</v>
      </c>
      <c r="N79" s="1">
        <v>86</v>
      </c>
      <c r="O79" s="1">
        <v>94</v>
      </c>
      <c r="P79" s="1">
        <v>19</v>
      </c>
      <c r="Q79" s="1">
        <v>72</v>
      </c>
      <c r="R79" s="1">
        <v>88</v>
      </c>
      <c r="S79" s="1">
        <v>20</v>
      </c>
      <c r="T79" s="1">
        <v>115</v>
      </c>
      <c r="U79" s="1">
        <v>14</v>
      </c>
      <c r="V79" s="1">
        <v>26</v>
      </c>
      <c r="W79" s="1">
        <v>125</v>
      </c>
      <c r="X79" s="1">
        <v>46</v>
      </c>
      <c r="Y79" s="1">
        <v>23</v>
      </c>
      <c r="Z79" s="1">
        <v>53</v>
      </c>
      <c r="AA79" s="1">
        <v>93</v>
      </c>
      <c r="AB79" s="1">
        <v>64</v>
      </c>
      <c r="AC79" s="1">
        <v>59</v>
      </c>
      <c r="AD79" s="1">
        <v>36</v>
      </c>
      <c r="AE79" s="1">
        <v>111</v>
      </c>
      <c r="AF79" s="18">
        <f t="shared" si="1"/>
        <v>69.433333333333337</v>
      </c>
    </row>
    <row r="80" spans="1:32" x14ac:dyDescent="0.35">
      <c r="A80" s="1" t="s">
        <v>58</v>
      </c>
      <c r="B80" s="1">
        <v>22</v>
      </c>
      <c r="C80" s="1">
        <v>48</v>
      </c>
      <c r="D80" s="1">
        <v>73</v>
      </c>
      <c r="E80" s="1">
        <v>98</v>
      </c>
      <c r="F80" s="1">
        <v>16</v>
      </c>
      <c r="G80" s="1">
        <v>63</v>
      </c>
      <c r="H80" s="1">
        <v>60</v>
      </c>
      <c r="I80" s="1">
        <v>23</v>
      </c>
      <c r="J80" s="1">
        <v>12</v>
      </c>
      <c r="K80" s="1">
        <v>66</v>
      </c>
      <c r="L80" s="1">
        <v>24</v>
      </c>
      <c r="M80" s="1">
        <v>39</v>
      </c>
      <c r="N80" s="1">
        <v>99</v>
      </c>
      <c r="O80" s="1">
        <v>30</v>
      </c>
      <c r="P80" s="1">
        <v>61</v>
      </c>
      <c r="Q80" s="1">
        <v>22</v>
      </c>
      <c r="R80" s="1">
        <v>97</v>
      </c>
      <c r="S80" s="1">
        <v>15</v>
      </c>
      <c r="T80" s="1">
        <v>103</v>
      </c>
      <c r="U80" s="1">
        <v>28</v>
      </c>
      <c r="V80" s="1">
        <v>76</v>
      </c>
      <c r="W80" s="1">
        <v>51</v>
      </c>
      <c r="X80" s="1">
        <v>91</v>
      </c>
      <c r="Y80" s="1">
        <v>27</v>
      </c>
      <c r="Z80" s="1">
        <v>122</v>
      </c>
      <c r="AA80" s="1">
        <v>66</v>
      </c>
      <c r="AB80" s="1">
        <v>56</v>
      </c>
      <c r="AC80" s="1">
        <v>27</v>
      </c>
      <c r="AD80" s="1">
        <v>16</v>
      </c>
      <c r="AE80" s="1">
        <v>12</v>
      </c>
      <c r="AF80" s="18">
        <f t="shared" si="1"/>
        <v>51.43333333333333</v>
      </c>
    </row>
    <row r="81" spans="1:32" x14ac:dyDescent="0.35">
      <c r="A81" s="1" t="s">
        <v>59</v>
      </c>
      <c r="B81" s="1">
        <v>17</v>
      </c>
      <c r="C81" s="1">
        <v>41</v>
      </c>
      <c r="D81" s="1">
        <v>109</v>
      </c>
      <c r="E81" s="1">
        <v>44</v>
      </c>
      <c r="F81" s="1">
        <v>147</v>
      </c>
      <c r="G81" s="1">
        <v>125</v>
      </c>
      <c r="H81" s="1">
        <v>16</v>
      </c>
      <c r="I81" s="1">
        <v>73</v>
      </c>
      <c r="J81" s="1">
        <v>13</v>
      </c>
      <c r="K81" s="1">
        <v>47</v>
      </c>
      <c r="L81" s="1">
        <v>21</v>
      </c>
      <c r="M81" s="1">
        <v>20</v>
      </c>
      <c r="N81" s="1">
        <v>50</v>
      </c>
      <c r="O81" s="1">
        <v>60</v>
      </c>
      <c r="P81" s="1">
        <v>24</v>
      </c>
      <c r="Q81" s="1">
        <v>71</v>
      </c>
      <c r="R81" s="1">
        <v>46</v>
      </c>
      <c r="S81" s="1">
        <v>27</v>
      </c>
      <c r="T81" s="1">
        <v>246</v>
      </c>
      <c r="U81" s="1">
        <v>67</v>
      </c>
      <c r="V81" s="1">
        <v>87</v>
      </c>
      <c r="W81" s="1">
        <v>59</v>
      </c>
      <c r="X81" s="1">
        <v>57</v>
      </c>
      <c r="Y81" s="1">
        <v>25</v>
      </c>
      <c r="Z81" s="1">
        <v>213</v>
      </c>
      <c r="AA81" s="1">
        <v>32</v>
      </c>
      <c r="AB81" s="1">
        <v>284</v>
      </c>
      <c r="AC81" s="1">
        <v>88</v>
      </c>
      <c r="AD81" s="1">
        <v>21</v>
      </c>
      <c r="AE81" s="1">
        <v>144</v>
      </c>
      <c r="AF81" s="18">
        <f t="shared" si="1"/>
        <v>75.8</v>
      </c>
    </row>
    <row r="82" spans="1:32" x14ac:dyDescent="0.35">
      <c r="A82" s="1" t="s">
        <v>181</v>
      </c>
      <c r="B82" s="1">
        <v>31</v>
      </c>
      <c r="C82" s="1">
        <v>43</v>
      </c>
      <c r="D82" s="1">
        <v>27</v>
      </c>
      <c r="E82" s="1">
        <v>16</v>
      </c>
      <c r="F82" s="1">
        <v>18</v>
      </c>
      <c r="G82" s="1">
        <v>26</v>
      </c>
      <c r="H82" s="1">
        <v>22</v>
      </c>
      <c r="I82" s="1">
        <v>28</v>
      </c>
      <c r="J82" s="1">
        <v>17</v>
      </c>
      <c r="K82" s="1">
        <v>29</v>
      </c>
      <c r="L82" s="1">
        <v>25</v>
      </c>
      <c r="M82" s="1">
        <v>38</v>
      </c>
      <c r="N82" s="1">
        <v>19</v>
      </c>
      <c r="O82" s="1">
        <v>22</v>
      </c>
      <c r="P82" s="1">
        <v>17</v>
      </c>
      <c r="Q82" s="1">
        <v>61</v>
      </c>
      <c r="R82" s="1">
        <v>40</v>
      </c>
      <c r="S82" s="1">
        <v>25</v>
      </c>
      <c r="T82" s="1">
        <v>66</v>
      </c>
      <c r="U82" s="1">
        <v>34</v>
      </c>
      <c r="V82" s="1">
        <v>42</v>
      </c>
      <c r="W82" s="1">
        <v>26</v>
      </c>
      <c r="X82" s="1">
        <v>16</v>
      </c>
      <c r="Y82" s="1">
        <v>38</v>
      </c>
      <c r="Z82" s="1">
        <v>20</v>
      </c>
      <c r="AA82" s="1">
        <v>49</v>
      </c>
      <c r="AB82" s="1">
        <v>41</v>
      </c>
      <c r="AC82" s="1">
        <v>52</v>
      </c>
      <c r="AD82" s="1">
        <v>117</v>
      </c>
      <c r="AE82" s="1">
        <v>31</v>
      </c>
      <c r="AF82" s="18">
        <f t="shared" si="1"/>
        <v>34.533333333333331</v>
      </c>
    </row>
    <row r="83" spans="1:32" x14ac:dyDescent="0.35">
      <c r="A83" s="1" t="s">
        <v>60</v>
      </c>
      <c r="B83" s="1">
        <v>37</v>
      </c>
      <c r="C83" s="1">
        <v>41</v>
      </c>
      <c r="D83" s="1">
        <v>18</v>
      </c>
      <c r="E83" s="1">
        <v>26</v>
      </c>
      <c r="F83" s="1">
        <v>12</v>
      </c>
      <c r="G83" s="1">
        <v>49</v>
      </c>
      <c r="H83" s="1">
        <v>63</v>
      </c>
      <c r="I83" s="1">
        <v>33</v>
      </c>
      <c r="J83" s="1">
        <v>16</v>
      </c>
      <c r="K83" s="1">
        <v>82</v>
      </c>
      <c r="L83" s="1">
        <v>14</v>
      </c>
      <c r="M83" s="1">
        <v>49</v>
      </c>
      <c r="N83" s="1">
        <v>35</v>
      </c>
      <c r="O83" s="1">
        <v>47</v>
      </c>
      <c r="P83" s="1">
        <v>33</v>
      </c>
      <c r="Q83" s="1">
        <v>54</v>
      </c>
      <c r="R83" s="1">
        <v>18</v>
      </c>
      <c r="S83" s="1">
        <v>71</v>
      </c>
      <c r="T83" s="1">
        <v>132</v>
      </c>
      <c r="U83" s="1">
        <v>12</v>
      </c>
      <c r="V83" s="1">
        <v>26</v>
      </c>
      <c r="W83" s="1">
        <v>32</v>
      </c>
      <c r="X83" s="1">
        <v>100</v>
      </c>
      <c r="Y83" s="1">
        <v>33</v>
      </c>
      <c r="Z83" s="1">
        <v>64</v>
      </c>
      <c r="AA83" s="1">
        <v>53</v>
      </c>
      <c r="AB83" s="1">
        <v>23</v>
      </c>
      <c r="AC83" s="1">
        <v>33</v>
      </c>
      <c r="AD83" s="1">
        <v>24</v>
      </c>
      <c r="AE83" s="1">
        <v>28</v>
      </c>
      <c r="AF83" s="18">
        <f t="shared" si="1"/>
        <v>41.93333333333333</v>
      </c>
    </row>
    <row r="84" spans="1:32" x14ac:dyDescent="0.35">
      <c r="A84" s="1" t="s">
        <v>61</v>
      </c>
      <c r="B84" s="1">
        <v>16</v>
      </c>
      <c r="C84" s="1">
        <v>16</v>
      </c>
      <c r="D84" s="1">
        <v>175</v>
      </c>
      <c r="E84" s="1">
        <v>13</v>
      </c>
      <c r="F84" s="1">
        <v>25</v>
      </c>
      <c r="G84" s="1">
        <v>43</v>
      </c>
      <c r="H84" s="1">
        <v>107</v>
      </c>
      <c r="I84" s="1">
        <v>60</v>
      </c>
      <c r="J84" s="1">
        <v>43</v>
      </c>
      <c r="K84" s="1">
        <v>21</v>
      </c>
      <c r="L84" s="1">
        <v>49</v>
      </c>
      <c r="M84" s="1">
        <v>57</v>
      </c>
      <c r="N84" s="1">
        <v>31</v>
      </c>
      <c r="O84" s="1">
        <v>34</v>
      </c>
      <c r="P84" s="1">
        <v>18</v>
      </c>
      <c r="Q84" s="1">
        <v>101</v>
      </c>
      <c r="R84" s="1">
        <v>25</v>
      </c>
      <c r="S84" s="1">
        <v>24</v>
      </c>
      <c r="T84" s="1">
        <v>158</v>
      </c>
      <c r="U84" s="1">
        <v>12</v>
      </c>
      <c r="V84" s="1">
        <v>47</v>
      </c>
      <c r="W84" s="1">
        <v>160</v>
      </c>
      <c r="X84" s="1">
        <v>94</v>
      </c>
      <c r="Y84" s="1">
        <v>93</v>
      </c>
      <c r="Z84" s="1">
        <v>42</v>
      </c>
      <c r="AA84" s="1">
        <v>134</v>
      </c>
      <c r="AB84" s="1">
        <v>112</v>
      </c>
      <c r="AC84" s="1">
        <v>23</v>
      </c>
      <c r="AD84" s="1">
        <v>72</v>
      </c>
      <c r="AE84" s="1">
        <v>16</v>
      </c>
      <c r="AF84" s="18">
        <f t="shared" si="1"/>
        <v>60.7</v>
      </c>
    </row>
    <row r="85" spans="1:32" x14ac:dyDescent="0.35">
      <c r="A85" s="1" t="s">
        <v>62</v>
      </c>
      <c r="B85" s="1">
        <v>13</v>
      </c>
      <c r="C85" s="1">
        <v>16</v>
      </c>
      <c r="D85" s="1">
        <v>17</v>
      </c>
      <c r="E85" s="1">
        <v>17</v>
      </c>
      <c r="F85" s="1">
        <v>22</v>
      </c>
      <c r="G85" s="1">
        <v>87</v>
      </c>
      <c r="H85" s="1">
        <v>14</v>
      </c>
      <c r="I85" s="1">
        <v>108</v>
      </c>
      <c r="J85" s="1">
        <v>17</v>
      </c>
      <c r="K85" s="1">
        <v>16</v>
      </c>
      <c r="L85" s="1">
        <v>23</v>
      </c>
      <c r="M85" s="1">
        <v>12</v>
      </c>
      <c r="N85" s="1">
        <v>61</v>
      </c>
      <c r="O85" s="1">
        <v>35</v>
      </c>
      <c r="P85" s="1">
        <v>21</v>
      </c>
      <c r="Q85" s="1">
        <v>15</v>
      </c>
      <c r="R85" s="1">
        <v>12</v>
      </c>
      <c r="S85" s="1">
        <v>17</v>
      </c>
      <c r="T85" s="1">
        <v>38</v>
      </c>
      <c r="U85" s="1">
        <v>87</v>
      </c>
      <c r="V85" s="1">
        <v>72</v>
      </c>
      <c r="W85" s="1">
        <v>66</v>
      </c>
      <c r="X85" s="1">
        <v>54</v>
      </c>
      <c r="Y85" s="1">
        <v>12</v>
      </c>
      <c r="Z85" s="1">
        <v>12</v>
      </c>
      <c r="AA85" s="1">
        <v>97</v>
      </c>
      <c r="AB85" s="1">
        <v>17</v>
      </c>
      <c r="AC85" s="1">
        <v>28</v>
      </c>
      <c r="AD85" s="1">
        <v>116</v>
      </c>
      <c r="AE85" s="1">
        <v>34</v>
      </c>
      <c r="AF85" s="18">
        <f t="shared" si="1"/>
        <v>38.533333333333331</v>
      </c>
    </row>
    <row r="86" spans="1:32" x14ac:dyDescent="0.35">
      <c r="A86" s="1" t="s">
        <v>63</v>
      </c>
      <c r="B86" s="1">
        <v>79</v>
      </c>
      <c r="C86" s="1">
        <v>52</v>
      </c>
      <c r="D86" s="1">
        <v>21</v>
      </c>
      <c r="E86" s="1">
        <v>27</v>
      </c>
      <c r="F86" s="1">
        <v>40</v>
      </c>
      <c r="G86" s="1">
        <v>61</v>
      </c>
      <c r="H86" s="1">
        <v>40</v>
      </c>
      <c r="I86" s="1">
        <v>71</v>
      </c>
      <c r="J86" s="1">
        <v>102</v>
      </c>
      <c r="K86" s="1">
        <v>117</v>
      </c>
      <c r="L86" s="1">
        <v>151</v>
      </c>
      <c r="M86" s="1">
        <v>35</v>
      </c>
      <c r="N86" s="1">
        <v>114</v>
      </c>
      <c r="O86" s="1">
        <v>31</v>
      </c>
      <c r="P86" s="1">
        <v>71</v>
      </c>
      <c r="Q86" s="1">
        <v>54</v>
      </c>
      <c r="R86" s="1">
        <v>14</v>
      </c>
      <c r="S86" s="1">
        <v>45</v>
      </c>
      <c r="T86" s="1">
        <v>61</v>
      </c>
      <c r="U86" s="1">
        <v>57</v>
      </c>
      <c r="V86" s="1">
        <v>129</v>
      </c>
      <c r="W86" s="1">
        <v>66</v>
      </c>
      <c r="X86" s="1">
        <v>72</v>
      </c>
      <c r="Y86" s="1">
        <v>72</v>
      </c>
      <c r="Z86" s="1">
        <v>102</v>
      </c>
      <c r="AA86" s="1">
        <v>62</v>
      </c>
      <c r="AB86" s="1">
        <v>27</v>
      </c>
      <c r="AC86" s="1">
        <v>51</v>
      </c>
      <c r="AD86" s="1">
        <v>19</v>
      </c>
      <c r="AE86" s="1">
        <v>24</v>
      </c>
      <c r="AF86" s="18">
        <f t="shared" si="1"/>
        <v>62.233333333333334</v>
      </c>
    </row>
    <row r="87" spans="1:32" x14ac:dyDescent="0.35">
      <c r="A87" s="1" t="s">
        <v>64</v>
      </c>
      <c r="B87" s="1">
        <v>115</v>
      </c>
      <c r="C87" s="1">
        <v>13</v>
      </c>
      <c r="D87" s="1">
        <v>163</v>
      </c>
      <c r="E87" s="1">
        <v>26</v>
      </c>
      <c r="F87" s="1">
        <v>86</v>
      </c>
      <c r="G87" s="1">
        <v>36</v>
      </c>
      <c r="H87" s="1">
        <v>29</v>
      </c>
      <c r="I87" s="1">
        <v>73</v>
      </c>
      <c r="J87" s="1">
        <v>79</v>
      </c>
      <c r="K87" s="1">
        <v>96</v>
      </c>
      <c r="L87" s="1">
        <v>48</v>
      </c>
      <c r="M87" s="1">
        <v>212</v>
      </c>
      <c r="N87" s="1">
        <v>14</v>
      </c>
      <c r="O87" s="1">
        <v>23</v>
      </c>
      <c r="P87" s="1">
        <v>358</v>
      </c>
      <c r="Q87" s="1">
        <v>22</v>
      </c>
      <c r="R87" s="1">
        <v>69</v>
      </c>
      <c r="S87" s="1">
        <v>39</v>
      </c>
      <c r="T87" s="1">
        <v>27</v>
      </c>
      <c r="U87" s="1">
        <v>87</v>
      </c>
      <c r="V87" s="1">
        <v>101</v>
      </c>
      <c r="W87" s="1">
        <v>12</v>
      </c>
      <c r="X87" s="1">
        <v>111</v>
      </c>
      <c r="Y87" s="1">
        <v>22</v>
      </c>
      <c r="Z87" s="1">
        <v>51</v>
      </c>
      <c r="AA87" s="1">
        <v>71</v>
      </c>
      <c r="AB87" s="1">
        <v>41</v>
      </c>
      <c r="AC87" s="1">
        <v>107</v>
      </c>
      <c r="AD87" s="1">
        <v>76</v>
      </c>
      <c r="AE87" s="1">
        <v>19</v>
      </c>
      <c r="AF87" s="18">
        <f t="shared" si="1"/>
        <v>74.2</v>
      </c>
    </row>
    <row r="88" spans="1:32" x14ac:dyDescent="0.35">
      <c r="A88" s="1" t="s">
        <v>182</v>
      </c>
      <c r="B88" s="1">
        <v>38</v>
      </c>
      <c r="C88" s="1">
        <v>77</v>
      </c>
      <c r="D88" s="1">
        <v>32</v>
      </c>
      <c r="E88" s="1">
        <v>72</v>
      </c>
      <c r="F88" s="1">
        <v>36</v>
      </c>
      <c r="G88" s="1">
        <v>38</v>
      </c>
      <c r="H88" s="1">
        <v>46</v>
      </c>
      <c r="I88" s="1">
        <v>97</v>
      </c>
      <c r="J88" s="1">
        <v>22</v>
      </c>
      <c r="K88" s="1">
        <v>16</v>
      </c>
      <c r="L88" s="1">
        <v>29</v>
      </c>
      <c r="M88" s="1">
        <v>65</v>
      </c>
      <c r="N88" s="1">
        <v>14</v>
      </c>
      <c r="O88" s="1">
        <v>201</v>
      </c>
      <c r="P88" s="1">
        <v>61</v>
      </c>
      <c r="Q88" s="1">
        <v>117</v>
      </c>
      <c r="R88" s="1">
        <v>145</v>
      </c>
      <c r="S88" s="1">
        <v>301</v>
      </c>
      <c r="T88" s="1">
        <v>41</v>
      </c>
      <c r="U88" s="1">
        <v>142</v>
      </c>
      <c r="V88" s="1">
        <v>60</v>
      </c>
      <c r="W88" s="1">
        <v>108</v>
      </c>
      <c r="X88" s="1">
        <v>33</v>
      </c>
      <c r="Y88" s="1">
        <v>20</v>
      </c>
      <c r="Z88" s="1">
        <v>49</v>
      </c>
      <c r="AA88" s="1">
        <v>26</v>
      </c>
      <c r="AB88" s="1">
        <v>39</v>
      </c>
      <c r="AC88" s="1">
        <v>101</v>
      </c>
      <c r="AD88" s="1">
        <v>198</v>
      </c>
      <c r="AE88" s="1">
        <v>42</v>
      </c>
      <c r="AF88" s="18">
        <f t="shared" si="1"/>
        <v>75.533333333333331</v>
      </c>
    </row>
    <row r="89" spans="1:32" x14ac:dyDescent="0.35">
      <c r="A89" s="1" t="s">
        <v>65</v>
      </c>
      <c r="B89" s="1">
        <v>33</v>
      </c>
      <c r="C89" s="1">
        <v>41</v>
      </c>
      <c r="D89" s="1">
        <v>14</v>
      </c>
      <c r="E89" s="1">
        <v>37</v>
      </c>
      <c r="F89" s="1">
        <v>13</v>
      </c>
      <c r="G89" s="1">
        <v>12</v>
      </c>
      <c r="H89" s="1">
        <v>38</v>
      </c>
      <c r="I89" s="1">
        <v>12</v>
      </c>
      <c r="J89" s="1">
        <v>44</v>
      </c>
      <c r="K89" s="1">
        <v>35</v>
      </c>
      <c r="L89" s="1">
        <v>32</v>
      </c>
      <c r="M89" s="1">
        <v>35</v>
      </c>
      <c r="N89" s="1">
        <v>68</v>
      </c>
      <c r="O89" s="1">
        <v>79</v>
      </c>
      <c r="P89" s="1">
        <v>100</v>
      </c>
      <c r="Q89" s="1">
        <v>60</v>
      </c>
      <c r="R89" s="1">
        <v>33</v>
      </c>
      <c r="S89" s="1">
        <v>46</v>
      </c>
      <c r="T89" s="1">
        <v>61</v>
      </c>
      <c r="U89" s="1">
        <v>15</v>
      </c>
      <c r="V89" s="1">
        <v>24</v>
      </c>
      <c r="W89" s="1">
        <v>48</v>
      </c>
      <c r="X89" s="1">
        <v>38</v>
      </c>
      <c r="Y89" s="1">
        <v>29</v>
      </c>
      <c r="Z89" s="1">
        <v>41</v>
      </c>
      <c r="AA89" s="1">
        <v>20</v>
      </c>
      <c r="AB89" s="1">
        <v>29</v>
      </c>
      <c r="AC89" s="1">
        <v>55</v>
      </c>
      <c r="AD89" s="1">
        <v>16</v>
      </c>
      <c r="AE89" s="1">
        <v>27</v>
      </c>
      <c r="AF89" s="18">
        <f t="shared" si="1"/>
        <v>37.833333333333336</v>
      </c>
    </row>
    <row r="90" spans="1:32" x14ac:dyDescent="0.35">
      <c r="A90" s="1" t="s">
        <v>66</v>
      </c>
      <c r="B90" s="1">
        <v>47</v>
      </c>
      <c r="C90" s="1">
        <v>83</v>
      </c>
      <c r="D90" s="1">
        <v>22</v>
      </c>
      <c r="E90" s="1">
        <v>171</v>
      </c>
      <c r="F90" s="1">
        <v>21</v>
      </c>
      <c r="G90" s="1">
        <v>49</v>
      </c>
      <c r="H90" s="1">
        <v>33</v>
      </c>
      <c r="I90" s="1">
        <v>68</v>
      </c>
      <c r="J90" s="1">
        <v>46</v>
      </c>
      <c r="K90" s="1">
        <v>34</v>
      </c>
      <c r="L90" s="1">
        <v>15</v>
      </c>
      <c r="M90" s="1">
        <v>22</v>
      </c>
      <c r="N90" s="1">
        <v>57</v>
      </c>
      <c r="O90" s="1">
        <v>18</v>
      </c>
      <c r="P90" s="1">
        <v>13</v>
      </c>
      <c r="Q90" s="1">
        <v>34</v>
      </c>
      <c r="R90" s="1">
        <v>23</v>
      </c>
      <c r="S90" s="1">
        <v>26</v>
      </c>
      <c r="T90" s="1">
        <v>24</v>
      </c>
      <c r="U90" s="1">
        <v>48</v>
      </c>
      <c r="V90" s="1">
        <v>18</v>
      </c>
      <c r="W90" s="1">
        <v>18</v>
      </c>
      <c r="X90" s="1">
        <v>16</v>
      </c>
      <c r="Y90" s="1">
        <v>59</v>
      </c>
      <c r="Z90" s="1">
        <v>77</v>
      </c>
      <c r="AA90" s="1">
        <v>75</v>
      </c>
      <c r="AB90" s="1">
        <v>21</v>
      </c>
      <c r="AC90" s="1">
        <v>41</v>
      </c>
      <c r="AD90" s="1">
        <v>41</v>
      </c>
      <c r="AE90" s="1">
        <v>38</v>
      </c>
      <c r="AF90" s="18">
        <f t="shared" si="1"/>
        <v>41.93333333333333</v>
      </c>
    </row>
    <row r="91" spans="1:32" x14ac:dyDescent="0.35">
      <c r="A91" s="1" t="s">
        <v>67</v>
      </c>
      <c r="B91" s="1">
        <v>24</v>
      </c>
      <c r="C91" s="1">
        <v>50</v>
      </c>
      <c r="D91" s="1">
        <v>83</v>
      </c>
      <c r="E91" s="1">
        <v>33</v>
      </c>
      <c r="F91" s="1">
        <v>85</v>
      </c>
      <c r="G91" s="1">
        <v>13</v>
      </c>
      <c r="H91" s="1">
        <v>105</v>
      </c>
      <c r="I91" s="1">
        <v>57</v>
      </c>
      <c r="J91" s="1">
        <v>93</v>
      </c>
      <c r="K91" s="1">
        <v>48</v>
      </c>
      <c r="L91" s="1">
        <v>29</v>
      </c>
      <c r="M91" s="1">
        <v>129</v>
      </c>
      <c r="N91" s="1">
        <v>142</v>
      </c>
      <c r="O91" s="1">
        <v>63</v>
      </c>
      <c r="P91" s="1">
        <v>74</v>
      </c>
      <c r="Q91" s="1">
        <v>126</v>
      </c>
      <c r="R91" s="1">
        <v>219</v>
      </c>
      <c r="S91" s="1">
        <v>72</v>
      </c>
      <c r="T91" s="1">
        <v>43</v>
      </c>
      <c r="U91" s="1">
        <v>62</v>
      </c>
      <c r="V91" s="1">
        <v>29</v>
      </c>
      <c r="W91" s="1">
        <v>59</v>
      </c>
      <c r="X91" s="1">
        <v>126</v>
      </c>
      <c r="Y91" s="1">
        <v>89</v>
      </c>
      <c r="Z91" s="1">
        <v>98</v>
      </c>
      <c r="AA91" s="1">
        <v>34</v>
      </c>
      <c r="AB91" s="1">
        <v>145</v>
      </c>
      <c r="AC91" s="1">
        <v>23</v>
      </c>
      <c r="AD91" s="1">
        <v>220</v>
      </c>
      <c r="AE91" s="1">
        <v>254</v>
      </c>
      <c r="AF91" s="18">
        <f t="shared" si="1"/>
        <v>87.566666666666663</v>
      </c>
    </row>
    <row r="92" spans="1:32" x14ac:dyDescent="0.35">
      <c r="A92" s="1" t="s">
        <v>68</v>
      </c>
      <c r="B92" s="1">
        <v>107</v>
      </c>
      <c r="C92" s="1">
        <v>15</v>
      </c>
      <c r="D92" s="1">
        <v>312</v>
      </c>
      <c r="E92" s="1">
        <v>57</v>
      </c>
      <c r="F92" s="1">
        <v>28</v>
      </c>
      <c r="G92" s="1">
        <v>155</v>
      </c>
      <c r="H92" s="1">
        <v>68</v>
      </c>
      <c r="I92" s="1">
        <v>16</v>
      </c>
      <c r="J92" s="1">
        <v>60</v>
      </c>
      <c r="K92" s="1">
        <v>195</v>
      </c>
      <c r="L92" s="1">
        <v>114</v>
      </c>
      <c r="M92" s="1">
        <v>46</v>
      </c>
      <c r="N92" s="1">
        <v>46</v>
      </c>
      <c r="O92" s="1">
        <v>133</v>
      </c>
      <c r="P92" s="1">
        <v>234</v>
      </c>
      <c r="Q92" s="1">
        <v>13</v>
      </c>
      <c r="R92" s="1">
        <v>15</v>
      </c>
      <c r="S92" s="1">
        <v>58</v>
      </c>
      <c r="T92" s="1">
        <v>64</v>
      </c>
      <c r="U92" s="1">
        <v>28</v>
      </c>
      <c r="V92" s="1">
        <v>46</v>
      </c>
      <c r="W92" s="1">
        <v>59</v>
      </c>
      <c r="X92" s="1">
        <v>56</v>
      </c>
      <c r="Y92" s="1">
        <v>124</v>
      </c>
      <c r="Z92" s="1">
        <v>25</v>
      </c>
      <c r="AA92" s="1">
        <v>291</v>
      </c>
      <c r="AB92" s="1">
        <v>104</v>
      </c>
      <c r="AC92" s="1">
        <v>73</v>
      </c>
      <c r="AD92" s="1">
        <v>28</v>
      </c>
      <c r="AE92" s="1">
        <v>104</v>
      </c>
      <c r="AF92" s="18">
        <f t="shared" si="1"/>
        <v>89.13333333333334</v>
      </c>
    </row>
    <row r="93" spans="1:32" x14ac:dyDescent="0.35">
      <c r="A93" s="1" t="s">
        <v>69</v>
      </c>
      <c r="B93" s="1">
        <v>51</v>
      </c>
      <c r="C93" s="1">
        <v>87</v>
      </c>
      <c r="D93" s="1">
        <v>24</v>
      </c>
      <c r="E93" s="1">
        <v>182</v>
      </c>
      <c r="F93" s="1">
        <v>50</v>
      </c>
      <c r="G93" s="1">
        <v>23</v>
      </c>
      <c r="H93" s="1">
        <v>45</v>
      </c>
      <c r="I93" s="1">
        <v>22</v>
      </c>
      <c r="J93" s="1">
        <v>14</v>
      </c>
      <c r="K93" s="1">
        <v>23</v>
      </c>
      <c r="L93" s="1">
        <v>22</v>
      </c>
      <c r="M93" s="1">
        <v>43</v>
      </c>
      <c r="N93" s="1">
        <v>33</v>
      </c>
      <c r="O93" s="1">
        <v>32</v>
      </c>
      <c r="P93" s="1">
        <v>23</v>
      </c>
      <c r="Q93" s="1">
        <v>73</v>
      </c>
      <c r="R93" s="1">
        <v>29</v>
      </c>
      <c r="S93" s="1">
        <v>84</v>
      </c>
      <c r="T93" s="1">
        <v>14</v>
      </c>
      <c r="U93" s="1">
        <v>34</v>
      </c>
      <c r="V93" s="1">
        <v>43</v>
      </c>
      <c r="W93" s="1">
        <v>51</v>
      </c>
      <c r="X93" s="1">
        <v>41</v>
      </c>
      <c r="Y93" s="1">
        <v>21</v>
      </c>
      <c r="Z93" s="1">
        <v>22</v>
      </c>
      <c r="AA93" s="1">
        <v>24</v>
      </c>
      <c r="AB93" s="1">
        <v>20</v>
      </c>
      <c r="AC93" s="1">
        <v>45</v>
      </c>
      <c r="AD93" s="1">
        <v>34</v>
      </c>
      <c r="AE93" s="1">
        <v>18</v>
      </c>
      <c r="AF93" s="18">
        <f t="shared" si="1"/>
        <v>40.9</v>
      </c>
    </row>
    <row r="94" spans="1:32" x14ac:dyDescent="0.35">
      <c r="A94" s="1" t="s">
        <v>70</v>
      </c>
      <c r="B94" s="1">
        <v>28</v>
      </c>
      <c r="C94" s="1">
        <v>54</v>
      </c>
      <c r="D94" s="1">
        <v>75</v>
      </c>
      <c r="E94" s="1">
        <v>18</v>
      </c>
      <c r="F94" s="1">
        <v>33</v>
      </c>
      <c r="G94" s="1">
        <v>78</v>
      </c>
      <c r="H94" s="1">
        <v>66</v>
      </c>
      <c r="I94" s="1">
        <v>12</v>
      </c>
      <c r="J94" s="1">
        <v>22</v>
      </c>
      <c r="K94" s="1">
        <v>43</v>
      </c>
      <c r="L94" s="1">
        <v>87</v>
      </c>
      <c r="M94" s="1">
        <v>42</v>
      </c>
      <c r="N94" s="1">
        <v>15</v>
      </c>
      <c r="O94" s="1">
        <v>41</v>
      </c>
      <c r="P94" s="1">
        <v>16</v>
      </c>
      <c r="Q94" s="1">
        <v>51</v>
      </c>
      <c r="R94" s="1">
        <v>32</v>
      </c>
      <c r="S94" s="1">
        <v>73</v>
      </c>
      <c r="T94" s="1">
        <v>23</v>
      </c>
      <c r="U94" s="1">
        <v>13</v>
      </c>
      <c r="V94" s="1">
        <v>13</v>
      </c>
      <c r="W94" s="1">
        <v>67</v>
      </c>
      <c r="X94" s="1">
        <v>15</v>
      </c>
      <c r="Y94" s="1">
        <v>56</v>
      </c>
      <c r="Z94" s="1">
        <v>43</v>
      </c>
      <c r="AA94" s="1">
        <v>73</v>
      </c>
      <c r="AB94" s="1">
        <v>23</v>
      </c>
      <c r="AC94" s="1">
        <v>22</v>
      </c>
      <c r="AD94" s="1">
        <v>31</v>
      </c>
      <c r="AE94" s="1">
        <v>22</v>
      </c>
      <c r="AF94" s="18">
        <f t="shared" si="1"/>
        <v>39.56666666666667</v>
      </c>
    </row>
    <row r="95" spans="1:32" x14ac:dyDescent="0.35">
      <c r="A95" s="1" t="s">
        <v>71</v>
      </c>
      <c r="B95" s="1">
        <v>348</v>
      </c>
      <c r="C95" s="1">
        <v>70</v>
      </c>
      <c r="D95" s="1">
        <v>132</v>
      </c>
      <c r="E95" s="1">
        <v>25</v>
      </c>
      <c r="F95" s="1">
        <v>38</v>
      </c>
      <c r="G95" s="1">
        <v>58</v>
      </c>
      <c r="H95" s="1">
        <v>38</v>
      </c>
      <c r="I95" s="1">
        <v>208</v>
      </c>
      <c r="J95" s="1">
        <v>69</v>
      </c>
      <c r="K95" s="1">
        <v>22</v>
      </c>
      <c r="L95" s="1">
        <v>196</v>
      </c>
      <c r="M95" s="1">
        <v>59</v>
      </c>
      <c r="N95" s="1">
        <v>136</v>
      </c>
      <c r="O95" s="1">
        <v>16</v>
      </c>
      <c r="P95" s="1">
        <v>22</v>
      </c>
      <c r="Q95" s="1">
        <v>76</v>
      </c>
      <c r="R95" s="1">
        <v>45</v>
      </c>
      <c r="S95" s="1">
        <v>52</v>
      </c>
      <c r="T95" s="1">
        <v>12</v>
      </c>
      <c r="U95" s="1">
        <v>33</v>
      </c>
      <c r="V95" s="1">
        <v>45</v>
      </c>
      <c r="W95" s="1">
        <v>22</v>
      </c>
      <c r="X95" s="1">
        <v>62</v>
      </c>
      <c r="Y95" s="1">
        <v>47</v>
      </c>
      <c r="Z95" s="1">
        <v>61</v>
      </c>
      <c r="AA95" s="1">
        <v>15</v>
      </c>
      <c r="AB95" s="1">
        <v>35</v>
      </c>
      <c r="AC95" s="1">
        <v>14</v>
      </c>
      <c r="AD95" s="1">
        <v>110</v>
      </c>
      <c r="AE95" s="1">
        <v>202</v>
      </c>
      <c r="AF95" s="18">
        <f t="shared" si="1"/>
        <v>75.599999999999994</v>
      </c>
    </row>
    <row r="96" spans="1:32" x14ac:dyDescent="0.35">
      <c r="A96" s="1" t="s">
        <v>72</v>
      </c>
      <c r="B96" s="1">
        <v>84</v>
      </c>
      <c r="C96" s="1">
        <v>53</v>
      </c>
      <c r="D96" s="1">
        <v>43</v>
      </c>
      <c r="E96" s="1">
        <v>61</v>
      </c>
      <c r="F96" s="1">
        <v>16</v>
      </c>
      <c r="G96" s="1">
        <v>26</v>
      </c>
      <c r="H96" s="1">
        <v>120</v>
      </c>
      <c r="I96" s="1">
        <v>31</v>
      </c>
      <c r="J96" s="1">
        <v>84</v>
      </c>
      <c r="K96" s="1">
        <v>21</v>
      </c>
      <c r="L96" s="1">
        <v>90</v>
      </c>
      <c r="M96" s="1">
        <v>14</v>
      </c>
      <c r="N96" s="1">
        <v>100</v>
      </c>
      <c r="O96" s="1">
        <v>24</v>
      </c>
      <c r="P96" s="1">
        <v>49</v>
      </c>
      <c r="Q96" s="1">
        <v>33</v>
      </c>
      <c r="R96" s="1">
        <v>32</v>
      </c>
      <c r="S96" s="1">
        <v>14</v>
      </c>
      <c r="T96" s="1">
        <v>125</v>
      </c>
      <c r="U96" s="1">
        <v>137</v>
      </c>
      <c r="V96" s="1">
        <v>32</v>
      </c>
      <c r="W96" s="1">
        <v>70</v>
      </c>
      <c r="X96" s="1">
        <v>27</v>
      </c>
      <c r="Y96" s="1">
        <v>12</v>
      </c>
      <c r="Z96" s="1">
        <v>28</v>
      </c>
      <c r="AA96" s="1">
        <v>78</v>
      </c>
      <c r="AB96" s="1">
        <v>21</v>
      </c>
      <c r="AC96" s="1">
        <v>54</v>
      </c>
      <c r="AD96" s="1">
        <v>73</v>
      </c>
      <c r="AE96" s="1">
        <v>55</v>
      </c>
      <c r="AF96" s="18">
        <f t="shared" si="1"/>
        <v>53.56666666666667</v>
      </c>
    </row>
    <row r="97" spans="1:32" x14ac:dyDescent="0.35">
      <c r="A97" s="1" t="s">
        <v>73</v>
      </c>
      <c r="B97" s="1">
        <v>33</v>
      </c>
      <c r="C97" s="1">
        <v>74</v>
      </c>
      <c r="D97" s="1">
        <v>41</v>
      </c>
      <c r="E97" s="1">
        <v>19</v>
      </c>
      <c r="F97" s="1">
        <v>65</v>
      </c>
      <c r="G97" s="1">
        <v>32</v>
      </c>
      <c r="H97" s="1">
        <v>96</v>
      </c>
      <c r="I97" s="1">
        <v>25</v>
      </c>
      <c r="J97" s="1">
        <v>128</v>
      </c>
      <c r="K97" s="1">
        <v>12</v>
      </c>
      <c r="L97" s="1">
        <v>84</v>
      </c>
      <c r="M97" s="1">
        <v>73</v>
      </c>
      <c r="N97" s="1">
        <v>33</v>
      </c>
      <c r="O97" s="1">
        <v>36</v>
      </c>
      <c r="P97" s="1">
        <v>41</v>
      </c>
      <c r="Q97" s="1">
        <v>19</v>
      </c>
      <c r="R97" s="1">
        <v>36</v>
      </c>
      <c r="S97" s="1">
        <v>207</v>
      </c>
      <c r="T97" s="1">
        <v>22</v>
      </c>
      <c r="U97" s="1">
        <v>27</v>
      </c>
      <c r="V97" s="1">
        <v>32</v>
      </c>
      <c r="W97" s="1">
        <v>16</v>
      </c>
      <c r="X97" s="1">
        <v>31</v>
      </c>
      <c r="Y97" s="1">
        <v>31</v>
      </c>
      <c r="Z97" s="1">
        <v>120</v>
      </c>
      <c r="AA97" s="1">
        <v>41</v>
      </c>
      <c r="AB97" s="1">
        <v>12</v>
      </c>
      <c r="AC97" s="1">
        <v>33</v>
      </c>
      <c r="AD97" s="1">
        <v>19</v>
      </c>
      <c r="AE97" s="1">
        <v>17</v>
      </c>
      <c r="AF97" s="18">
        <f t="shared" si="1"/>
        <v>48.5</v>
      </c>
    </row>
    <row r="98" spans="1:32" x14ac:dyDescent="0.35">
      <c r="A98" s="1" t="s">
        <v>74</v>
      </c>
      <c r="B98" s="1">
        <v>63</v>
      </c>
      <c r="C98" s="1">
        <v>154</v>
      </c>
      <c r="D98" s="1">
        <v>38</v>
      </c>
      <c r="E98" s="1">
        <v>171</v>
      </c>
      <c r="F98" s="1">
        <v>18</v>
      </c>
      <c r="G98" s="1">
        <v>12</v>
      </c>
      <c r="H98" s="1">
        <v>58</v>
      </c>
      <c r="I98" s="1">
        <v>27</v>
      </c>
      <c r="J98" s="1">
        <v>79</v>
      </c>
      <c r="K98" s="1">
        <v>67</v>
      </c>
      <c r="L98" s="1">
        <v>117</v>
      </c>
      <c r="M98" s="1">
        <v>16</v>
      </c>
      <c r="N98" s="1">
        <v>18</v>
      </c>
      <c r="O98" s="1">
        <v>30</v>
      </c>
      <c r="P98" s="1">
        <v>21</v>
      </c>
      <c r="Q98" s="1">
        <v>55</v>
      </c>
      <c r="R98" s="1">
        <v>66</v>
      </c>
      <c r="S98" s="1">
        <v>16</v>
      </c>
      <c r="T98" s="1">
        <v>37</v>
      </c>
      <c r="U98" s="1">
        <v>51</v>
      </c>
      <c r="V98" s="1">
        <v>15</v>
      </c>
      <c r="W98" s="1">
        <v>14</v>
      </c>
      <c r="X98" s="1">
        <v>170</v>
      </c>
      <c r="Y98" s="1">
        <v>16</v>
      </c>
      <c r="Z98" s="1">
        <v>25</v>
      </c>
      <c r="AA98" s="1">
        <v>23</v>
      </c>
      <c r="AB98" s="1">
        <v>283</v>
      </c>
      <c r="AC98" s="1">
        <v>31</v>
      </c>
      <c r="AD98" s="1">
        <v>19</v>
      </c>
      <c r="AE98" s="1">
        <v>59</v>
      </c>
      <c r="AF98" s="18">
        <f t="shared" si="1"/>
        <v>58.966666666666669</v>
      </c>
    </row>
    <row r="99" spans="1:32" x14ac:dyDescent="0.35">
      <c r="A99" s="1" t="s">
        <v>75</v>
      </c>
      <c r="B99" s="1">
        <v>40</v>
      </c>
      <c r="C99" s="1">
        <v>20</v>
      </c>
      <c r="D99" s="1">
        <v>63</v>
      </c>
      <c r="E99" s="1">
        <v>76</v>
      </c>
      <c r="F99" s="1">
        <v>77</v>
      </c>
      <c r="G99" s="1">
        <v>36</v>
      </c>
      <c r="H99" s="1">
        <v>57</v>
      </c>
      <c r="I99" s="1">
        <v>27</v>
      </c>
      <c r="J99" s="1">
        <v>64</v>
      </c>
      <c r="K99" s="1">
        <v>42</v>
      </c>
      <c r="L99" s="1">
        <v>17</v>
      </c>
      <c r="M99" s="1">
        <v>16</v>
      </c>
      <c r="N99" s="1">
        <v>41</v>
      </c>
      <c r="O99" s="1">
        <v>66</v>
      </c>
      <c r="P99" s="1">
        <v>21</v>
      </c>
      <c r="Q99" s="1">
        <v>29</v>
      </c>
      <c r="R99" s="1">
        <v>28</v>
      </c>
      <c r="S99" s="1">
        <v>68</v>
      </c>
      <c r="T99" s="1">
        <v>48</v>
      </c>
      <c r="U99" s="1">
        <v>154</v>
      </c>
      <c r="V99" s="1">
        <v>72</v>
      </c>
      <c r="W99" s="1">
        <v>30</v>
      </c>
      <c r="X99" s="1">
        <v>94</v>
      </c>
      <c r="Y99" s="1">
        <v>32</v>
      </c>
      <c r="Z99" s="1">
        <v>28</v>
      </c>
      <c r="AA99" s="1">
        <v>67</v>
      </c>
      <c r="AB99" s="1">
        <v>22</v>
      </c>
      <c r="AC99" s="1">
        <v>79</v>
      </c>
      <c r="AD99" s="1">
        <v>40</v>
      </c>
      <c r="AE99" s="1">
        <v>12</v>
      </c>
      <c r="AF99" s="18">
        <f t="shared" si="1"/>
        <v>48.866666666666667</v>
      </c>
    </row>
    <row r="100" spans="1:32" x14ac:dyDescent="0.35">
      <c r="A100" s="1" t="s">
        <v>76</v>
      </c>
      <c r="B100" s="1">
        <v>85</v>
      </c>
      <c r="C100" s="1">
        <v>101</v>
      </c>
      <c r="D100" s="1">
        <v>16</v>
      </c>
      <c r="E100" s="1">
        <v>48</v>
      </c>
      <c r="F100" s="1">
        <v>33</v>
      </c>
      <c r="G100" s="1">
        <v>103</v>
      </c>
      <c r="H100" s="1">
        <v>31</v>
      </c>
      <c r="I100" s="1">
        <v>66</v>
      </c>
      <c r="J100" s="1">
        <v>25</v>
      </c>
      <c r="K100" s="1">
        <v>51</v>
      </c>
      <c r="L100" s="1">
        <v>110</v>
      </c>
      <c r="M100" s="1">
        <v>456</v>
      </c>
      <c r="N100" s="1">
        <v>181</v>
      </c>
      <c r="O100" s="1">
        <v>26</v>
      </c>
      <c r="P100" s="1">
        <v>125</v>
      </c>
      <c r="Q100" s="1">
        <v>129</v>
      </c>
      <c r="R100" s="1">
        <v>67</v>
      </c>
      <c r="S100" s="1">
        <v>61</v>
      </c>
      <c r="T100" s="1">
        <v>47</v>
      </c>
      <c r="U100" s="1">
        <v>134</v>
      </c>
      <c r="V100" s="1">
        <v>19</v>
      </c>
      <c r="W100" s="1">
        <v>76</v>
      </c>
      <c r="X100" s="1">
        <v>21</v>
      </c>
      <c r="Y100" s="1">
        <v>22</v>
      </c>
      <c r="Z100" s="1">
        <v>69</v>
      </c>
      <c r="AA100" s="1">
        <v>17</v>
      </c>
      <c r="AB100" s="1">
        <v>29</v>
      </c>
      <c r="AC100" s="1">
        <v>99</v>
      </c>
      <c r="AD100" s="1">
        <v>499</v>
      </c>
      <c r="AE100" s="1">
        <v>15</v>
      </c>
      <c r="AF100" s="18">
        <f t="shared" si="1"/>
        <v>92.033333333333331</v>
      </c>
    </row>
    <row r="101" spans="1:32" x14ac:dyDescent="0.35">
      <c r="A101" s="1" t="s">
        <v>77</v>
      </c>
      <c r="B101" s="1">
        <v>44</v>
      </c>
      <c r="C101" s="1">
        <v>393</v>
      </c>
      <c r="D101" s="1">
        <v>25</v>
      </c>
      <c r="E101" s="1">
        <v>183</v>
      </c>
      <c r="F101" s="1">
        <v>84</v>
      </c>
      <c r="G101" s="1">
        <v>12</v>
      </c>
      <c r="H101" s="1">
        <v>55</v>
      </c>
      <c r="I101" s="1">
        <v>68</v>
      </c>
      <c r="J101" s="1">
        <v>62</v>
      </c>
      <c r="K101" s="1">
        <v>21</v>
      </c>
      <c r="L101" s="1">
        <v>76</v>
      </c>
      <c r="M101" s="1">
        <v>58</v>
      </c>
      <c r="N101" s="1">
        <v>88</v>
      </c>
      <c r="O101" s="1">
        <v>156</v>
      </c>
      <c r="P101" s="1">
        <v>85</v>
      </c>
      <c r="Q101" s="1">
        <v>118</v>
      </c>
      <c r="R101" s="1">
        <v>113</v>
      </c>
      <c r="S101" s="1">
        <v>13</v>
      </c>
      <c r="T101" s="1">
        <v>218</v>
      </c>
      <c r="U101" s="1">
        <v>31</v>
      </c>
      <c r="V101" s="1">
        <v>24</v>
      </c>
      <c r="W101" s="1">
        <v>20</v>
      </c>
      <c r="X101" s="1">
        <v>67</v>
      </c>
      <c r="Y101" s="1">
        <v>150</v>
      </c>
      <c r="Z101" s="1">
        <v>24</v>
      </c>
      <c r="AA101" s="1">
        <v>48</v>
      </c>
      <c r="AB101" s="1">
        <v>51</v>
      </c>
      <c r="AC101" s="1">
        <v>16</v>
      </c>
      <c r="AD101" s="1">
        <v>92</v>
      </c>
      <c r="AE101" s="1">
        <v>40</v>
      </c>
      <c r="AF101" s="18">
        <f t="shared" si="1"/>
        <v>81.166666666666671</v>
      </c>
    </row>
    <row r="102" spans="1:32" x14ac:dyDescent="0.35">
      <c r="A102" s="1" t="s">
        <v>78</v>
      </c>
      <c r="B102" s="1">
        <v>81</v>
      </c>
      <c r="C102" s="1">
        <v>58</v>
      </c>
      <c r="D102" s="1">
        <v>39</v>
      </c>
      <c r="E102" s="1">
        <v>18</v>
      </c>
      <c r="F102" s="1">
        <v>21</v>
      </c>
      <c r="G102" s="1">
        <v>45</v>
      </c>
      <c r="H102" s="1">
        <v>36</v>
      </c>
      <c r="I102" s="1">
        <v>17</v>
      </c>
      <c r="J102" s="1">
        <v>13</v>
      </c>
      <c r="K102" s="1">
        <v>74</v>
      </c>
      <c r="L102" s="1">
        <v>13</v>
      </c>
      <c r="M102" s="1">
        <v>26</v>
      </c>
      <c r="N102" s="1">
        <v>136</v>
      </c>
      <c r="O102" s="1">
        <v>27</v>
      </c>
      <c r="P102" s="1">
        <v>74</v>
      </c>
      <c r="Q102" s="1">
        <v>62</v>
      </c>
      <c r="R102" s="1">
        <v>32</v>
      </c>
      <c r="S102" s="1">
        <v>19</v>
      </c>
      <c r="T102" s="1">
        <v>13</v>
      </c>
      <c r="U102" s="1">
        <v>19</v>
      </c>
      <c r="V102" s="1">
        <v>137</v>
      </c>
      <c r="W102" s="1">
        <v>13</v>
      </c>
      <c r="X102" s="1">
        <v>22</v>
      </c>
      <c r="Y102" s="1">
        <v>29</v>
      </c>
      <c r="Z102" s="1">
        <v>36</v>
      </c>
      <c r="AA102" s="1">
        <v>39</v>
      </c>
      <c r="AB102" s="1">
        <v>21</v>
      </c>
      <c r="AC102" s="1">
        <v>33</v>
      </c>
      <c r="AD102" s="1">
        <v>114</v>
      </c>
      <c r="AE102" s="1">
        <v>22</v>
      </c>
      <c r="AF102" s="18">
        <f t="shared" si="1"/>
        <v>42.966666666666669</v>
      </c>
    </row>
    <row r="103" spans="1:32" x14ac:dyDescent="0.35">
      <c r="A103" s="1" t="s">
        <v>79</v>
      </c>
      <c r="B103" s="1">
        <v>24</v>
      </c>
      <c r="C103" s="1">
        <v>37</v>
      </c>
      <c r="D103" s="1">
        <v>12</v>
      </c>
      <c r="E103" s="1">
        <v>117</v>
      </c>
      <c r="F103" s="1">
        <v>101</v>
      </c>
      <c r="G103" s="1">
        <v>117</v>
      </c>
      <c r="H103" s="1">
        <v>184</v>
      </c>
      <c r="I103" s="1">
        <v>50</v>
      </c>
      <c r="J103" s="1">
        <v>89</v>
      </c>
      <c r="K103" s="1">
        <v>40</v>
      </c>
      <c r="L103" s="1">
        <v>80</v>
      </c>
      <c r="M103" s="1">
        <v>268</v>
      </c>
      <c r="N103" s="1">
        <v>99</v>
      </c>
      <c r="O103" s="1">
        <v>58</v>
      </c>
      <c r="P103" s="1">
        <v>33</v>
      </c>
      <c r="Q103" s="1">
        <v>50</v>
      </c>
      <c r="R103" s="1">
        <v>89</v>
      </c>
      <c r="S103" s="1">
        <v>82</v>
      </c>
      <c r="T103" s="1">
        <v>299</v>
      </c>
      <c r="U103" s="1">
        <v>17</v>
      </c>
      <c r="V103" s="1">
        <v>13</v>
      </c>
      <c r="W103" s="1">
        <v>104</v>
      </c>
      <c r="X103" s="1">
        <v>22</v>
      </c>
      <c r="Y103" s="1">
        <v>41</v>
      </c>
      <c r="Z103" s="1">
        <v>57</v>
      </c>
      <c r="AA103" s="1">
        <v>40</v>
      </c>
      <c r="AB103" s="1">
        <v>60</v>
      </c>
      <c r="AC103" s="1">
        <v>25</v>
      </c>
      <c r="AD103" s="1">
        <v>85</v>
      </c>
      <c r="AE103" s="1">
        <v>45</v>
      </c>
      <c r="AF103" s="18">
        <f t="shared" si="1"/>
        <v>77.933333333333337</v>
      </c>
    </row>
    <row r="104" spans="1:32" x14ac:dyDescent="0.35">
      <c r="A104" s="1" t="s">
        <v>183</v>
      </c>
      <c r="B104" s="1">
        <v>129</v>
      </c>
      <c r="C104" s="1">
        <v>99</v>
      </c>
      <c r="D104" s="1">
        <v>103</v>
      </c>
      <c r="E104" s="1">
        <v>14</v>
      </c>
      <c r="F104" s="1">
        <v>27</v>
      </c>
      <c r="G104" s="1">
        <v>68</v>
      </c>
      <c r="H104" s="1">
        <v>19</v>
      </c>
      <c r="I104" s="1">
        <v>29</v>
      </c>
      <c r="J104" s="1">
        <v>32</v>
      </c>
      <c r="K104" s="1">
        <v>41</v>
      </c>
      <c r="L104" s="1">
        <v>25</v>
      </c>
      <c r="M104" s="1">
        <v>12</v>
      </c>
      <c r="N104" s="1">
        <v>68</v>
      </c>
      <c r="O104" s="1">
        <v>44</v>
      </c>
      <c r="P104" s="1">
        <v>27</v>
      </c>
      <c r="Q104" s="1">
        <v>19</v>
      </c>
      <c r="R104" s="1">
        <v>74</v>
      </c>
      <c r="S104" s="1">
        <v>15</v>
      </c>
      <c r="T104" s="1">
        <v>73</v>
      </c>
      <c r="U104" s="1">
        <v>214</v>
      </c>
      <c r="V104" s="1">
        <v>23</v>
      </c>
      <c r="W104" s="1">
        <v>25</v>
      </c>
      <c r="X104" s="1">
        <v>68</v>
      </c>
      <c r="Y104" s="1">
        <v>158</v>
      </c>
      <c r="Z104" s="1">
        <v>61</v>
      </c>
      <c r="AA104" s="1">
        <v>34</v>
      </c>
      <c r="AB104" s="1">
        <v>26</v>
      </c>
      <c r="AC104" s="1">
        <v>61</v>
      </c>
      <c r="AD104" s="1">
        <v>20</v>
      </c>
      <c r="AE104" s="1">
        <v>155</v>
      </c>
      <c r="AF104" s="18">
        <f t="shared" si="1"/>
        <v>58.766666666666666</v>
      </c>
    </row>
    <row r="105" spans="1:32" x14ac:dyDescent="0.35">
      <c r="A105" s="1" t="s">
        <v>80</v>
      </c>
      <c r="B105" s="1">
        <v>67</v>
      </c>
      <c r="C105" s="1">
        <v>20</v>
      </c>
      <c r="D105" s="1">
        <v>31</v>
      </c>
      <c r="E105" s="1">
        <v>17</v>
      </c>
      <c r="F105" s="1">
        <v>36</v>
      </c>
      <c r="G105" s="1">
        <v>22</v>
      </c>
      <c r="H105" s="1">
        <v>34</v>
      </c>
      <c r="I105" s="1">
        <v>22</v>
      </c>
      <c r="J105" s="1">
        <v>71</v>
      </c>
      <c r="K105" s="1">
        <v>78</v>
      </c>
      <c r="L105" s="1">
        <v>13</v>
      </c>
      <c r="M105" s="1">
        <v>28</v>
      </c>
      <c r="N105" s="1">
        <v>13</v>
      </c>
      <c r="O105" s="1">
        <v>131</v>
      </c>
      <c r="P105" s="1">
        <v>34</v>
      </c>
      <c r="Q105" s="1">
        <v>19</v>
      </c>
      <c r="R105" s="1">
        <v>18</v>
      </c>
      <c r="S105" s="1">
        <v>70</v>
      </c>
      <c r="T105" s="1">
        <v>52</v>
      </c>
      <c r="U105" s="1">
        <v>25</v>
      </c>
      <c r="V105" s="1">
        <v>26</v>
      </c>
      <c r="W105" s="1">
        <v>67</v>
      </c>
      <c r="X105" s="1">
        <v>44</v>
      </c>
      <c r="Y105" s="1">
        <v>13</v>
      </c>
      <c r="Z105" s="1">
        <v>14</v>
      </c>
      <c r="AA105" s="1">
        <v>105</v>
      </c>
      <c r="AB105" s="1">
        <v>58</v>
      </c>
      <c r="AC105" s="1">
        <v>15</v>
      </c>
      <c r="AD105" s="1">
        <v>12</v>
      </c>
      <c r="AE105" s="1">
        <v>31</v>
      </c>
      <c r="AF105" s="18">
        <f t="shared" si="1"/>
        <v>39.533333333333331</v>
      </c>
    </row>
    <row r="106" spans="1:32" x14ac:dyDescent="0.35">
      <c r="A106" s="1" t="s">
        <v>81</v>
      </c>
      <c r="B106" s="1">
        <v>66</v>
      </c>
      <c r="C106" s="1">
        <v>48</v>
      </c>
      <c r="D106" s="1">
        <v>44</v>
      </c>
      <c r="E106" s="1">
        <v>307</v>
      </c>
      <c r="F106" s="1">
        <v>37</v>
      </c>
      <c r="G106" s="1">
        <v>43</v>
      </c>
      <c r="H106" s="1">
        <v>101</v>
      </c>
      <c r="I106" s="1">
        <v>64</v>
      </c>
      <c r="J106" s="1">
        <v>18</v>
      </c>
      <c r="K106" s="1">
        <v>276</v>
      </c>
      <c r="L106" s="1">
        <v>24</v>
      </c>
      <c r="M106" s="1">
        <v>24</v>
      </c>
      <c r="N106" s="1">
        <v>98</v>
      </c>
      <c r="O106" s="1">
        <v>49</v>
      </c>
      <c r="P106" s="1">
        <v>41</v>
      </c>
      <c r="Q106" s="1">
        <v>98</v>
      </c>
      <c r="R106" s="1">
        <v>76</v>
      </c>
      <c r="S106" s="1">
        <v>43</v>
      </c>
      <c r="T106" s="1">
        <v>75</v>
      </c>
      <c r="U106" s="1">
        <v>61</v>
      </c>
      <c r="V106" s="1">
        <v>198</v>
      </c>
      <c r="W106" s="1">
        <v>61</v>
      </c>
      <c r="X106" s="1">
        <v>33</v>
      </c>
      <c r="Y106" s="1">
        <v>42</v>
      </c>
      <c r="Z106" s="1">
        <v>172</v>
      </c>
      <c r="AA106" s="1">
        <v>19</v>
      </c>
      <c r="AB106" s="1">
        <v>23</v>
      </c>
      <c r="AC106" s="1">
        <v>166</v>
      </c>
      <c r="AD106" s="1">
        <v>179</v>
      </c>
      <c r="AE106" s="1">
        <v>56</v>
      </c>
      <c r="AF106" s="18">
        <f t="shared" si="1"/>
        <v>84.733333333333334</v>
      </c>
    </row>
    <row r="107" spans="1:32" x14ac:dyDescent="0.35">
      <c r="A107" s="1" t="s">
        <v>82</v>
      </c>
      <c r="B107" s="1">
        <v>108</v>
      </c>
      <c r="C107" s="1">
        <v>62</v>
      </c>
      <c r="D107" s="1">
        <v>116</v>
      </c>
      <c r="E107" s="1">
        <v>37</v>
      </c>
      <c r="F107" s="1">
        <v>52</v>
      </c>
      <c r="G107" s="1">
        <v>43</v>
      </c>
      <c r="H107" s="1">
        <v>91</v>
      </c>
      <c r="I107" s="1">
        <v>14</v>
      </c>
      <c r="J107" s="1">
        <v>33</v>
      </c>
      <c r="K107" s="1">
        <v>72</v>
      </c>
      <c r="L107" s="1">
        <v>52</v>
      </c>
      <c r="M107" s="1">
        <v>40</v>
      </c>
      <c r="N107" s="1">
        <v>134</v>
      </c>
      <c r="O107" s="1">
        <v>76</v>
      </c>
      <c r="P107" s="1">
        <v>113</v>
      </c>
      <c r="Q107" s="1">
        <v>22</v>
      </c>
      <c r="R107" s="1">
        <v>50</v>
      </c>
      <c r="S107" s="1">
        <v>23</v>
      </c>
      <c r="T107" s="1">
        <v>63</v>
      </c>
      <c r="U107" s="1">
        <v>13</v>
      </c>
      <c r="V107" s="1">
        <v>32</v>
      </c>
      <c r="W107" s="1">
        <v>53</v>
      </c>
      <c r="X107" s="1">
        <v>24</v>
      </c>
      <c r="Y107" s="1">
        <v>37</v>
      </c>
      <c r="Z107" s="1">
        <v>61</v>
      </c>
      <c r="AA107" s="1">
        <v>105</v>
      </c>
      <c r="AB107" s="1">
        <v>27</v>
      </c>
      <c r="AC107" s="1">
        <v>34</v>
      </c>
      <c r="AD107" s="1">
        <v>79</v>
      </c>
      <c r="AE107" s="1">
        <v>16</v>
      </c>
      <c r="AF107" s="18">
        <f t="shared" si="1"/>
        <v>56.06666666666667</v>
      </c>
    </row>
    <row r="108" spans="1:32" x14ac:dyDescent="0.35">
      <c r="A108" s="1" t="s">
        <v>83</v>
      </c>
      <c r="B108" s="1">
        <v>79</v>
      </c>
      <c r="C108" s="1">
        <v>14</v>
      </c>
      <c r="D108" s="1">
        <v>69</v>
      </c>
      <c r="E108" s="1">
        <v>14</v>
      </c>
      <c r="F108" s="1">
        <v>27</v>
      </c>
      <c r="G108" s="1">
        <v>47</v>
      </c>
      <c r="H108" s="1">
        <v>13</v>
      </c>
      <c r="I108" s="1">
        <v>92</v>
      </c>
      <c r="J108" s="1">
        <v>50</v>
      </c>
      <c r="K108" s="1">
        <v>36</v>
      </c>
      <c r="L108" s="1">
        <v>185</v>
      </c>
      <c r="M108" s="1">
        <v>24</v>
      </c>
      <c r="N108" s="1">
        <v>26</v>
      </c>
      <c r="O108" s="1">
        <v>41</v>
      </c>
      <c r="P108" s="1">
        <v>62</v>
      </c>
      <c r="Q108" s="1">
        <v>84</v>
      </c>
      <c r="R108" s="1">
        <v>62</v>
      </c>
      <c r="S108" s="1">
        <v>14</v>
      </c>
      <c r="T108" s="1">
        <v>23</v>
      </c>
      <c r="U108" s="1">
        <v>18</v>
      </c>
      <c r="V108" s="1">
        <v>61</v>
      </c>
      <c r="W108" s="1">
        <v>23</v>
      </c>
      <c r="X108" s="1">
        <v>46</v>
      </c>
      <c r="Y108" s="1">
        <v>33</v>
      </c>
      <c r="Z108" s="1">
        <v>43</v>
      </c>
      <c r="AA108" s="1">
        <v>44</v>
      </c>
      <c r="AB108" s="1">
        <v>103</v>
      </c>
      <c r="AC108" s="1">
        <v>88</v>
      </c>
      <c r="AD108" s="1">
        <v>66</v>
      </c>
      <c r="AE108" s="1">
        <v>49</v>
      </c>
      <c r="AF108" s="18">
        <f t="shared" si="1"/>
        <v>51.2</v>
      </c>
    </row>
    <row r="109" spans="1:32" x14ac:dyDescent="0.35">
      <c r="A109" s="1" t="s">
        <v>84</v>
      </c>
      <c r="B109" s="1">
        <v>80</v>
      </c>
      <c r="C109" s="1">
        <v>19</v>
      </c>
      <c r="D109" s="1">
        <v>26</v>
      </c>
      <c r="E109" s="1">
        <v>39</v>
      </c>
      <c r="F109" s="1">
        <v>12</v>
      </c>
      <c r="G109" s="1">
        <v>77</v>
      </c>
      <c r="H109" s="1">
        <v>22</v>
      </c>
      <c r="I109" s="1">
        <v>29</v>
      </c>
      <c r="J109" s="1">
        <v>36</v>
      </c>
      <c r="K109" s="1">
        <v>50</v>
      </c>
      <c r="L109" s="1">
        <v>42</v>
      </c>
      <c r="M109" s="1">
        <v>21</v>
      </c>
      <c r="N109" s="1">
        <v>87</v>
      </c>
      <c r="O109" s="1">
        <v>22</v>
      </c>
      <c r="P109" s="1">
        <v>26</v>
      </c>
      <c r="Q109" s="1">
        <v>51</v>
      </c>
      <c r="R109" s="1">
        <v>36</v>
      </c>
      <c r="S109" s="1">
        <v>18</v>
      </c>
      <c r="T109" s="1">
        <v>23</v>
      </c>
      <c r="U109" s="1">
        <v>12</v>
      </c>
      <c r="V109" s="1">
        <v>107</v>
      </c>
      <c r="W109" s="1">
        <v>33</v>
      </c>
      <c r="X109" s="1">
        <v>120</v>
      </c>
      <c r="Y109" s="1">
        <v>24</v>
      </c>
      <c r="Z109" s="1">
        <v>168</v>
      </c>
      <c r="AA109" s="1">
        <v>18</v>
      </c>
      <c r="AB109" s="1">
        <v>44</v>
      </c>
      <c r="AC109" s="1">
        <v>133</v>
      </c>
      <c r="AD109" s="1">
        <v>29</v>
      </c>
      <c r="AE109" s="1">
        <v>56</v>
      </c>
      <c r="AF109" s="18">
        <f t="shared" si="1"/>
        <v>48.666666666666664</v>
      </c>
    </row>
    <row r="110" spans="1:32" x14ac:dyDescent="0.35">
      <c r="A110" s="1" t="s">
        <v>85</v>
      </c>
      <c r="B110" s="1">
        <v>18</v>
      </c>
      <c r="C110" s="1">
        <v>48</v>
      </c>
      <c r="D110" s="1">
        <v>24</v>
      </c>
      <c r="E110" s="1">
        <v>24</v>
      </c>
      <c r="F110" s="1">
        <v>34</v>
      </c>
      <c r="G110" s="1">
        <v>72</v>
      </c>
      <c r="H110" s="1">
        <v>36</v>
      </c>
      <c r="I110" s="1">
        <v>30</v>
      </c>
      <c r="J110" s="1">
        <v>24</v>
      </c>
      <c r="K110" s="1">
        <v>75</v>
      </c>
      <c r="L110" s="1">
        <v>37</v>
      </c>
      <c r="M110" s="1">
        <v>31</v>
      </c>
      <c r="N110" s="1">
        <v>16</v>
      </c>
      <c r="O110" s="1">
        <v>53</v>
      </c>
      <c r="P110" s="1">
        <v>59</v>
      </c>
      <c r="Q110" s="1">
        <v>26</v>
      </c>
      <c r="R110" s="1">
        <v>22</v>
      </c>
      <c r="S110" s="1">
        <v>13</v>
      </c>
      <c r="T110" s="1">
        <v>36</v>
      </c>
      <c r="U110" s="1">
        <v>26</v>
      </c>
      <c r="V110" s="1">
        <v>19</v>
      </c>
      <c r="W110" s="1">
        <v>30</v>
      </c>
      <c r="X110" s="1">
        <v>64</v>
      </c>
      <c r="Y110" s="1">
        <v>21</v>
      </c>
      <c r="Z110" s="1">
        <v>15</v>
      </c>
      <c r="AA110" s="1">
        <v>214</v>
      </c>
      <c r="AB110" s="1">
        <v>69</v>
      </c>
      <c r="AC110" s="1">
        <v>17</v>
      </c>
      <c r="AD110" s="1">
        <v>77</v>
      </c>
      <c r="AE110" s="1">
        <v>149</v>
      </c>
      <c r="AF110" s="18">
        <f t="shared" si="1"/>
        <v>45.966666666666669</v>
      </c>
    </row>
    <row r="111" spans="1:32" x14ac:dyDescent="0.35">
      <c r="A111" s="1" t="s">
        <v>86</v>
      </c>
      <c r="B111" s="1">
        <v>33</v>
      </c>
      <c r="C111" s="1">
        <v>61</v>
      </c>
      <c r="D111" s="1">
        <v>36</v>
      </c>
      <c r="E111" s="1">
        <v>27</v>
      </c>
      <c r="F111" s="1">
        <v>20</v>
      </c>
      <c r="G111" s="1">
        <v>47</v>
      </c>
      <c r="H111" s="1">
        <v>19</v>
      </c>
      <c r="I111" s="1">
        <v>18</v>
      </c>
      <c r="J111" s="1">
        <v>121</v>
      </c>
      <c r="K111" s="1">
        <v>37</v>
      </c>
      <c r="L111" s="1">
        <v>44</v>
      </c>
      <c r="M111" s="1">
        <v>28</v>
      </c>
      <c r="N111" s="1">
        <v>47</v>
      </c>
      <c r="O111" s="1">
        <v>32</v>
      </c>
      <c r="P111" s="1">
        <v>48</v>
      </c>
      <c r="Q111" s="1">
        <v>14</v>
      </c>
      <c r="R111" s="1">
        <v>40</v>
      </c>
      <c r="S111" s="1">
        <v>29</v>
      </c>
      <c r="T111" s="1">
        <v>34</v>
      </c>
      <c r="U111" s="1">
        <v>13</v>
      </c>
      <c r="V111" s="1">
        <v>12</v>
      </c>
      <c r="W111" s="1">
        <v>107</v>
      </c>
      <c r="X111" s="1">
        <v>193</v>
      </c>
      <c r="Y111" s="1">
        <v>12</v>
      </c>
      <c r="Z111" s="1">
        <v>138</v>
      </c>
      <c r="AA111" s="1">
        <v>75</v>
      </c>
      <c r="AB111" s="1">
        <v>229</v>
      </c>
      <c r="AC111" s="1">
        <v>93</v>
      </c>
      <c r="AD111" s="1">
        <v>190</v>
      </c>
      <c r="AE111" s="1">
        <v>36</v>
      </c>
      <c r="AF111" s="18">
        <f t="shared" si="1"/>
        <v>61.1</v>
      </c>
    </row>
    <row r="112" spans="1:32" x14ac:dyDescent="0.35">
      <c r="A112" s="1" t="s">
        <v>87</v>
      </c>
      <c r="B112" s="1">
        <v>24</v>
      </c>
      <c r="C112" s="1">
        <v>75</v>
      </c>
      <c r="D112" s="1">
        <v>21</v>
      </c>
      <c r="E112" s="1">
        <v>20</v>
      </c>
      <c r="F112" s="1">
        <v>42</v>
      </c>
      <c r="G112" s="1">
        <v>33</v>
      </c>
      <c r="H112" s="1">
        <v>14</v>
      </c>
      <c r="I112" s="1">
        <v>80</v>
      </c>
      <c r="J112" s="1">
        <v>41</v>
      </c>
      <c r="K112" s="1">
        <v>70</v>
      </c>
      <c r="L112" s="1">
        <v>32</v>
      </c>
      <c r="M112" s="1">
        <v>56</v>
      </c>
      <c r="N112" s="1">
        <v>107</v>
      </c>
      <c r="O112" s="1">
        <v>41</v>
      </c>
      <c r="P112" s="1">
        <v>38</v>
      </c>
      <c r="Q112" s="1">
        <v>13</v>
      </c>
      <c r="R112" s="1">
        <v>27</v>
      </c>
      <c r="S112" s="1">
        <v>98</v>
      </c>
      <c r="T112" s="1">
        <v>20</v>
      </c>
      <c r="U112" s="1">
        <v>30</v>
      </c>
      <c r="V112" s="1">
        <v>26</v>
      </c>
      <c r="W112" s="1">
        <v>51</v>
      </c>
      <c r="X112" s="1">
        <v>24</v>
      </c>
      <c r="Y112" s="1">
        <v>19</v>
      </c>
      <c r="Z112" s="1">
        <v>35</v>
      </c>
      <c r="AA112" s="1">
        <v>90</v>
      </c>
      <c r="AB112" s="1">
        <v>19</v>
      </c>
      <c r="AC112" s="1">
        <v>12</v>
      </c>
      <c r="AD112" s="1">
        <v>45</v>
      </c>
      <c r="AE112" s="1">
        <v>22</v>
      </c>
      <c r="AF112" s="18">
        <f t="shared" si="1"/>
        <v>40.833333333333336</v>
      </c>
    </row>
    <row r="113" spans="1:32" x14ac:dyDescent="0.35">
      <c r="A113" s="1" t="s">
        <v>88</v>
      </c>
      <c r="B113" s="1">
        <v>42</v>
      </c>
      <c r="C113" s="1">
        <v>40</v>
      </c>
      <c r="D113" s="1">
        <v>29</v>
      </c>
      <c r="E113" s="1">
        <v>18</v>
      </c>
      <c r="F113" s="1">
        <v>34</v>
      </c>
      <c r="G113" s="1">
        <v>92</v>
      </c>
      <c r="H113" s="1">
        <v>48</v>
      </c>
      <c r="I113" s="1">
        <v>14</v>
      </c>
      <c r="J113" s="1">
        <v>84</v>
      </c>
      <c r="K113" s="1">
        <v>46</v>
      </c>
      <c r="L113" s="1">
        <v>17</v>
      </c>
      <c r="M113" s="1">
        <v>33</v>
      </c>
      <c r="N113" s="1">
        <v>20</v>
      </c>
      <c r="O113" s="1">
        <v>89</v>
      </c>
      <c r="P113" s="1">
        <v>31</v>
      </c>
      <c r="Q113" s="1">
        <v>29</v>
      </c>
      <c r="R113" s="1">
        <v>65</v>
      </c>
      <c r="S113" s="1">
        <v>12</v>
      </c>
      <c r="T113" s="1">
        <v>19</v>
      </c>
      <c r="U113" s="1">
        <v>58</v>
      </c>
      <c r="V113" s="1">
        <v>62</v>
      </c>
      <c r="W113" s="1">
        <v>83</v>
      </c>
      <c r="X113" s="1">
        <v>16</v>
      </c>
      <c r="Y113" s="1">
        <v>64</v>
      </c>
      <c r="Z113" s="1">
        <v>33</v>
      </c>
      <c r="AA113" s="1">
        <v>20</v>
      </c>
      <c r="AB113" s="1">
        <v>26</v>
      </c>
      <c r="AC113" s="1">
        <v>43</v>
      </c>
      <c r="AD113" s="1">
        <v>48</v>
      </c>
      <c r="AE113" s="1">
        <v>33</v>
      </c>
      <c r="AF113" s="18">
        <f t="shared" si="1"/>
        <v>41.6</v>
      </c>
    </row>
    <row r="114" spans="1:32" x14ac:dyDescent="0.35">
      <c r="A114" s="1" t="s">
        <v>89</v>
      </c>
      <c r="B114" s="1">
        <v>62</v>
      </c>
      <c r="C114" s="1">
        <v>42</v>
      </c>
      <c r="D114" s="1">
        <v>36</v>
      </c>
      <c r="E114" s="1">
        <v>122</v>
      </c>
      <c r="F114" s="1">
        <v>37</v>
      </c>
      <c r="G114" s="1">
        <v>43</v>
      </c>
      <c r="H114" s="1">
        <v>72</v>
      </c>
      <c r="I114" s="1">
        <v>32</v>
      </c>
      <c r="J114" s="1">
        <v>96</v>
      </c>
      <c r="K114" s="1">
        <v>67</v>
      </c>
      <c r="L114" s="1">
        <v>359</v>
      </c>
      <c r="M114" s="1">
        <v>23</v>
      </c>
      <c r="N114" s="1">
        <v>37</v>
      </c>
      <c r="O114" s="1">
        <v>138</v>
      </c>
      <c r="P114" s="1">
        <v>57</v>
      </c>
      <c r="Q114" s="1">
        <v>122</v>
      </c>
      <c r="R114" s="1">
        <v>31</v>
      </c>
      <c r="S114" s="1">
        <v>146</v>
      </c>
      <c r="T114" s="1">
        <v>130</v>
      </c>
      <c r="U114" s="1">
        <v>57</v>
      </c>
      <c r="V114" s="1">
        <v>30</v>
      </c>
      <c r="W114" s="1">
        <v>150</v>
      </c>
      <c r="X114" s="1">
        <v>12</v>
      </c>
      <c r="Y114" s="1">
        <v>39</v>
      </c>
      <c r="Z114" s="1">
        <v>79</v>
      </c>
      <c r="AA114" s="1">
        <v>15</v>
      </c>
      <c r="AB114" s="1">
        <v>23</v>
      </c>
      <c r="AC114" s="1">
        <v>65</v>
      </c>
      <c r="AD114" s="1">
        <v>16</v>
      </c>
      <c r="AE114" s="1">
        <v>62</v>
      </c>
      <c r="AF114" s="18">
        <f t="shared" si="1"/>
        <v>73.333333333333329</v>
      </c>
    </row>
    <row r="115" spans="1:32" x14ac:dyDescent="0.35">
      <c r="A115" s="1" t="s">
        <v>196</v>
      </c>
      <c r="B115" s="1">
        <v>52</v>
      </c>
      <c r="C115" s="1">
        <v>55</v>
      </c>
      <c r="D115" s="1">
        <v>37</v>
      </c>
      <c r="E115" s="1">
        <v>70</v>
      </c>
      <c r="F115" s="1">
        <v>13</v>
      </c>
      <c r="G115" s="1">
        <v>63</v>
      </c>
      <c r="H115" s="1">
        <v>17</v>
      </c>
      <c r="I115" s="1">
        <v>24</v>
      </c>
      <c r="J115" s="1">
        <v>47</v>
      </c>
      <c r="K115" s="1">
        <v>104</v>
      </c>
      <c r="L115" s="1">
        <v>58</v>
      </c>
      <c r="M115" s="1">
        <v>38</v>
      </c>
      <c r="N115" s="1">
        <v>33</v>
      </c>
      <c r="O115" s="1">
        <v>46</v>
      </c>
      <c r="P115" s="1">
        <v>29</v>
      </c>
      <c r="Q115" s="1">
        <v>24</v>
      </c>
      <c r="R115" s="1">
        <v>18</v>
      </c>
      <c r="S115" s="1">
        <v>94</v>
      </c>
      <c r="T115" s="1">
        <v>18</v>
      </c>
      <c r="U115" s="1">
        <v>67</v>
      </c>
      <c r="V115" s="1">
        <v>24</v>
      </c>
      <c r="W115" s="1">
        <v>26</v>
      </c>
      <c r="X115" s="1">
        <v>84</v>
      </c>
      <c r="Y115" s="1">
        <v>53</v>
      </c>
      <c r="Z115" s="1">
        <v>13</v>
      </c>
      <c r="AA115" s="1">
        <v>145</v>
      </c>
      <c r="AB115" s="1">
        <v>148</v>
      </c>
      <c r="AC115" s="1">
        <v>43</v>
      </c>
      <c r="AD115" s="1">
        <v>111</v>
      </c>
      <c r="AE115" s="1">
        <v>79</v>
      </c>
      <c r="AF115" s="18">
        <f t="shared" si="1"/>
        <v>54.43333333333333</v>
      </c>
    </row>
    <row r="116" spans="1:32" x14ac:dyDescent="0.35">
      <c r="A116" s="1" t="s">
        <v>90</v>
      </c>
      <c r="B116" s="1">
        <v>32</v>
      </c>
      <c r="C116" s="1">
        <v>116</v>
      </c>
      <c r="D116" s="1">
        <v>97</v>
      </c>
      <c r="E116" s="1">
        <v>12</v>
      </c>
      <c r="F116" s="1">
        <v>88</v>
      </c>
      <c r="G116" s="1">
        <v>204</v>
      </c>
      <c r="H116" s="1">
        <v>123</v>
      </c>
      <c r="I116" s="1">
        <v>105</v>
      </c>
      <c r="J116" s="1">
        <v>42</v>
      </c>
      <c r="K116" s="1">
        <v>19</v>
      </c>
      <c r="L116" s="1">
        <v>38</v>
      </c>
      <c r="M116" s="1">
        <v>95</v>
      </c>
      <c r="N116" s="1">
        <v>15</v>
      </c>
      <c r="O116" s="1">
        <v>41</v>
      </c>
      <c r="P116" s="1">
        <v>92</v>
      </c>
      <c r="Q116" s="1">
        <v>42</v>
      </c>
      <c r="R116" s="1">
        <v>59</v>
      </c>
      <c r="S116" s="1">
        <v>13</v>
      </c>
      <c r="T116" s="1">
        <v>31</v>
      </c>
      <c r="U116" s="1">
        <v>76</v>
      </c>
      <c r="V116" s="1">
        <v>30</v>
      </c>
      <c r="W116" s="1">
        <v>14</v>
      </c>
      <c r="X116" s="1">
        <v>14</v>
      </c>
      <c r="Y116" s="1">
        <v>39</v>
      </c>
      <c r="Z116" s="1">
        <v>105</v>
      </c>
      <c r="AA116" s="1">
        <v>55</v>
      </c>
      <c r="AB116" s="1">
        <v>12</v>
      </c>
      <c r="AC116" s="1">
        <v>52</v>
      </c>
      <c r="AD116" s="1">
        <v>48</v>
      </c>
      <c r="AE116" s="1">
        <v>75</v>
      </c>
      <c r="AF116" s="18">
        <f t="shared" si="1"/>
        <v>59.466666666666669</v>
      </c>
    </row>
    <row r="117" spans="1:32" x14ac:dyDescent="0.35">
      <c r="A117" s="1" t="s">
        <v>91</v>
      </c>
      <c r="B117" s="1">
        <v>36</v>
      </c>
      <c r="C117" s="1">
        <v>32</v>
      </c>
      <c r="D117" s="1">
        <v>16</v>
      </c>
      <c r="E117" s="1">
        <v>31</v>
      </c>
      <c r="F117" s="1">
        <v>27</v>
      </c>
      <c r="G117" s="1">
        <v>44</v>
      </c>
      <c r="H117" s="1">
        <v>44</v>
      </c>
      <c r="I117" s="1">
        <v>20</v>
      </c>
      <c r="J117" s="1">
        <v>29</v>
      </c>
      <c r="K117" s="1">
        <v>18</v>
      </c>
      <c r="L117" s="1">
        <v>42</v>
      </c>
      <c r="M117" s="1">
        <v>16</v>
      </c>
      <c r="N117" s="1">
        <v>27</v>
      </c>
      <c r="O117" s="1">
        <v>32</v>
      </c>
      <c r="P117" s="1">
        <v>56</v>
      </c>
      <c r="Q117" s="1">
        <v>38</v>
      </c>
      <c r="R117" s="1">
        <v>129</v>
      </c>
      <c r="S117" s="1">
        <v>23</v>
      </c>
      <c r="T117" s="1">
        <v>25</v>
      </c>
      <c r="U117" s="1">
        <v>44</v>
      </c>
      <c r="V117" s="1">
        <v>45</v>
      </c>
      <c r="W117" s="1">
        <v>32</v>
      </c>
      <c r="X117" s="1">
        <v>101</v>
      </c>
      <c r="Y117" s="1">
        <v>22</v>
      </c>
      <c r="Z117" s="1">
        <v>31</v>
      </c>
      <c r="AA117" s="1">
        <v>13</v>
      </c>
      <c r="AB117" s="1">
        <v>34</v>
      </c>
      <c r="AC117" s="1">
        <v>27</v>
      </c>
      <c r="AD117" s="1">
        <v>50</v>
      </c>
      <c r="AE117" s="1">
        <v>25</v>
      </c>
      <c r="AF117" s="18">
        <f t="shared" si="1"/>
        <v>36.966666666666669</v>
      </c>
    </row>
    <row r="118" spans="1:32" x14ac:dyDescent="0.35">
      <c r="A118" s="1" t="s">
        <v>92</v>
      </c>
      <c r="B118" s="1">
        <v>77</v>
      </c>
      <c r="C118" s="1">
        <v>31</v>
      </c>
      <c r="D118" s="1">
        <v>14</v>
      </c>
      <c r="E118" s="1">
        <v>47</v>
      </c>
      <c r="F118" s="1">
        <v>219</v>
      </c>
      <c r="G118" s="1">
        <v>87</v>
      </c>
      <c r="H118" s="1">
        <v>43</v>
      </c>
      <c r="I118" s="1">
        <v>12</v>
      </c>
      <c r="J118" s="1">
        <v>36</v>
      </c>
      <c r="K118" s="1">
        <v>63</v>
      </c>
      <c r="L118" s="1">
        <v>14</v>
      </c>
      <c r="M118" s="1">
        <v>21</v>
      </c>
      <c r="N118" s="1">
        <v>22</v>
      </c>
      <c r="O118" s="1">
        <v>21</v>
      </c>
      <c r="P118" s="1">
        <v>52</v>
      </c>
      <c r="Q118" s="1">
        <v>62</v>
      </c>
      <c r="R118" s="1">
        <v>17</v>
      </c>
      <c r="S118" s="1">
        <v>60</v>
      </c>
      <c r="T118" s="1">
        <v>20</v>
      </c>
      <c r="U118" s="1">
        <v>32</v>
      </c>
      <c r="V118" s="1">
        <v>98</v>
      </c>
      <c r="W118" s="1">
        <v>14</v>
      </c>
      <c r="X118" s="1">
        <v>99</v>
      </c>
      <c r="Y118" s="1">
        <v>16</v>
      </c>
      <c r="Z118" s="1">
        <v>68</v>
      </c>
      <c r="AA118" s="1">
        <v>141</v>
      </c>
      <c r="AB118" s="1">
        <v>34</v>
      </c>
      <c r="AC118" s="1">
        <v>50</v>
      </c>
      <c r="AD118" s="1">
        <v>53</v>
      </c>
      <c r="AE118" s="1">
        <v>20</v>
      </c>
      <c r="AF118" s="18">
        <f t="shared" si="1"/>
        <v>51.43333333333333</v>
      </c>
    </row>
    <row r="119" spans="1:32" x14ac:dyDescent="0.35">
      <c r="A119" s="1" t="s">
        <v>93</v>
      </c>
      <c r="B119" s="1">
        <v>72</v>
      </c>
      <c r="C119" s="1">
        <v>35</v>
      </c>
      <c r="D119" s="1">
        <v>261</v>
      </c>
      <c r="E119" s="1">
        <v>13</v>
      </c>
      <c r="F119" s="1">
        <v>22</v>
      </c>
      <c r="G119" s="1">
        <v>222</v>
      </c>
      <c r="H119" s="1">
        <v>13</v>
      </c>
      <c r="I119" s="1">
        <v>20</v>
      </c>
      <c r="J119" s="1">
        <v>68</v>
      </c>
      <c r="K119" s="1">
        <v>52</v>
      </c>
      <c r="L119" s="1">
        <v>58</v>
      </c>
      <c r="M119" s="1">
        <v>75</v>
      </c>
      <c r="N119" s="1">
        <v>28</v>
      </c>
      <c r="O119" s="1">
        <v>99</v>
      </c>
      <c r="P119" s="1">
        <v>36</v>
      </c>
      <c r="Q119" s="1">
        <v>39</v>
      </c>
      <c r="R119" s="1">
        <v>47</v>
      </c>
      <c r="S119" s="1">
        <v>28</v>
      </c>
      <c r="T119" s="1">
        <v>22</v>
      </c>
      <c r="U119" s="1">
        <v>51</v>
      </c>
      <c r="V119" s="1">
        <v>144</v>
      </c>
      <c r="W119" s="1">
        <v>210</v>
      </c>
      <c r="X119" s="1">
        <v>13</v>
      </c>
      <c r="Y119" s="1">
        <v>52</v>
      </c>
      <c r="Z119" s="1">
        <v>54</v>
      </c>
      <c r="AA119" s="1">
        <v>164</v>
      </c>
      <c r="AB119" s="1">
        <v>281</v>
      </c>
      <c r="AC119" s="1">
        <v>21</v>
      </c>
      <c r="AD119" s="1">
        <v>62</v>
      </c>
      <c r="AE119" s="1">
        <v>63</v>
      </c>
      <c r="AF119" s="18">
        <f t="shared" si="1"/>
        <v>77.5</v>
      </c>
    </row>
    <row r="120" spans="1:32" x14ac:dyDescent="0.35">
      <c r="A120" s="1" t="s">
        <v>94</v>
      </c>
      <c r="B120" s="1">
        <v>40</v>
      </c>
      <c r="C120" s="1">
        <v>42</v>
      </c>
      <c r="D120" s="1">
        <v>30</v>
      </c>
      <c r="E120" s="1">
        <v>45</v>
      </c>
      <c r="F120" s="1">
        <v>115</v>
      </c>
      <c r="G120" s="1">
        <v>12</v>
      </c>
      <c r="H120" s="1">
        <v>30</v>
      </c>
      <c r="I120" s="1">
        <v>15</v>
      </c>
      <c r="J120" s="1">
        <v>13</v>
      </c>
      <c r="K120" s="1">
        <v>35</v>
      </c>
      <c r="L120" s="1">
        <v>24</v>
      </c>
      <c r="M120" s="1">
        <v>54</v>
      </c>
      <c r="N120" s="1">
        <v>25</v>
      </c>
      <c r="O120" s="1">
        <v>27</v>
      </c>
      <c r="P120" s="1">
        <v>47</v>
      </c>
      <c r="Q120" s="1">
        <v>47</v>
      </c>
      <c r="R120" s="1">
        <v>17</v>
      </c>
      <c r="S120" s="1">
        <v>17</v>
      </c>
      <c r="T120" s="1">
        <v>63</v>
      </c>
      <c r="U120" s="1">
        <v>24</v>
      </c>
      <c r="V120" s="1">
        <v>36</v>
      </c>
      <c r="W120" s="1">
        <v>14</v>
      </c>
      <c r="X120" s="1">
        <v>40</v>
      </c>
      <c r="Y120" s="1">
        <v>21</v>
      </c>
      <c r="Z120" s="1">
        <v>17</v>
      </c>
      <c r="AA120" s="1">
        <v>12</v>
      </c>
      <c r="AB120" s="1">
        <v>16</v>
      </c>
      <c r="AC120" s="1">
        <v>74</v>
      </c>
      <c r="AD120" s="1">
        <v>16</v>
      </c>
      <c r="AE120" s="1">
        <v>87</v>
      </c>
      <c r="AF120" s="18">
        <f t="shared" si="1"/>
        <v>35.166666666666664</v>
      </c>
    </row>
    <row r="121" spans="1:32" x14ac:dyDescent="0.35">
      <c r="A121" s="1" t="s">
        <v>95</v>
      </c>
      <c r="B121" s="1">
        <v>22</v>
      </c>
      <c r="C121" s="1">
        <v>59</v>
      </c>
      <c r="D121" s="1">
        <v>21</v>
      </c>
      <c r="E121" s="1">
        <v>60</v>
      </c>
      <c r="F121" s="1">
        <v>187</v>
      </c>
      <c r="G121" s="1">
        <v>150</v>
      </c>
      <c r="H121" s="1">
        <v>88</v>
      </c>
      <c r="I121" s="1">
        <v>24</v>
      </c>
      <c r="J121" s="1">
        <v>59</v>
      </c>
      <c r="K121" s="1">
        <v>52</v>
      </c>
      <c r="L121" s="1">
        <v>31</v>
      </c>
      <c r="M121" s="1">
        <v>12</v>
      </c>
      <c r="N121" s="1">
        <v>55</v>
      </c>
      <c r="O121" s="1">
        <v>35</v>
      </c>
      <c r="P121" s="1">
        <v>222</v>
      </c>
      <c r="Q121" s="1">
        <v>16</v>
      </c>
      <c r="R121" s="1">
        <v>70</v>
      </c>
      <c r="S121" s="1">
        <v>103</v>
      </c>
      <c r="T121" s="1">
        <v>21</v>
      </c>
      <c r="U121" s="1">
        <v>26</v>
      </c>
      <c r="V121" s="1">
        <v>35</v>
      </c>
      <c r="W121" s="1">
        <v>159</v>
      </c>
      <c r="X121" s="1">
        <v>13</v>
      </c>
      <c r="Y121" s="1">
        <v>22</v>
      </c>
      <c r="Z121" s="1">
        <v>81</v>
      </c>
      <c r="AA121" s="1">
        <v>40</v>
      </c>
      <c r="AB121" s="1">
        <v>49</v>
      </c>
      <c r="AC121" s="1">
        <v>92</v>
      </c>
      <c r="AD121" s="1">
        <v>65</v>
      </c>
      <c r="AE121" s="1">
        <v>38</v>
      </c>
      <c r="AF121" s="18">
        <f t="shared" si="1"/>
        <v>63.56666666666667</v>
      </c>
    </row>
    <row r="122" spans="1:32" x14ac:dyDescent="0.35">
      <c r="A122" s="1" t="s">
        <v>96</v>
      </c>
      <c r="B122" s="1">
        <v>17</v>
      </c>
      <c r="C122" s="1">
        <v>19</v>
      </c>
      <c r="D122" s="1">
        <v>58</v>
      </c>
      <c r="E122" s="1">
        <v>17</v>
      </c>
      <c r="F122" s="1">
        <v>43</v>
      </c>
      <c r="G122" s="1">
        <v>14</v>
      </c>
      <c r="H122" s="1">
        <v>29</v>
      </c>
      <c r="I122" s="1">
        <v>61</v>
      </c>
      <c r="J122" s="1">
        <v>81</v>
      </c>
      <c r="K122" s="1">
        <v>51</v>
      </c>
      <c r="L122" s="1">
        <v>107</v>
      </c>
      <c r="M122" s="1">
        <v>185</v>
      </c>
      <c r="N122" s="1">
        <v>133</v>
      </c>
      <c r="O122" s="1">
        <v>23</v>
      </c>
      <c r="P122" s="1">
        <v>55</v>
      </c>
      <c r="Q122" s="1">
        <v>137</v>
      </c>
      <c r="R122" s="1">
        <v>33</v>
      </c>
      <c r="S122" s="1">
        <v>17</v>
      </c>
      <c r="T122" s="1">
        <v>102</v>
      </c>
      <c r="U122" s="1">
        <v>29</v>
      </c>
      <c r="V122" s="1">
        <v>131</v>
      </c>
      <c r="W122" s="1">
        <v>70</v>
      </c>
      <c r="X122" s="1">
        <v>35</v>
      </c>
      <c r="Y122" s="1">
        <v>107</v>
      </c>
      <c r="Z122" s="1">
        <v>107</v>
      </c>
      <c r="AA122" s="1">
        <v>170</v>
      </c>
      <c r="AB122" s="1">
        <v>15</v>
      </c>
      <c r="AC122" s="1">
        <v>13</v>
      </c>
      <c r="AD122" s="1">
        <v>31</v>
      </c>
      <c r="AE122" s="1">
        <v>40</v>
      </c>
      <c r="AF122" s="18">
        <f t="shared" si="1"/>
        <v>64.333333333333329</v>
      </c>
    </row>
    <row r="123" spans="1:32" x14ac:dyDescent="0.35">
      <c r="A123" s="1" t="s">
        <v>97</v>
      </c>
      <c r="B123" s="1">
        <v>33</v>
      </c>
      <c r="C123" s="1">
        <v>70</v>
      </c>
      <c r="D123" s="1">
        <v>70</v>
      </c>
      <c r="E123" s="1">
        <v>19</v>
      </c>
      <c r="F123" s="1">
        <v>45</v>
      </c>
      <c r="G123" s="1">
        <v>96</v>
      </c>
      <c r="H123" s="1">
        <v>24</v>
      </c>
      <c r="I123" s="1">
        <v>165</v>
      </c>
      <c r="J123" s="1">
        <v>33</v>
      </c>
      <c r="K123" s="1">
        <v>132</v>
      </c>
      <c r="L123" s="1">
        <v>175</v>
      </c>
      <c r="M123" s="1">
        <v>50</v>
      </c>
      <c r="N123" s="1">
        <v>48</v>
      </c>
      <c r="O123" s="1">
        <v>16</v>
      </c>
      <c r="P123" s="1">
        <v>48</v>
      </c>
      <c r="Q123" s="1">
        <v>40</v>
      </c>
      <c r="R123" s="1">
        <v>36</v>
      </c>
      <c r="S123" s="1">
        <v>145</v>
      </c>
      <c r="T123" s="1">
        <v>18</v>
      </c>
      <c r="U123" s="1">
        <v>77</v>
      </c>
      <c r="V123" s="1">
        <v>98</v>
      </c>
      <c r="W123" s="1">
        <v>24</v>
      </c>
      <c r="X123" s="1">
        <v>148</v>
      </c>
      <c r="Y123" s="1">
        <v>173</v>
      </c>
      <c r="Z123" s="1">
        <v>24</v>
      </c>
      <c r="AA123" s="1">
        <v>49</v>
      </c>
      <c r="AB123" s="1">
        <v>93</v>
      </c>
      <c r="AC123" s="1">
        <v>53</v>
      </c>
      <c r="AD123" s="1">
        <v>25</v>
      </c>
      <c r="AE123" s="1">
        <v>76</v>
      </c>
      <c r="AF123" s="18">
        <f t="shared" si="1"/>
        <v>70.099999999999994</v>
      </c>
    </row>
    <row r="124" spans="1:32" x14ac:dyDescent="0.35">
      <c r="A124" s="1" t="s">
        <v>98</v>
      </c>
      <c r="B124" s="1">
        <v>13</v>
      </c>
      <c r="C124" s="1">
        <v>180</v>
      </c>
      <c r="D124" s="1">
        <v>40</v>
      </c>
      <c r="E124" s="1">
        <v>166</v>
      </c>
      <c r="F124" s="1">
        <v>12</v>
      </c>
      <c r="G124" s="1">
        <v>47</v>
      </c>
      <c r="H124" s="1">
        <v>40</v>
      </c>
      <c r="I124" s="1">
        <v>36</v>
      </c>
      <c r="J124" s="1">
        <v>83</v>
      </c>
      <c r="K124" s="1">
        <v>43</v>
      </c>
      <c r="L124" s="1">
        <v>71</v>
      </c>
      <c r="M124" s="1">
        <v>56</v>
      </c>
      <c r="N124" s="1">
        <v>63</v>
      </c>
      <c r="O124" s="1">
        <v>43</v>
      </c>
      <c r="P124" s="1">
        <v>49</v>
      </c>
      <c r="Q124" s="1">
        <v>16</v>
      </c>
      <c r="R124" s="1">
        <v>207</v>
      </c>
      <c r="S124" s="1">
        <v>29</v>
      </c>
      <c r="T124" s="1">
        <v>18</v>
      </c>
      <c r="U124" s="1">
        <v>38</v>
      </c>
      <c r="V124" s="1">
        <v>18</v>
      </c>
      <c r="W124" s="1">
        <v>101</v>
      </c>
      <c r="X124" s="1">
        <v>24</v>
      </c>
      <c r="Y124" s="1">
        <v>37</v>
      </c>
      <c r="Z124" s="1">
        <v>37</v>
      </c>
      <c r="AA124" s="1">
        <v>46</v>
      </c>
      <c r="AB124" s="1">
        <v>15</v>
      </c>
      <c r="AC124" s="1">
        <v>14</v>
      </c>
      <c r="AD124" s="1">
        <v>25</v>
      </c>
      <c r="AE124" s="1">
        <v>63</v>
      </c>
      <c r="AF124" s="18">
        <f t="shared" si="1"/>
        <v>54.333333333333336</v>
      </c>
    </row>
    <row r="125" spans="1:32" x14ac:dyDescent="0.35">
      <c r="A125" s="1" t="s">
        <v>184</v>
      </c>
      <c r="B125" s="1">
        <v>87</v>
      </c>
      <c r="C125" s="1">
        <v>37</v>
      </c>
      <c r="D125" s="1">
        <v>188</v>
      </c>
      <c r="E125" s="1">
        <v>28</v>
      </c>
      <c r="F125" s="1">
        <v>45</v>
      </c>
      <c r="G125" s="1">
        <v>62</v>
      </c>
      <c r="H125" s="1">
        <v>204</v>
      </c>
      <c r="I125" s="1">
        <v>123</v>
      </c>
      <c r="J125" s="1">
        <v>31</v>
      </c>
      <c r="K125" s="1">
        <v>131</v>
      </c>
      <c r="L125" s="1">
        <v>26</v>
      </c>
      <c r="M125" s="1">
        <v>69</v>
      </c>
      <c r="N125" s="1">
        <v>213</v>
      </c>
      <c r="O125" s="1">
        <v>62</v>
      </c>
      <c r="P125" s="1">
        <v>14</v>
      </c>
      <c r="Q125" s="1">
        <v>191</v>
      </c>
      <c r="R125" s="1">
        <v>13</v>
      </c>
      <c r="S125" s="1">
        <v>70</v>
      </c>
      <c r="T125" s="1">
        <v>75</v>
      </c>
      <c r="U125" s="1">
        <v>44</v>
      </c>
      <c r="V125" s="1">
        <v>14</v>
      </c>
      <c r="W125" s="1">
        <v>37</v>
      </c>
      <c r="X125" s="1">
        <v>30</v>
      </c>
      <c r="Y125" s="1">
        <v>25</v>
      </c>
      <c r="Z125" s="1">
        <v>276</v>
      </c>
      <c r="AA125" s="1">
        <v>22</v>
      </c>
      <c r="AB125" s="1">
        <v>62</v>
      </c>
      <c r="AC125" s="1">
        <v>78</v>
      </c>
      <c r="AD125" s="1">
        <v>56</v>
      </c>
      <c r="AE125" s="1">
        <v>59</v>
      </c>
      <c r="AF125" s="18">
        <f t="shared" si="1"/>
        <v>79.066666666666663</v>
      </c>
    </row>
    <row r="126" spans="1:32" x14ac:dyDescent="0.35">
      <c r="A126" s="1" t="s">
        <v>99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8">
        <f t="shared" si="1"/>
        <v>0</v>
      </c>
    </row>
    <row r="127" spans="1:32" x14ac:dyDescent="0.35">
      <c r="A127" s="1" t="s">
        <v>100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8">
        <f t="shared" si="1"/>
        <v>0</v>
      </c>
    </row>
    <row r="128" spans="1:32" x14ac:dyDescent="0.35">
      <c r="A128" s="1" t="s">
        <v>101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8">
        <f t="shared" si="1"/>
        <v>0</v>
      </c>
    </row>
    <row r="129" spans="1:32" x14ac:dyDescent="0.35">
      <c r="A129" s="1" t="s">
        <v>185</v>
      </c>
      <c r="B129" s="1">
        <v>49</v>
      </c>
      <c r="C129" s="1">
        <v>20</v>
      </c>
      <c r="D129" s="1">
        <v>41</v>
      </c>
      <c r="E129" s="1">
        <v>169</v>
      </c>
      <c r="F129" s="1">
        <v>90</v>
      </c>
      <c r="G129" s="1">
        <v>35</v>
      </c>
      <c r="H129" s="1">
        <v>70</v>
      </c>
      <c r="I129" s="1">
        <v>22</v>
      </c>
      <c r="J129" s="1">
        <v>28</v>
      </c>
      <c r="K129" s="1">
        <v>120</v>
      </c>
      <c r="L129" s="1">
        <v>63</v>
      </c>
      <c r="M129" s="1">
        <v>15</v>
      </c>
      <c r="N129" s="1">
        <v>56</v>
      </c>
      <c r="O129" s="1">
        <v>85</v>
      </c>
      <c r="P129" s="1">
        <v>20</v>
      </c>
      <c r="Q129" s="1">
        <v>16</v>
      </c>
      <c r="R129" s="1">
        <v>101</v>
      </c>
      <c r="S129" s="1">
        <v>41</v>
      </c>
      <c r="T129" s="1">
        <v>108</v>
      </c>
      <c r="U129" s="1">
        <v>87</v>
      </c>
      <c r="V129" s="1">
        <v>44</v>
      </c>
      <c r="W129" s="1">
        <v>258</v>
      </c>
      <c r="X129" s="1">
        <v>97</v>
      </c>
      <c r="Y129" s="1">
        <v>19</v>
      </c>
      <c r="Z129" s="1">
        <v>149</v>
      </c>
      <c r="AA129" s="1">
        <v>25</v>
      </c>
      <c r="AB129" s="1">
        <v>19</v>
      </c>
      <c r="AC129" s="1">
        <v>71</v>
      </c>
      <c r="AD129" s="1">
        <v>92</v>
      </c>
      <c r="AE129" s="1">
        <v>41</v>
      </c>
      <c r="AF129" s="18">
        <f t="shared" si="1"/>
        <v>68.36666666666666</v>
      </c>
    </row>
    <row r="130" spans="1:32" x14ac:dyDescent="0.35">
      <c r="A130" s="1" t="s">
        <v>102</v>
      </c>
      <c r="B130" s="1">
        <v>162</v>
      </c>
      <c r="C130" s="1">
        <v>64</v>
      </c>
      <c r="D130" s="1">
        <v>55</v>
      </c>
      <c r="E130" s="1">
        <v>28</v>
      </c>
      <c r="F130" s="1">
        <v>33</v>
      </c>
      <c r="G130" s="1">
        <v>24</v>
      </c>
      <c r="H130" s="1">
        <v>120</v>
      </c>
      <c r="I130" s="1">
        <v>26</v>
      </c>
      <c r="J130" s="1">
        <v>20</v>
      </c>
      <c r="K130" s="1">
        <v>56</v>
      </c>
      <c r="L130" s="1">
        <v>13</v>
      </c>
      <c r="M130" s="1">
        <v>49</v>
      </c>
      <c r="N130" s="1">
        <v>70</v>
      </c>
      <c r="O130" s="1">
        <v>153</v>
      </c>
      <c r="P130" s="1">
        <v>20</v>
      </c>
      <c r="Q130" s="1">
        <v>28</v>
      </c>
      <c r="R130" s="1">
        <v>20</v>
      </c>
      <c r="S130" s="1">
        <v>21</v>
      </c>
      <c r="T130" s="1">
        <v>117</v>
      </c>
      <c r="U130" s="1">
        <v>43</v>
      </c>
      <c r="V130" s="1">
        <v>30</v>
      </c>
      <c r="W130" s="1">
        <v>81</v>
      </c>
      <c r="X130" s="1">
        <v>222</v>
      </c>
      <c r="Y130" s="1">
        <v>44</v>
      </c>
      <c r="Z130" s="1">
        <v>38</v>
      </c>
      <c r="AA130" s="1">
        <v>15</v>
      </c>
      <c r="AB130" s="1">
        <v>86</v>
      </c>
      <c r="AC130" s="1">
        <v>45</v>
      </c>
      <c r="AD130" s="1">
        <v>20</v>
      </c>
      <c r="AE130" s="1">
        <v>20</v>
      </c>
      <c r="AF130" s="18">
        <f t="shared" si="1"/>
        <v>57.43333333333333</v>
      </c>
    </row>
    <row r="131" spans="1:32" x14ac:dyDescent="0.35">
      <c r="A131" s="1" t="s">
        <v>103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8">
        <f t="shared" si="1"/>
        <v>0</v>
      </c>
    </row>
    <row r="132" spans="1:32" x14ac:dyDescent="0.35">
      <c r="A132" s="1" t="s">
        <v>186</v>
      </c>
      <c r="B132" s="1">
        <v>76</v>
      </c>
      <c r="C132" s="1">
        <v>40</v>
      </c>
      <c r="D132" s="1">
        <v>34</v>
      </c>
      <c r="E132" s="1">
        <v>32</v>
      </c>
      <c r="F132" s="1">
        <v>136</v>
      </c>
      <c r="G132" s="1">
        <v>37</v>
      </c>
      <c r="H132" s="1">
        <v>105</v>
      </c>
      <c r="I132" s="1">
        <v>13</v>
      </c>
      <c r="J132" s="1">
        <v>32</v>
      </c>
      <c r="K132" s="1">
        <v>43</v>
      </c>
      <c r="L132" s="1">
        <v>88</v>
      </c>
      <c r="M132" s="1">
        <v>51</v>
      </c>
      <c r="N132" s="1">
        <v>12</v>
      </c>
      <c r="O132" s="1">
        <v>16</v>
      </c>
      <c r="P132" s="1">
        <v>19</v>
      </c>
      <c r="Q132" s="1">
        <v>98</v>
      </c>
      <c r="R132" s="1">
        <v>147</v>
      </c>
      <c r="S132" s="1">
        <v>51</v>
      </c>
      <c r="T132" s="1">
        <v>12</v>
      </c>
      <c r="U132" s="1">
        <v>13</v>
      </c>
      <c r="V132" s="1">
        <v>45</v>
      </c>
      <c r="W132" s="1">
        <v>35</v>
      </c>
      <c r="X132" s="1">
        <v>14</v>
      </c>
      <c r="Y132" s="1">
        <v>48</v>
      </c>
      <c r="Z132" s="1">
        <v>55</v>
      </c>
      <c r="AA132" s="1">
        <v>68</v>
      </c>
      <c r="AB132" s="1">
        <v>53</v>
      </c>
      <c r="AC132" s="1">
        <v>85</v>
      </c>
      <c r="AD132" s="1">
        <v>15</v>
      </c>
      <c r="AE132" s="1">
        <v>61</v>
      </c>
      <c r="AF132" s="18">
        <f t="shared" ref="AF132:AF195" si="2">AVERAGE(B132:AE132)</f>
        <v>51.133333333333333</v>
      </c>
    </row>
    <row r="133" spans="1:32" x14ac:dyDescent="0.35">
      <c r="A133" s="1" t="s">
        <v>104</v>
      </c>
      <c r="B133" s="1">
        <v>34</v>
      </c>
      <c r="C133" s="1">
        <v>33</v>
      </c>
      <c r="D133" s="1">
        <v>16</v>
      </c>
      <c r="E133" s="1">
        <v>101</v>
      </c>
      <c r="F133" s="1">
        <v>12</v>
      </c>
      <c r="G133" s="1">
        <v>37</v>
      </c>
      <c r="H133" s="1">
        <v>19</v>
      </c>
      <c r="I133" s="1">
        <v>107</v>
      </c>
      <c r="J133" s="1">
        <v>55</v>
      </c>
      <c r="K133" s="1">
        <v>27</v>
      </c>
      <c r="L133" s="1">
        <v>26</v>
      </c>
      <c r="M133" s="1">
        <v>13</v>
      </c>
      <c r="N133" s="1">
        <v>24</v>
      </c>
      <c r="O133" s="1">
        <v>37</v>
      </c>
      <c r="P133" s="1">
        <v>99</v>
      </c>
      <c r="Q133" s="1">
        <v>38</v>
      </c>
      <c r="R133" s="1">
        <v>51</v>
      </c>
      <c r="S133" s="1">
        <v>23</v>
      </c>
      <c r="T133" s="1">
        <v>34</v>
      </c>
      <c r="U133" s="1">
        <v>16</v>
      </c>
      <c r="V133" s="1">
        <v>35</v>
      </c>
      <c r="W133" s="1">
        <v>75</v>
      </c>
      <c r="X133" s="1">
        <v>21</v>
      </c>
      <c r="Y133" s="1">
        <v>92</v>
      </c>
      <c r="Z133" s="1">
        <v>59</v>
      </c>
      <c r="AA133" s="1">
        <v>56</v>
      </c>
      <c r="AB133" s="1">
        <v>21</v>
      </c>
      <c r="AC133" s="1">
        <v>37</v>
      </c>
      <c r="AD133" s="1">
        <v>21</v>
      </c>
      <c r="AE133" s="1">
        <v>46</v>
      </c>
      <c r="AF133" s="18">
        <f t="shared" si="2"/>
        <v>42.166666666666664</v>
      </c>
    </row>
    <row r="134" spans="1:32" x14ac:dyDescent="0.35">
      <c r="A134" s="1" t="s">
        <v>187</v>
      </c>
      <c r="B134" s="1">
        <v>44</v>
      </c>
      <c r="C134" s="1">
        <v>24</v>
      </c>
      <c r="D134" s="1">
        <v>56</v>
      </c>
      <c r="E134" s="1">
        <v>50</v>
      </c>
      <c r="F134" s="1">
        <v>17</v>
      </c>
      <c r="G134" s="1">
        <v>69</v>
      </c>
      <c r="H134" s="1">
        <v>21</v>
      </c>
      <c r="I134" s="1">
        <v>36</v>
      </c>
      <c r="J134" s="1">
        <v>43</v>
      </c>
      <c r="K134" s="1">
        <v>71</v>
      </c>
      <c r="L134" s="1">
        <v>66</v>
      </c>
      <c r="M134" s="1">
        <v>53</v>
      </c>
      <c r="N134" s="1">
        <v>35</v>
      </c>
      <c r="O134" s="1">
        <v>51</v>
      </c>
      <c r="P134" s="1">
        <v>13</v>
      </c>
      <c r="Q134" s="1">
        <v>38</v>
      </c>
      <c r="R134" s="1">
        <v>13</v>
      </c>
      <c r="S134" s="1">
        <v>13</v>
      </c>
      <c r="T134" s="1">
        <v>13</v>
      </c>
      <c r="U134" s="1">
        <v>88</v>
      </c>
      <c r="V134" s="1">
        <v>52</v>
      </c>
      <c r="W134" s="1">
        <v>37</v>
      </c>
      <c r="X134" s="1">
        <v>31</v>
      </c>
      <c r="Y134" s="1">
        <v>20</v>
      </c>
      <c r="Z134" s="1">
        <v>47</v>
      </c>
      <c r="AA134" s="1">
        <v>26</v>
      </c>
      <c r="AB134" s="1">
        <v>28</v>
      </c>
      <c r="AC134" s="1">
        <v>14</v>
      </c>
      <c r="AD134" s="1">
        <v>68</v>
      </c>
      <c r="AE134" s="1">
        <v>36</v>
      </c>
      <c r="AF134" s="18">
        <f t="shared" si="2"/>
        <v>39.1</v>
      </c>
    </row>
    <row r="135" spans="1:32" x14ac:dyDescent="0.35">
      <c r="A135" s="1" t="s">
        <v>160</v>
      </c>
      <c r="B135" s="1">
        <v>59</v>
      </c>
      <c r="C135" s="1">
        <v>120</v>
      </c>
      <c r="D135" s="1">
        <v>73</v>
      </c>
      <c r="E135" s="1">
        <v>12</v>
      </c>
      <c r="F135" s="1">
        <v>33</v>
      </c>
      <c r="G135" s="1">
        <v>81</v>
      </c>
      <c r="H135" s="1">
        <v>66</v>
      </c>
      <c r="I135" s="1">
        <v>117</v>
      </c>
      <c r="J135" s="1">
        <v>130</v>
      </c>
      <c r="K135" s="1">
        <v>74</v>
      </c>
      <c r="L135" s="1">
        <v>144</v>
      </c>
      <c r="M135" s="1">
        <v>177</v>
      </c>
      <c r="N135" s="1">
        <v>30</v>
      </c>
      <c r="O135" s="1">
        <v>37</v>
      </c>
      <c r="P135" s="1">
        <v>47</v>
      </c>
      <c r="Q135" s="1">
        <v>37</v>
      </c>
      <c r="R135" s="1">
        <v>35</v>
      </c>
      <c r="S135" s="1">
        <v>24</v>
      </c>
      <c r="T135" s="1">
        <v>34</v>
      </c>
      <c r="U135" s="1">
        <v>74</v>
      </c>
      <c r="V135" s="1">
        <v>53</v>
      </c>
      <c r="W135" s="1">
        <v>104</v>
      </c>
      <c r="X135" s="1">
        <v>47</v>
      </c>
      <c r="Y135" s="1">
        <v>18</v>
      </c>
      <c r="Z135" s="1">
        <v>14</v>
      </c>
      <c r="AA135" s="1">
        <v>74</v>
      </c>
      <c r="AB135" s="1">
        <v>32</v>
      </c>
      <c r="AC135" s="1">
        <v>20</v>
      </c>
      <c r="AD135" s="1">
        <v>127</v>
      </c>
      <c r="AE135" s="1">
        <v>143</v>
      </c>
      <c r="AF135" s="18">
        <f t="shared" si="2"/>
        <v>67.86666666666666</v>
      </c>
    </row>
    <row r="136" spans="1:32" x14ac:dyDescent="0.35">
      <c r="A136" s="1" t="s">
        <v>105</v>
      </c>
      <c r="B136" s="1">
        <v>45</v>
      </c>
      <c r="C136" s="1">
        <v>56</v>
      </c>
      <c r="D136" s="1">
        <v>38</v>
      </c>
      <c r="E136" s="1">
        <v>120</v>
      </c>
      <c r="F136" s="1">
        <v>157</v>
      </c>
      <c r="G136" s="1">
        <v>109</v>
      </c>
      <c r="H136" s="1">
        <v>50</v>
      </c>
      <c r="I136" s="1">
        <v>101</v>
      </c>
      <c r="J136" s="1">
        <v>86</v>
      </c>
      <c r="K136" s="1">
        <v>20</v>
      </c>
      <c r="L136" s="1">
        <v>301</v>
      </c>
      <c r="M136" s="1">
        <v>23</v>
      </c>
      <c r="N136" s="1">
        <v>76</v>
      </c>
      <c r="O136" s="1">
        <v>15</v>
      </c>
      <c r="P136" s="1">
        <v>36</v>
      </c>
      <c r="Q136" s="1">
        <v>45</v>
      </c>
      <c r="R136" s="1">
        <v>37</v>
      </c>
      <c r="S136" s="1">
        <v>36</v>
      </c>
      <c r="T136" s="1">
        <v>28</v>
      </c>
      <c r="U136" s="1">
        <v>58</v>
      </c>
      <c r="V136" s="1">
        <v>87</v>
      </c>
      <c r="W136" s="1">
        <v>49</v>
      </c>
      <c r="X136" s="1">
        <v>34</v>
      </c>
      <c r="Y136" s="1">
        <v>111</v>
      </c>
      <c r="Z136" s="1">
        <v>46</v>
      </c>
      <c r="AA136" s="1">
        <v>31</v>
      </c>
      <c r="AB136" s="1">
        <v>100</v>
      </c>
      <c r="AC136" s="1">
        <v>75</v>
      </c>
      <c r="AD136" s="1">
        <v>17</v>
      </c>
      <c r="AE136" s="1">
        <v>15</v>
      </c>
      <c r="AF136" s="18">
        <f t="shared" si="2"/>
        <v>66.733333333333334</v>
      </c>
    </row>
    <row r="137" spans="1:32" x14ac:dyDescent="0.35">
      <c r="A137" s="1" t="s">
        <v>106</v>
      </c>
      <c r="B137" s="1">
        <v>17</v>
      </c>
      <c r="C137" s="1">
        <v>15</v>
      </c>
      <c r="D137" s="1">
        <v>109</v>
      </c>
      <c r="E137" s="1">
        <v>37</v>
      </c>
      <c r="F137" s="1">
        <v>76</v>
      </c>
      <c r="G137" s="1">
        <v>16</v>
      </c>
      <c r="H137" s="1">
        <v>32</v>
      </c>
      <c r="I137" s="1">
        <v>47</v>
      </c>
      <c r="J137" s="1">
        <v>134</v>
      </c>
      <c r="K137" s="1">
        <v>84</v>
      </c>
      <c r="L137" s="1">
        <v>19</v>
      </c>
      <c r="M137" s="1">
        <v>71</v>
      </c>
      <c r="N137" s="1">
        <v>26</v>
      </c>
      <c r="O137" s="1">
        <v>26</v>
      </c>
      <c r="P137" s="1">
        <v>33</v>
      </c>
      <c r="Q137" s="1">
        <v>21</v>
      </c>
      <c r="R137" s="1">
        <v>93</v>
      </c>
      <c r="S137" s="1">
        <v>34</v>
      </c>
      <c r="T137" s="1">
        <v>29</v>
      </c>
      <c r="U137" s="1">
        <v>27</v>
      </c>
      <c r="V137" s="1">
        <v>64</v>
      </c>
      <c r="W137" s="1">
        <v>60</v>
      </c>
      <c r="X137" s="1">
        <v>38</v>
      </c>
      <c r="Y137" s="1">
        <v>53</v>
      </c>
      <c r="Z137" s="1">
        <v>63</v>
      </c>
      <c r="AA137" s="1">
        <v>24</v>
      </c>
      <c r="AB137" s="1">
        <v>173</v>
      </c>
      <c r="AC137" s="1">
        <v>98</v>
      </c>
      <c r="AD137" s="1">
        <v>35</v>
      </c>
      <c r="AE137" s="1">
        <v>68</v>
      </c>
      <c r="AF137" s="18">
        <f t="shared" si="2"/>
        <v>54.06666666666667</v>
      </c>
    </row>
    <row r="138" spans="1:32" x14ac:dyDescent="0.35">
      <c r="A138" s="1" t="s">
        <v>188</v>
      </c>
      <c r="B138" s="1">
        <v>52</v>
      </c>
      <c r="C138" s="1">
        <v>45</v>
      </c>
      <c r="D138" s="1">
        <v>39</v>
      </c>
      <c r="E138" s="1">
        <v>97</v>
      </c>
      <c r="F138" s="1">
        <v>52</v>
      </c>
      <c r="G138" s="1">
        <v>34</v>
      </c>
      <c r="H138" s="1">
        <v>88</v>
      </c>
      <c r="I138" s="1">
        <v>38</v>
      </c>
      <c r="J138" s="1">
        <v>51</v>
      </c>
      <c r="K138" s="1">
        <v>27</v>
      </c>
      <c r="L138" s="1">
        <v>40</v>
      </c>
      <c r="M138" s="1">
        <v>19</v>
      </c>
      <c r="N138" s="1">
        <v>17</v>
      </c>
      <c r="O138" s="1">
        <v>42</v>
      </c>
      <c r="P138" s="1">
        <v>43</v>
      </c>
      <c r="Q138" s="1">
        <v>14</v>
      </c>
      <c r="R138" s="1">
        <v>123</v>
      </c>
      <c r="S138" s="1">
        <v>102</v>
      </c>
      <c r="T138" s="1">
        <v>38</v>
      </c>
      <c r="U138" s="1">
        <v>17</v>
      </c>
      <c r="V138" s="1">
        <v>80</v>
      </c>
      <c r="W138" s="1">
        <v>30</v>
      </c>
      <c r="X138" s="1">
        <v>18</v>
      </c>
      <c r="Y138" s="1">
        <v>22</v>
      </c>
      <c r="Z138" s="1">
        <v>58</v>
      </c>
      <c r="AA138" s="1">
        <v>83</v>
      </c>
      <c r="AB138" s="1">
        <v>113</v>
      </c>
      <c r="AC138" s="1">
        <v>81</v>
      </c>
      <c r="AD138" s="1">
        <v>32</v>
      </c>
      <c r="AE138" s="1">
        <v>49</v>
      </c>
      <c r="AF138" s="18">
        <f t="shared" si="2"/>
        <v>51.466666666666669</v>
      </c>
    </row>
    <row r="139" spans="1:32" x14ac:dyDescent="0.35">
      <c r="A139" s="1" t="s">
        <v>107</v>
      </c>
      <c r="B139" s="1">
        <v>45</v>
      </c>
      <c r="C139" s="1">
        <v>13</v>
      </c>
      <c r="D139" s="1">
        <v>89</v>
      </c>
      <c r="E139" s="1">
        <v>45</v>
      </c>
      <c r="F139" s="1">
        <v>16</v>
      </c>
      <c r="G139" s="1">
        <v>153</v>
      </c>
      <c r="H139" s="1">
        <v>141</v>
      </c>
      <c r="I139" s="1">
        <v>43</v>
      </c>
      <c r="J139" s="1">
        <v>13</v>
      </c>
      <c r="K139" s="1">
        <v>57</v>
      </c>
      <c r="L139" s="1">
        <v>36</v>
      </c>
      <c r="M139" s="1">
        <v>35</v>
      </c>
      <c r="N139" s="1">
        <v>44</v>
      </c>
      <c r="O139" s="1">
        <v>19</v>
      </c>
      <c r="P139" s="1">
        <v>33</v>
      </c>
      <c r="Q139" s="1">
        <v>36</v>
      </c>
      <c r="R139" s="1">
        <v>87</v>
      </c>
      <c r="S139" s="1">
        <v>51</v>
      </c>
      <c r="T139" s="1">
        <v>34</v>
      </c>
      <c r="U139" s="1">
        <v>76</v>
      </c>
      <c r="V139" s="1">
        <v>18</v>
      </c>
      <c r="W139" s="1">
        <v>40</v>
      </c>
      <c r="X139" s="1">
        <v>22</v>
      </c>
      <c r="Y139" s="1">
        <v>16</v>
      </c>
      <c r="Z139" s="1">
        <v>43</v>
      </c>
      <c r="AA139" s="1">
        <v>83</v>
      </c>
      <c r="AB139" s="1">
        <v>43</v>
      </c>
      <c r="AC139" s="1">
        <v>19</v>
      </c>
      <c r="AD139" s="1">
        <v>20</v>
      </c>
      <c r="AE139" s="1">
        <v>45</v>
      </c>
      <c r="AF139" s="18">
        <f t="shared" si="2"/>
        <v>47.166666666666664</v>
      </c>
    </row>
    <row r="140" spans="1:32" x14ac:dyDescent="0.35">
      <c r="A140" s="1" t="s">
        <v>108</v>
      </c>
      <c r="B140" s="1">
        <v>39</v>
      </c>
      <c r="C140" s="1">
        <v>13</v>
      </c>
      <c r="D140" s="1">
        <v>23</v>
      </c>
      <c r="E140" s="1">
        <v>22</v>
      </c>
      <c r="F140" s="1">
        <v>30</v>
      </c>
      <c r="G140" s="1">
        <v>33</v>
      </c>
      <c r="H140" s="1">
        <v>79</v>
      </c>
      <c r="I140" s="1">
        <v>30</v>
      </c>
      <c r="J140" s="1">
        <v>29</v>
      </c>
      <c r="K140" s="1">
        <v>146</v>
      </c>
      <c r="L140" s="1">
        <v>25</v>
      </c>
      <c r="M140" s="1">
        <v>79</v>
      </c>
      <c r="N140" s="1">
        <v>19</v>
      </c>
      <c r="O140" s="1">
        <v>91</v>
      </c>
      <c r="P140" s="1">
        <v>25</v>
      </c>
      <c r="Q140" s="1">
        <v>185</v>
      </c>
      <c r="R140" s="1">
        <v>21</v>
      </c>
      <c r="S140" s="1">
        <v>382</v>
      </c>
      <c r="T140" s="1">
        <v>84</v>
      </c>
      <c r="U140" s="1">
        <v>51</v>
      </c>
      <c r="V140" s="1">
        <v>32</v>
      </c>
      <c r="W140" s="1">
        <v>150</v>
      </c>
      <c r="X140" s="1">
        <v>86</v>
      </c>
      <c r="Y140" s="1">
        <v>237</v>
      </c>
      <c r="Z140" s="1">
        <v>27</v>
      </c>
      <c r="AA140" s="1">
        <v>12</v>
      </c>
      <c r="AB140" s="1">
        <v>20</v>
      </c>
      <c r="AC140" s="1">
        <v>124</v>
      </c>
      <c r="AD140" s="1">
        <v>33</v>
      </c>
      <c r="AE140" s="1">
        <v>49</v>
      </c>
      <c r="AF140" s="18">
        <f t="shared" si="2"/>
        <v>72.533333333333331</v>
      </c>
    </row>
    <row r="141" spans="1:32" x14ac:dyDescent="0.35">
      <c r="A141" s="1" t="s">
        <v>109</v>
      </c>
      <c r="B141" s="1">
        <v>55</v>
      </c>
      <c r="C141" s="1">
        <v>15</v>
      </c>
      <c r="D141" s="1">
        <v>38</v>
      </c>
      <c r="E141" s="1">
        <v>21</v>
      </c>
      <c r="F141" s="1">
        <v>143</v>
      </c>
      <c r="G141" s="1">
        <v>81</v>
      </c>
      <c r="H141" s="1">
        <v>84</v>
      </c>
      <c r="I141" s="1">
        <v>44</v>
      </c>
      <c r="J141" s="1">
        <v>29</v>
      </c>
      <c r="K141" s="1">
        <v>33</v>
      </c>
      <c r="L141" s="1">
        <v>35</v>
      </c>
      <c r="M141" s="1">
        <v>74</v>
      </c>
      <c r="N141" s="1">
        <v>171</v>
      </c>
      <c r="O141" s="1">
        <v>12</v>
      </c>
      <c r="P141" s="1">
        <v>88</v>
      </c>
      <c r="Q141" s="1">
        <v>15</v>
      </c>
      <c r="R141" s="1">
        <v>75</v>
      </c>
      <c r="S141" s="1">
        <v>16</v>
      </c>
      <c r="T141" s="1">
        <v>43</v>
      </c>
      <c r="U141" s="1">
        <v>56</v>
      </c>
      <c r="V141" s="1">
        <v>38</v>
      </c>
      <c r="W141" s="1">
        <v>131</v>
      </c>
      <c r="X141" s="1">
        <v>14</v>
      </c>
      <c r="Y141" s="1">
        <v>16</v>
      </c>
      <c r="Z141" s="1">
        <v>28</v>
      </c>
      <c r="AA141" s="1">
        <v>34</v>
      </c>
      <c r="AB141" s="1">
        <v>63</v>
      </c>
      <c r="AC141" s="1">
        <v>26</v>
      </c>
      <c r="AD141" s="1">
        <v>51</v>
      </c>
      <c r="AE141" s="1">
        <v>44</v>
      </c>
      <c r="AF141" s="18">
        <f t="shared" si="2"/>
        <v>52.43333333333333</v>
      </c>
    </row>
    <row r="142" spans="1:32" x14ac:dyDescent="0.35">
      <c r="A142" s="1" t="s">
        <v>189</v>
      </c>
      <c r="B142" s="1">
        <v>202</v>
      </c>
      <c r="C142" s="1">
        <v>56</v>
      </c>
      <c r="D142" s="1">
        <v>138</v>
      </c>
      <c r="E142" s="1">
        <v>15</v>
      </c>
      <c r="F142" s="1">
        <v>162</v>
      </c>
      <c r="G142" s="1">
        <v>77</v>
      </c>
      <c r="H142" s="1">
        <v>143</v>
      </c>
      <c r="I142" s="1">
        <v>85</v>
      </c>
      <c r="J142" s="1">
        <v>81</v>
      </c>
      <c r="K142" s="1">
        <v>24</v>
      </c>
      <c r="L142" s="1">
        <v>45</v>
      </c>
      <c r="M142" s="1">
        <v>50</v>
      </c>
      <c r="N142" s="1">
        <v>17</v>
      </c>
      <c r="O142" s="1">
        <v>132</v>
      </c>
      <c r="P142" s="1">
        <v>64</v>
      </c>
      <c r="Q142" s="1">
        <v>31</v>
      </c>
      <c r="R142" s="1">
        <v>36</v>
      </c>
      <c r="S142" s="1">
        <v>23</v>
      </c>
      <c r="T142" s="1">
        <v>25</v>
      </c>
      <c r="U142" s="1">
        <v>39</v>
      </c>
      <c r="V142" s="1">
        <v>119</v>
      </c>
      <c r="W142" s="1">
        <v>15</v>
      </c>
      <c r="X142" s="1">
        <v>100</v>
      </c>
      <c r="Y142" s="1">
        <v>34</v>
      </c>
      <c r="Z142" s="1">
        <v>21</v>
      </c>
      <c r="AA142" s="1">
        <v>61</v>
      </c>
      <c r="AB142" s="1">
        <v>198</v>
      </c>
      <c r="AC142" s="1">
        <v>158</v>
      </c>
      <c r="AD142" s="1">
        <v>49</v>
      </c>
      <c r="AE142" s="1">
        <v>23</v>
      </c>
      <c r="AF142" s="18">
        <f t="shared" si="2"/>
        <v>74.099999999999994</v>
      </c>
    </row>
    <row r="143" spans="1:32" x14ac:dyDescent="0.35">
      <c r="A143" s="1" t="s">
        <v>110</v>
      </c>
      <c r="B143" s="1">
        <v>29</v>
      </c>
      <c r="C143" s="1">
        <v>29</v>
      </c>
      <c r="D143" s="1">
        <v>80</v>
      </c>
      <c r="E143" s="1">
        <v>65</v>
      </c>
      <c r="F143" s="1">
        <v>73</v>
      </c>
      <c r="G143" s="1">
        <v>99</v>
      </c>
      <c r="H143" s="1">
        <v>165</v>
      </c>
      <c r="I143" s="1">
        <v>22</v>
      </c>
      <c r="J143" s="1">
        <v>119</v>
      </c>
      <c r="K143" s="1">
        <v>26</v>
      </c>
      <c r="L143" s="1">
        <v>151</v>
      </c>
      <c r="M143" s="1">
        <v>221</v>
      </c>
      <c r="N143" s="1">
        <v>290</v>
      </c>
      <c r="O143" s="1">
        <v>48</v>
      </c>
      <c r="P143" s="1">
        <v>71</v>
      </c>
      <c r="Q143" s="1">
        <v>101</v>
      </c>
      <c r="R143" s="1">
        <v>22</v>
      </c>
      <c r="S143" s="1">
        <v>229</v>
      </c>
      <c r="T143" s="1">
        <v>47</v>
      </c>
      <c r="U143" s="1">
        <v>55</v>
      </c>
      <c r="V143" s="1">
        <v>57</v>
      </c>
      <c r="W143" s="1">
        <v>44</v>
      </c>
      <c r="X143" s="1">
        <v>82</v>
      </c>
      <c r="Y143" s="1">
        <v>61</v>
      </c>
      <c r="Z143" s="1">
        <v>79</v>
      </c>
      <c r="AA143" s="1">
        <v>20</v>
      </c>
      <c r="AB143" s="1">
        <v>83</v>
      </c>
      <c r="AC143" s="1">
        <v>45</v>
      </c>
      <c r="AD143" s="1">
        <v>31</v>
      </c>
      <c r="AE143" s="1">
        <v>19</v>
      </c>
      <c r="AF143" s="18">
        <f t="shared" si="2"/>
        <v>82.1</v>
      </c>
    </row>
    <row r="144" spans="1:32" x14ac:dyDescent="0.35">
      <c r="A144" s="1" t="s">
        <v>111</v>
      </c>
      <c r="B144" s="1">
        <v>98</v>
      </c>
      <c r="C144" s="1">
        <v>49</v>
      </c>
      <c r="D144" s="1">
        <v>75</v>
      </c>
      <c r="E144" s="1">
        <v>33</v>
      </c>
      <c r="F144" s="1">
        <v>18</v>
      </c>
      <c r="G144" s="1">
        <v>37</v>
      </c>
      <c r="H144" s="1">
        <v>14</v>
      </c>
      <c r="I144" s="1">
        <v>25</v>
      </c>
      <c r="J144" s="1">
        <v>30</v>
      </c>
      <c r="K144" s="1">
        <v>44</v>
      </c>
      <c r="L144" s="1">
        <v>26</v>
      </c>
      <c r="M144" s="1">
        <v>43</v>
      </c>
      <c r="N144" s="1">
        <v>25</v>
      </c>
      <c r="O144" s="1">
        <v>41</v>
      </c>
      <c r="P144" s="1">
        <v>36</v>
      </c>
      <c r="Q144" s="1">
        <v>108</v>
      </c>
      <c r="R144" s="1">
        <v>77</v>
      </c>
      <c r="S144" s="1">
        <v>17</v>
      </c>
      <c r="T144" s="1">
        <v>129</v>
      </c>
      <c r="U144" s="1">
        <v>33</v>
      </c>
      <c r="V144" s="1">
        <v>13</v>
      </c>
      <c r="W144" s="1">
        <v>35</v>
      </c>
      <c r="X144" s="1">
        <v>32</v>
      </c>
      <c r="Y144" s="1">
        <v>153</v>
      </c>
      <c r="Z144" s="1">
        <v>47</v>
      </c>
      <c r="AA144" s="1">
        <v>74</v>
      </c>
      <c r="AB144" s="1">
        <v>105</v>
      </c>
      <c r="AC144" s="1">
        <v>25</v>
      </c>
      <c r="AD144" s="1">
        <v>44</v>
      </c>
      <c r="AE144" s="1">
        <v>25</v>
      </c>
      <c r="AF144" s="18">
        <f t="shared" si="2"/>
        <v>50.366666666666667</v>
      </c>
    </row>
    <row r="145" spans="1:32" x14ac:dyDescent="0.35">
      <c r="A145" s="1" t="s">
        <v>112</v>
      </c>
      <c r="B145" s="1">
        <v>19</v>
      </c>
      <c r="C145" s="1">
        <v>60</v>
      </c>
      <c r="D145" s="1">
        <v>16</v>
      </c>
      <c r="E145" s="1">
        <v>142</v>
      </c>
      <c r="F145" s="1">
        <v>90</v>
      </c>
      <c r="G145" s="1">
        <v>182</v>
      </c>
      <c r="H145" s="1">
        <v>18</v>
      </c>
      <c r="I145" s="1">
        <v>14</v>
      </c>
      <c r="J145" s="1">
        <v>102</v>
      </c>
      <c r="K145" s="1">
        <v>23</v>
      </c>
      <c r="L145" s="1">
        <v>91</v>
      </c>
      <c r="M145" s="1">
        <v>64</v>
      </c>
      <c r="N145" s="1">
        <v>24</v>
      </c>
      <c r="O145" s="1">
        <v>337</v>
      </c>
      <c r="P145" s="1">
        <v>64</v>
      </c>
      <c r="Q145" s="1">
        <v>15</v>
      </c>
      <c r="R145" s="1">
        <v>67</v>
      </c>
      <c r="S145" s="1">
        <v>74</v>
      </c>
      <c r="T145" s="1">
        <v>92</v>
      </c>
      <c r="U145" s="1">
        <v>36</v>
      </c>
      <c r="V145" s="1">
        <v>54</v>
      </c>
      <c r="W145" s="1">
        <v>27</v>
      </c>
      <c r="X145" s="1">
        <v>54</v>
      </c>
      <c r="Y145" s="1">
        <v>16</v>
      </c>
      <c r="Z145" s="1">
        <v>63</v>
      </c>
      <c r="AA145" s="1">
        <v>44</v>
      </c>
      <c r="AB145" s="1">
        <v>125</v>
      </c>
      <c r="AC145" s="1">
        <v>53</v>
      </c>
      <c r="AD145" s="1">
        <v>69</v>
      </c>
      <c r="AE145" s="1">
        <v>154</v>
      </c>
      <c r="AF145" s="18">
        <f t="shared" si="2"/>
        <v>72.966666666666669</v>
      </c>
    </row>
    <row r="146" spans="1:32" x14ac:dyDescent="0.35">
      <c r="A146" s="1" t="s">
        <v>113</v>
      </c>
      <c r="B146" s="1">
        <v>33</v>
      </c>
      <c r="C146" s="1">
        <v>34</v>
      </c>
      <c r="D146" s="1">
        <v>34</v>
      </c>
      <c r="E146" s="1">
        <v>27</v>
      </c>
      <c r="F146" s="1">
        <v>16</v>
      </c>
      <c r="G146" s="1">
        <v>105</v>
      </c>
      <c r="H146" s="1">
        <v>18</v>
      </c>
      <c r="I146" s="1">
        <v>194</v>
      </c>
      <c r="J146" s="1">
        <v>104</v>
      </c>
      <c r="K146" s="1">
        <v>15</v>
      </c>
      <c r="L146" s="1">
        <v>66</v>
      </c>
      <c r="M146" s="1">
        <v>43</v>
      </c>
      <c r="N146" s="1">
        <v>178</v>
      </c>
      <c r="O146" s="1">
        <v>40</v>
      </c>
      <c r="P146" s="1">
        <v>18</v>
      </c>
      <c r="Q146" s="1">
        <v>29</v>
      </c>
      <c r="R146" s="1">
        <v>47</v>
      </c>
      <c r="S146" s="1">
        <v>62</v>
      </c>
      <c r="T146" s="1">
        <v>39</v>
      </c>
      <c r="U146" s="1">
        <v>20</v>
      </c>
      <c r="V146" s="1">
        <v>202</v>
      </c>
      <c r="W146" s="1">
        <v>57</v>
      </c>
      <c r="X146" s="1">
        <v>22</v>
      </c>
      <c r="Y146" s="1">
        <v>91</v>
      </c>
      <c r="Z146" s="1">
        <v>109</v>
      </c>
      <c r="AA146" s="1">
        <v>90</v>
      </c>
      <c r="AB146" s="1">
        <v>15</v>
      </c>
      <c r="AC146" s="1">
        <v>83</v>
      </c>
      <c r="AD146" s="1">
        <v>21</v>
      </c>
      <c r="AE146" s="1">
        <v>58</v>
      </c>
      <c r="AF146" s="18">
        <f t="shared" si="2"/>
        <v>62.333333333333336</v>
      </c>
    </row>
    <row r="147" spans="1:32" x14ac:dyDescent="0.35">
      <c r="A147" s="1" t="s">
        <v>114</v>
      </c>
      <c r="B147" s="1">
        <v>121</v>
      </c>
      <c r="C147" s="1">
        <v>40</v>
      </c>
      <c r="D147" s="1">
        <v>68</v>
      </c>
      <c r="E147" s="1">
        <v>59</v>
      </c>
      <c r="F147" s="1">
        <v>23</v>
      </c>
      <c r="G147" s="1">
        <v>12</v>
      </c>
      <c r="H147" s="1">
        <v>14</v>
      </c>
      <c r="I147" s="1">
        <v>16</v>
      </c>
      <c r="J147" s="1">
        <v>42</v>
      </c>
      <c r="K147" s="1">
        <v>67</v>
      </c>
      <c r="L147" s="1">
        <v>42</v>
      </c>
      <c r="M147" s="1">
        <v>58</v>
      </c>
      <c r="N147" s="1">
        <v>28</v>
      </c>
      <c r="O147" s="1">
        <v>20</v>
      </c>
      <c r="P147" s="1">
        <v>52</v>
      </c>
      <c r="Q147" s="1">
        <v>53</v>
      </c>
      <c r="R147" s="1">
        <v>77</v>
      </c>
      <c r="S147" s="1">
        <v>48</v>
      </c>
      <c r="T147" s="1">
        <v>29</v>
      </c>
      <c r="U147" s="1">
        <v>51</v>
      </c>
      <c r="V147" s="1">
        <v>53</v>
      </c>
      <c r="W147" s="1">
        <v>19</v>
      </c>
      <c r="X147" s="1">
        <v>19</v>
      </c>
      <c r="Y147" s="1">
        <v>33</v>
      </c>
      <c r="Z147" s="1">
        <v>74</v>
      </c>
      <c r="AA147" s="1">
        <v>23</v>
      </c>
      <c r="AB147" s="1">
        <v>20</v>
      </c>
      <c r="AC147" s="1">
        <v>84</v>
      </c>
      <c r="AD147" s="1">
        <v>55</v>
      </c>
      <c r="AE147" s="1">
        <v>40</v>
      </c>
      <c r="AF147" s="18">
        <f t="shared" si="2"/>
        <v>44.666666666666664</v>
      </c>
    </row>
    <row r="148" spans="1:32" x14ac:dyDescent="0.35">
      <c r="A148" s="1" t="s">
        <v>115</v>
      </c>
      <c r="B148" s="1">
        <v>19</v>
      </c>
      <c r="C148" s="1">
        <v>36</v>
      </c>
      <c r="D148" s="1">
        <v>41</v>
      </c>
      <c r="E148" s="1">
        <v>14</v>
      </c>
      <c r="F148" s="1">
        <v>14</v>
      </c>
      <c r="G148" s="1">
        <v>168</v>
      </c>
      <c r="H148" s="1">
        <v>17</v>
      </c>
      <c r="I148" s="1">
        <v>71</v>
      </c>
      <c r="J148" s="1">
        <v>197</v>
      </c>
      <c r="K148" s="1">
        <v>69</v>
      </c>
      <c r="L148" s="1">
        <v>13</v>
      </c>
      <c r="M148" s="1">
        <v>24</v>
      </c>
      <c r="N148" s="1">
        <v>27</v>
      </c>
      <c r="O148" s="1">
        <v>16</v>
      </c>
      <c r="P148" s="1">
        <v>35</v>
      </c>
      <c r="Q148" s="1">
        <v>13</v>
      </c>
      <c r="R148" s="1">
        <v>13</v>
      </c>
      <c r="S148" s="1">
        <v>72</v>
      </c>
      <c r="T148" s="1">
        <v>63</v>
      </c>
      <c r="U148" s="1">
        <v>17</v>
      </c>
      <c r="V148" s="1">
        <v>59</v>
      </c>
      <c r="W148" s="1">
        <v>62</v>
      </c>
      <c r="X148" s="1">
        <v>48</v>
      </c>
      <c r="Y148" s="1">
        <v>50</v>
      </c>
      <c r="Z148" s="1">
        <v>17</v>
      </c>
      <c r="AA148" s="1">
        <v>52</v>
      </c>
      <c r="AB148" s="1">
        <v>67</v>
      </c>
      <c r="AC148" s="1">
        <v>45</v>
      </c>
      <c r="AD148" s="1">
        <v>27</v>
      </c>
      <c r="AE148" s="1">
        <v>77</v>
      </c>
      <c r="AF148" s="18">
        <f t="shared" si="2"/>
        <v>48.1</v>
      </c>
    </row>
    <row r="149" spans="1:32" x14ac:dyDescent="0.35">
      <c r="A149" s="1" t="s">
        <v>190</v>
      </c>
      <c r="B149" s="1">
        <v>31</v>
      </c>
      <c r="C149" s="1">
        <v>48</v>
      </c>
      <c r="D149" s="1">
        <v>29</v>
      </c>
      <c r="E149" s="1">
        <v>54</v>
      </c>
      <c r="F149" s="1">
        <v>280</v>
      </c>
      <c r="G149" s="1">
        <v>95</v>
      </c>
      <c r="H149" s="1">
        <v>65</v>
      </c>
      <c r="I149" s="1">
        <v>18</v>
      </c>
      <c r="J149" s="1">
        <v>67</v>
      </c>
      <c r="K149" s="1">
        <v>14</v>
      </c>
      <c r="L149" s="1">
        <v>68</v>
      </c>
      <c r="M149" s="1">
        <v>77</v>
      </c>
      <c r="N149" s="1">
        <v>21</v>
      </c>
      <c r="O149" s="1">
        <v>54</v>
      </c>
      <c r="P149" s="1">
        <v>61</v>
      </c>
      <c r="Q149" s="1">
        <v>52</v>
      </c>
      <c r="R149" s="1">
        <v>89</v>
      </c>
      <c r="S149" s="1">
        <v>20</v>
      </c>
      <c r="T149" s="1">
        <v>14</v>
      </c>
      <c r="U149" s="1">
        <v>45</v>
      </c>
      <c r="V149" s="1">
        <v>95</v>
      </c>
      <c r="W149" s="1">
        <v>63</v>
      </c>
      <c r="X149" s="1">
        <v>64</v>
      </c>
      <c r="Y149" s="1">
        <v>101</v>
      </c>
      <c r="Z149" s="1">
        <v>27</v>
      </c>
      <c r="AA149" s="1">
        <v>37</v>
      </c>
      <c r="AB149" s="1">
        <v>20</v>
      </c>
      <c r="AC149" s="1">
        <v>17</v>
      </c>
      <c r="AD149" s="1">
        <v>19</v>
      </c>
      <c r="AE149" s="1">
        <v>15</v>
      </c>
      <c r="AF149" s="18">
        <f t="shared" si="2"/>
        <v>55.333333333333336</v>
      </c>
    </row>
    <row r="150" spans="1:32" x14ac:dyDescent="0.35">
      <c r="A150" s="1" t="s">
        <v>116</v>
      </c>
      <c r="B150" s="1">
        <v>161</v>
      </c>
      <c r="C150" s="1">
        <v>20</v>
      </c>
      <c r="D150" s="1">
        <v>57</v>
      </c>
      <c r="E150" s="1">
        <v>17</v>
      </c>
      <c r="F150" s="1">
        <v>64</v>
      </c>
      <c r="G150" s="1">
        <v>164</v>
      </c>
      <c r="H150" s="1">
        <v>58</v>
      </c>
      <c r="I150" s="1">
        <v>115</v>
      </c>
      <c r="J150" s="1">
        <v>62</v>
      </c>
      <c r="K150" s="1">
        <v>116</v>
      </c>
      <c r="L150" s="1">
        <v>33</v>
      </c>
      <c r="M150" s="1">
        <v>70</v>
      </c>
      <c r="N150" s="1">
        <v>97</v>
      </c>
      <c r="O150" s="1">
        <v>51</v>
      </c>
      <c r="P150" s="1">
        <v>109</v>
      </c>
      <c r="Q150" s="1">
        <v>97</v>
      </c>
      <c r="R150" s="1">
        <v>58</v>
      </c>
      <c r="S150" s="1">
        <v>134</v>
      </c>
      <c r="T150" s="1">
        <v>218</v>
      </c>
      <c r="U150" s="1">
        <v>53</v>
      </c>
      <c r="V150" s="1">
        <v>33</v>
      </c>
      <c r="W150" s="1">
        <v>13</v>
      </c>
      <c r="X150" s="1">
        <v>57</v>
      </c>
      <c r="Y150" s="1">
        <v>13</v>
      </c>
      <c r="Z150" s="1">
        <v>72</v>
      </c>
      <c r="AA150" s="1">
        <v>41</v>
      </c>
      <c r="AB150" s="1">
        <v>38</v>
      </c>
      <c r="AC150" s="1">
        <v>78</v>
      </c>
      <c r="AD150" s="1">
        <v>58</v>
      </c>
      <c r="AE150" s="1">
        <v>25</v>
      </c>
      <c r="AF150" s="18">
        <f t="shared" si="2"/>
        <v>72.733333333333334</v>
      </c>
    </row>
    <row r="151" spans="1:32" x14ac:dyDescent="0.35">
      <c r="A151" s="1" t="s">
        <v>197</v>
      </c>
      <c r="B151" s="1">
        <v>26</v>
      </c>
      <c r="C151" s="1">
        <v>23</v>
      </c>
      <c r="D151" s="1">
        <v>21</v>
      </c>
      <c r="E151" s="1">
        <v>16</v>
      </c>
      <c r="F151" s="1">
        <v>23</v>
      </c>
      <c r="G151" s="1">
        <v>15</v>
      </c>
      <c r="H151" s="1">
        <v>18</v>
      </c>
      <c r="I151" s="1">
        <v>30</v>
      </c>
      <c r="J151" s="1">
        <v>76</v>
      </c>
      <c r="K151" s="1">
        <v>52</v>
      </c>
      <c r="L151" s="1">
        <v>36</v>
      </c>
      <c r="M151" s="1">
        <v>46</v>
      </c>
      <c r="N151" s="1">
        <v>17</v>
      </c>
      <c r="O151" s="1">
        <v>21</v>
      </c>
      <c r="P151" s="1">
        <v>38</v>
      </c>
      <c r="Q151" s="1">
        <v>28</v>
      </c>
      <c r="R151" s="1">
        <v>32</v>
      </c>
      <c r="S151" s="1">
        <v>27</v>
      </c>
      <c r="T151" s="1">
        <v>43</v>
      </c>
      <c r="U151" s="1">
        <v>26</v>
      </c>
      <c r="V151" s="1">
        <v>12</v>
      </c>
      <c r="W151" s="1">
        <v>28</v>
      </c>
      <c r="X151" s="1">
        <v>12</v>
      </c>
      <c r="Y151" s="1">
        <v>39</v>
      </c>
      <c r="Z151" s="1">
        <v>38</v>
      </c>
      <c r="AA151" s="1">
        <v>66</v>
      </c>
      <c r="AB151" s="1">
        <v>20</v>
      </c>
      <c r="AC151" s="1">
        <v>21</v>
      </c>
      <c r="AD151" s="1">
        <v>20</v>
      </c>
      <c r="AE151" s="1">
        <v>12</v>
      </c>
      <c r="AF151" s="18">
        <f t="shared" si="2"/>
        <v>29.4</v>
      </c>
    </row>
    <row r="152" spans="1:32" x14ac:dyDescent="0.35">
      <c r="A152" s="1" t="s">
        <v>117</v>
      </c>
      <c r="B152" s="1">
        <v>15</v>
      </c>
      <c r="C152" s="1">
        <v>79</v>
      </c>
      <c r="D152" s="1">
        <v>49</v>
      </c>
      <c r="E152" s="1">
        <v>18</v>
      </c>
      <c r="F152" s="1">
        <v>37</v>
      </c>
      <c r="G152" s="1">
        <v>59</v>
      </c>
      <c r="H152" s="1">
        <v>64</v>
      </c>
      <c r="I152" s="1">
        <v>65</v>
      </c>
      <c r="J152" s="1">
        <v>96</v>
      </c>
      <c r="K152" s="1">
        <v>22</v>
      </c>
      <c r="L152" s="1">
        <v>34</v>
      </c>
      <c r="M152" s="1">
        <v>32</v>
      </c>
      <c r="N152" s="1">
        <v>73</v>
      </c>
      <c r="O152" s="1">
        <v>71</v>
      </c>
      <c r="P152" s="1">
        <v>103</v>
      </c>
      <c r="Q152" s="1">
        <v>92</v>
      </c>
      <c r="R152" s="1">
        <v>21</v>
      </c>
      <c r="S152" s="1">
        <v>37</v>
      </c>
      <c r="T152" s="1">
        <v>16</v>
      </c>
      <c r="U152" s="1">
        <v>51</v>
      </c>
      <c r="V152" s="1">
        <v>129</v>
      </c>
      <c r="W152" s="1">
        <v>17</v>
      </c>
      <c r="X152" s="1">
        <v>14</v>
      </c>
      <c r="Y152" s="1">
        <v>65</v>
      </c>
      <c r="Z152" s="1">
        <v>12</v>
      </c>
      <c r="AA152" s="1">
        <v>20</v>
      </c>
      <c r="AB152" s="1">
        <v>101</v>
      </c>
      <c r="AC152" s="1">
        <v>33</v>
      </c>
      <c r="AD152" s="1">
        <v>94</v>
      </c>
      <c r="AE152" s="1">
        <v>152</v>
      </c>
      <c r="AF152" s="18">
        <f t="shared" si="2"/>
        <v>55.7</v>
      </c>
    </row>
    <row r="153" spans="1:32" x14ac:dyDescent="0.35">
      <c r="A153" s="1" t="s">
        <v>198</v>
      </c>
      <c r="B153" s="1">
        <v>21</v>
      </c>
      <c r="C153" s="1">
        <v>17</v>
      </c>
      <c r="D153" s="1">
        <v>83</v>
      </c>
      <c r="E153" s="1">
        <v>119</v>
      </c>
      <c r="F153" s="1">
        <v>18</v>
      </c>
      <c r="G153" s="1">
        <v>15</v>
      </c>
      <c r="H153" s="1">
        <v>36</v>
      </c>
      <c r="I153" s="1">
        <v>76</v>
      </c>
      <c r="J153" s="1">
        <v>23</v>
      </c>
      <c r="K153" s="1">
        <v>42</v>
      </c>
      <c r="L153" s="1">
        <v>161</v>
      </c>
      <c r="M153" s="1">
        <v>14</v>
      </c>
      <c r="N153" s="1">
        <v>12</v>
      </c>
      <c r="O153" s="1">
        <v>72</v>
      </c>
      <c r="P153" s="1">
        <v>101</v>
      </c>
      <c r="Q153" s="1">
        <v>55</v>
      </c>
      <c r="R153" s="1">
        <v>22</v>
      </c>
      <c r="S153" s="1">
        <v>14</v>
      </c>
      <c r="T153" s="1">
        <v>15</v>
      </c>
      <c r="U153" s="1">
        <v>65</v>
      </c>
      <c r="V153" s="1">
        <v>47</v>
      </c>
      <c r="W153" s="1">
        <v>49</v>
      </c>
      <c r="X153" s="1">
        <v>70</v>
      </c>
      <c r="Y153" s="1">
        <v>227</v>
      </c>
      <c r="Z153" s="1">
        <v>114</v>
      </c>
      <c r="AA153" s="1">
        <v>48</v>
      </c>
      <c r="AB153" s="1">
        <v>112</v>
      </c>
      <c r="AC153" s="1">
        <v>61</v>
      </c>
      <c r="AD153" s="1">
        <v>83</v>
      </c>
      <c r="AE153" s="1">
        <v>15</v>
      </c>
      <c r="AF153" s="18">
        <f t="shared" si="2"/>
        <v>60.233333333333334</v>
      </c>
    </row>
    <row r="154" spans="1:32" x14ac:dyDescent="0.35">
      <c r="A154" s="1" t="s">
        <v>118</v>
      </c>
      <c r="B154" s="1">
        <v>101</v>
      </c>
      <c r="C154" s="1">
        <v>42</v>
      </c>
      <c r="D154" s="1">
        <v>51</v>
      </c>
      <c r="E154" s="1">
        <v>23</v>
      </c>
      <c r="F154" s="1">
        <v>96</v>
      </c>
      <c r="G154" s="1">
        <v>110</v>
      </c>
      <c r="H154" s="1">
        <v>24</v>
      </c>
      <c r="I154" s="1">
        <v>17</v>
      </c>
      <c r="J154" s="1">
        <v>27</v>
      </c>
      <c r="K154" s="1">
        <v>67</v>
      </c>
      <c r="L154" s="1">
        <v>21</v>
      </c>
      <c r="M154" s="1">
        <v>25</v>
      </c>
      <c r="N154" s="1">
        <v>66</v>
      </c>
      <c r="O154" s="1">
        <v>81</v>
      </c>
      <c r="P154" s="1">
        <v>30</v>
      </c>
      <c r="Q154" s="1">
        <v>20</v>
      </c>
      <c r="R154" s="1">
        <v>22</v>
      </c>
      <c r="S154" s="1">
        <v>116</v>
      </c>
      <c r="T154" s="1">
        <v>15</v>
      </c>
      <c r="U154" s="1">
        <v>52</v>
      </c>
      <c r="V154" s="1">
        <v>14</v>
      </c>
      <c r="W154" s="1">
        <v>34</v>
      </c>
      <c r="X154" s="1">
        <v>23</v>
      </c>
      <c r="Y154" s="1">
        <v>87</v>
      </c>
      <c r="Z154" s="1">
        <v>121</v>
      </c>
      <c r="AA154" s="1">
        <v>14</v>
      </c>
      <c r="AB154" s="1">
        <v>140</v>
      </c>
      <c r="AC154" s="1">
        <v>13</v>
      </c>
      <c r="AD154" s="1">
        <v>32</v>
      </c>
      <c r="AE154" s="1">
        <v>22</v>
      </c>
      <c r="AF154" s="18">
        <f t="shared" si="2"/>
        <v>50.2</v>
      </c>
    </row>
    <row r="155" spans="1:32" x14ac:dyDescent="0.35">
      <c r="A155" s="1" t="s">
        <v>119</v>
      </c>
      <c r="B155" s="1">
        <v>15</v>
      </c>
      <c r="C155" s="1">
        <v>70</v>
      </c>
      <c r="D155" s="1">
        <v>99</v>
      </c>
      <c r="E155" s="1">
        <v>46</v>
      </c>
      <c r="F155" s="1">
        <v>32</v>
      </c>
      <c r="G155" s="1">
        <v>83</v>
      </c>
      <c r="H155" s="1">
        <v>46</v>
      </c>
      <c r="I155" s="1">
        <v>16</v>
      </c>
      <c r="J155" s="1">
        <v>12</v>
      </c>
      <c r="K155" s="1">
        <v>100</v>
      </c>
      <c r="L155" s="1">
        <v>26</v>
      </c>
      <c r="M155" s="1">
        <v>39</v>
      </c>
      <c r="N155" s="1">
        <v>132</v>
      </c>
      <c r="O155" s="1">
        <v>140</v>
      </c>
      <c r="P155" s="1">
        <v>27</v>
      </c>
      <c r="Q155" s="1">
        <v>32</v>
      </c>
      <c r="R155" s="1">
        <v>33</v>
      </c>
      <c r="S155" s="1">
        <v>136</v>
      </c>
      <c r="T155" s="1">
        <v>54</v>
      </c>
      <c r="U155" s="1">
        <v>43</v>
      </c>
      <c r="V155" s="1">
        <v>167</v>
      </c>
      <c r="W155" s="1">
        <v>65</v>
      </c>
      <c r="X155" s="1">
        <v>35</v>
      </c>
      <c r="Y155" s="1">
        <v>82</v>
      </c>
      <c r="Z155" s="1">
        <v>64</v>
      </c>
      <c r="AA155" s="1">
        <v>18</v>
      </c>
      <c r="AB155" s="1">
        <v>30</v>
      </c>
      <c r="AC155" s="1">
        <v>17</v>
      </c>
      <c r="AD155" s="1">
        <v>20</v>
      </c>
      <c r="AE155" s="1">
        <v>211</v>
      </c>
      <c r="AF155" s="18">
        <f t="shared" si="2"/>
        <v>63</v>
      </c>
    </row>
    <row r="156" spans="1:32" x14ac:dyDescent="0.35">
      <c r="A156" s="1" t="s">
        <v>191</v>
      </c>
      <c r="B156" s="1">
        <v>76</v>
      </c>
      <c r="C156" s="1">
        <v>46</v>
      </c>
      <c r="D156" s="1">
        <v>25</v>
      </c>
      <c r="E156" s="1">
        <v>12</v>
      </c>
      <c r="F156" s="1">
        <v>68</v>
      </c>
      <c r="G156" s="1">
        <v>25</v>
      </c>
      <c r="H156" s="1">
        <v>68</v>
      </c>
      <c r="I156" s="1">
        <v>63</v>
      </c>
      <c r="J156" s="1">
        <v>104</v>
      </c>
      <c r="K156" s="1">
        <v>20</v>
      </c>
      <c r="L156" s="1">
        <v>108</v>
      </c>
      <c r="M156" s="1">
        <v>24</v>
      </c>
      <c r="N156" s="1">
        <v>13</v>
      </c>
      <c r="O156" s="1">
        <v>87</v>
      </c>
      <c r="P156" s="1">
        <v>53</v>
      </c>
      <c r="Q156" s="1">
        <v>30</v>
      </c>
      <c r="R156" s="1">
        <v>30</v>
      </c>
      <c r="S156" s="1">
        <v>79</v>
      </c>
      <c r="T156" s="1">
        <v>12</v>
      </c>
      <c r="U156" s="1">
        <v>189</v>
      </c>
      <c r="V156" s="1">
        <v>35</v>
      </c>
      <c r="W156" s="1">
        <v>61</v>
      </c>
      <c r="X156" s="1">
        <v>44</v>
      </c>
      <c r="Y156" s="1">
        <v>205</v>
      </c>
      <c r="Z156" s="1">
        <v>17</v>
      </c>
      <c r="AA156" s="1">
        <v>34</v>
      </c>
      <c r="AB156" s="1">
        <v>51</v>
      </c>
      <c r="AC156" s="1">
        <v>30</v>
      </c>
      <c r="AD156" s="1">
        <v>50</v>
      </c>
      <c r="AE156" s="1">
        <v>71</v>
      </c>
      <c r="AF156" s="18">
        <f t="shared" si="2"/>
        <v>57.666666666666664</v>
      </c>
    </row>
    <row r="157" spans="1:32" x14ac:dyDescent="0.35">
      <c r="A157" s="1" t="s">
        <v>120</v>
      </c>
      <c r="B157" s="1">
        <v>37</v>
      </c>
      <c r="C157" s="1">
        <v>19</v>
      </c>
      <c r="D157" s="1">
        <v>58</v>
      </c>
      <c r="E157" s="1">
        <v>29</v>
      </c>
      <c r="F157" s="1">
        <v>16</v>
      </c>
      <c r="G157" s="1">
        <v>17</v>
      </c>
      <c r="H157" s="1">
        <v>17</v>
      </c>
      <c r="I157" s="1">
        <v>91</v>
      </c>
      <c r="J157" s="1">
        <v>23</v>
      </c>
      <c r="K157" s="1">
        <v>63</v>
      </c>
      <c r="L157" s="1">
        <v>51</v>
      </c>
      <c r="M157" s="1">
        <v>63</v>
      </c>
      <c r="N157" s="1">
        <v>79</v>
      </c>
      <c r="O157" s="1">
        <v>42</v>
      </c>
      <c r="P157" s="1">
        <v>33</v>
      </c>
      <c r="Q157" s="1">
        <v>33</v>
      </c>
      <c r="R157" s="1">
        <v>56</v>
      </c>
      <c r="S157" s="1">
        <v>42</v>
      </c>
      <c r="T157" s="1">
        <v>12</v>
      </c>
      <c r="U157" s="1">
        <v>20</v>
      </c>
      <c r="V157" s="1">
        <v>34</v>
      </c>
      <c r="W157" s="1">
        <v>70</v>
      </c>
      <c r="X157" s="1">
        <v>48</v>
      </c>
      <c r="Y157" s="1">
        <v>65</v>
      </c>
      <c r="Z157" s="1">
        <v>150</v>
      </c>
      <c r="AA157" s="1">
        <v>59</v>
      </c>
      <c r="AB157" s="1">
        <v>12</v>
      </c>
      <c r="AC157" s="1">
        <v>21</v>
      </c>
      <c r="AD157" s="1">
        <v>27</v>
      </c>
      <c r="AE157" s="1">
        <v>36</v>
      </c>
      <c r="AF157" s="18">
        <f t="shared" si="2"/>
        <v>44.1</v>
      </c>
    </row>
    <row r="158" spans="1:32" x14ac:dyDescent="0.35">
      <c r="A158" s="1" t="s">
        <v>121</v>
      </c>
      <c r="B158" s="1">
        <v>38</v>
      </c>
      <c r="C158" s="1">
        <v>16</v>
      </c>
      <c r="D158" s="1">
        <v>30</v>
      </c>
      <c r="E158" s="1">
        <v>53</v>
      </c>
      <c r="F158" s="1">
        <v>25</v>
      </c>
      <c r="G158" s="1">
        <v>32</v>
      </c>
      <c r="H158" s="1">
        <v>55</v>
      </c>
      <c r="I158" s="1">
        <v>12</v>
      </c>
      <c r="J158" s="1">
        <v>31</v>
      </c>
      <c r="K158" s="1">
        <v>13</v>
      </c>
      <c r="L158" s="1">
        <v>60</v>
      </c>
      <c r="M158" s="1">
        <v>80</v>
      </c>
      <c r="N158" s="1">
        <v>29</v>
      </c>
      <c r="O158" s="1">
        <v>13</v>
      </c>
      <c r="P158" s="1">
        <v>83</v>
      </c>
      <c r="Q158" s="1">
        <v>22</v>
      </c>
      <c r="R158" s="1">
        <v>47</v>
      </c>
      <c r="S158" s="1">
        <v>53</v>
      </c>
      <c r="T158" s="1">
        <v>24</v>
      </c>
      <c r="U158" s="1">
        <v>14</v>
      </c>
      <c r="V158" s="1">
        <v>79</v>
      </c>
      <c r="W158" s="1">
        <v>134</v>
      </c>
      <c r="X158" s="1">
        <v>57</v>
      </c>
      <c r="Y158" s="1">
        <v>47</v>
      </c>
      <c r="Z158" s="1">
        <v>21</v>
      </c>
      <c r="AA158" s="1">
        <v>37</v>
      </c>
      <c r="AB158" s="1">
        <v>53</v>
      </c>
      <c r="AC158" s="1">
        <v>28</v>
      </c>
      <c r="AD158" s="1">
        <v>25</v>
      </c>
      <c r="AE158" s="1">
        <v>59</v>
      </c>
      <c r="AF158" s="18">
        <f t="shared" si="2"/>
        <v>42.333333333333336</v>
      </c>
    </row>
    <row r="159" spans="1:32" x14ac:dyDescent="0.35">
      <c r="A159" s="1" t="s">
        <v>141</v>
      </c>
      <c r="B159" s="1">
        <v>18</v>
      </c>
      <c r="C159" s="1">
        <v>22</v>
      </c>
      <c r="D159" s="1">
        <v>36</v>
      </c>
      <c r="E159" s="1">
        <v>265</v>
      </c>
      <c r="F159" s="1">
        <v>64</v>
      </c>
      <c r="G159" s="1">
        <v>70</v>
      </c>
      <c r="H159" s="1">
        <v>15</v>
      </c>
      <c r="I159" s="1">
        <v>39</v>
      </c>
      <c r="J159" s="1">
        <v>62</v>
      </c>
      <c r="K159" s="1">
        <v>71</v>
      </c>
      <c r="L159" s="1">
        <v>77</v>
      </c>
      <c r="M159" s="1">
        <v>46</v>
      </c>
      <c r="N159" s="1">
        <v>79</v>
      </c>
      <c r="O159" s="1">
        <v>93</v>
      </c>
      <c r="P159" s="1">
        <v>23</v>
      </c>
      <c r="Q159" s="1">
        <v>68</v>
      </c>
      <c r="R159" s="1">
        <v>89</v>
      </c>
      <c r="S159" s="1">
        <v>99</v>
      </c>
      <c r="T159" s="1">
        <v>59</v>
      </c>
      <c r="U159" s="1">
        <v>122</v>
      </c>
      <c r="V159" s="1">
        <v>53</v>
      </c>
      <c r="W159" s="1">
        <v>70</v>
      </c>
      <c r="X159" s="1">
        <v>256</v>
      </c>
      <c r="Y159" s="1">
        <v>72</v>
      </c>
      <c r="Z159" s="1">
        <v>25</v>
      </c>
      <c r="AA159" s="1">
        <v>170</v>
      </c>
      <c r="AB159" s="1">
        <v>25</v>
      </c>
      <c r="AC159" s="1">
        <v>97</v>
      </c>
      <c r="AD159" s="1">
        <v>19</v>
      </c>
      <c r="AE159" s="1">
        <v>67</v>
      </c>
      <c r="AF159" s="18">
        <f t="shared" si="2"/>
        <v>75.7</v>
      </c>
    </row>
    <row r="160" spans="1:32" x14ac:dyDescent="0.35">
      <c r="A160" s="1" t="s">
        <v>122</v>
      </c>
      <c r="B160" s="1">
        <v>23</v>
      </c>
      <c r="C160" s="1">
        <v>161</v>
      </c>
      <c r="D160" s="1">
        <v>73</v>
      </c>
      <c r="E160" s="1">
        <v>20</v>
      </c>
      <c r="F160" s="1">
        <v>53</v>
      </c>
      <c r="G160" s="1">
        <v>39</v>
      </c>
      <c r="H160" s="1">
        <v>12</v>
      </c>
      <c r="I160" s="1">
        <v>36</v>
      </c>
      <c r="J160" s="1">
        <v>13</v>
      </c>
      <c r="K160" s="1">
        <v>23</v>
      </c>
      <c r="L160" s="1">
        <v>15</v>
      </c>
      <c r="M160" s="1">
        <v>42</v>
      </c>
      <c r="N160" s="1">
        <v>55</v>
      </c>
      <c r="O160" s="1">
        <v>15</v>
      </c>
      <c r="P160" s="1">
        <v>12</v>
      </c>
      <c r="Q160" s="1">
        <v>15</v>
      </c>
      <c r="R160" s="1">
        <v>19</v>
      </c>
      <c r="S160" s="1">
        <v>27</v>
      </c>
      <c r="T160" s="1">
        <v>80</v>
      </c>
      <c r="U160" s="1">
        <v>70</v>
      </c>
      <c r="V160" s="1">
        <v>26</v>
      </c>
      <c r="W160" s="1">
        <v>20</v>
      </c>
      <c r="X160" s="1">
        <v>48</v>
      </c>
      <c r="Y160" s="1">
        <v>31</v>
      </c>
      <c r="Z160" s="1">
        <v>56</v>
      </c>
      <c r="AA160" s="1">
        <v>17</v>
      </c>
      <c r="AB160" s="1">
        <v>39</v>
      </c>
      <c r="AC160" s="1">
        <v>13</v>
      </c>
      <c r="AD160" s="1">
        <v>32</v>
      </c>
      <c r="AE160" s="1">
        <v>33</v>
      </c>
      <c r="AF160" s="18">
        <f t="shared" si="2"/>
        <v>37.266666666666666</v>
      </c>
    </row>
    <row r="161" spans="1:32" x14ac:dyDescent="0.35">
      <c r="A161" s="1" t="s">
        <v>165</v>
      </c>
      <c r="B161" s="1">
        <v>91</v>
      </c>
      <c r="C161" s="1">
        <v>15</v>
      </c>
      <c r="D161" s="1">
        <v>30</v>
      </c>
      <c r="E161" s="1">
        <v>229</v>
      </c>
      <c r="F161" s="1">
        <v>127</v>
      </c>
      <c r="G161" s="1">
        <v>58</v>
      </c>
      <c r="H161" s="1">
        <v>21</v>
      </c>
      <c r="I161" s="1">
        <v>139</v>
      </c>
      <c r="J161" s="1">
        <v>216</v>
      </c>
      <c r="K161" s="1">
        <v>139</v>
      </c>
      <c r="L161" s="1">
        <v>30</v>
      </c>
      <c r="M161" s="1">
        <v>75</v>
      </c>
      <c r="N161" s="1">
        <v>57</v>
      </c>
      <c r="O161" s="1">
        <v>57</v>
      </c>
      <c r="P161" s="1">
        <v>43</v>
      </c>
      <c r="Q161" s="1">
        <v>22</v>
      </c>
      <c r="R161" s="1">
        <v>55</v>
      </c>
      <c r="S161" s="1">
        <v>27</v>
      </c>
      <c r="T161" s="1">
        <v>37</v>
      </c>
      <c r="U161" s="1">
        <v>54</v>
      </c>
      <c r="V161" s="1">
        <v>22</v>
      </c>
      <c r="W161" s="1">
        <v>107</v>
      </c>
      <c r="X161" s="1">
        <v>56</v>
      </c>
      <c r="Y161" s="1">
        <v>13</v>
      </c>
      <c r="Z161" s="1">
        <v>14</v>
      </c>
      <c r="AA161" s="1">
        <v>12</v>
      </c>
      <c r="AB161" s="1">
        <v>55</v>
      </c>
      <c r="AC161" s="1">
        <v>29</v>
      </c>
      <c r="AD161" s="1">
        <v>39</v>
      </c>
      <c r="AE161" s="1">
        <v>45</v>
      </c>
      <c r="AF161" s="18">
        <f t="shared" si="2"/>
        <v>63.8</v>
      </c>
    </row>
    <row r="162" spans="1:32" x14ac:dyDescent="0.35">
      <c r="A162" s="1" t="s">
        <v>123</v>
      </c>
      <c r="B162" s="1">
        <v>79</v>
      </c>
      <c r="C162" s="1">
        <v>91</v>
      </c>
      <c r="D162" s="1">
        <v>97</v>
      </c>
      <c r="E162" s="1">
        <v>90</v>
      </c>
      <c r="F162" s="1">
        <v>45</v>
      </c>
      <c r="G162" s="1">
        <v>24</v>
      </c>
      <c r="H162" s="1">
        <v>105</v>
      </c>
      <c r="I162" s="1">
        <v>63</v>
      </c>
      <c r="J162" s="1">
        <v>62</v>
      </c>
      <c r="K162" s="1">
        <v>22</v>
      </c>
      <c r="L162" s="1">
        <v>37</v>
      </c>
      <c r="M162" s="1">
        <v>44</v>
      </c>
      <c r="N162" s="1">
        <v>13</v>
      </c>
      <c r="O162" s="1">
        <v>35</v>
      </c>
      <c r="P162" s="1">
        <v>31</v>
      </c>
      <c r="Q162" s="1">
        <v>40</v>
      </c>
      <c r="R162" s="1">
        <v>49</v>
      </c>
      <c r="S162" s="1">
        <v>63</v>
      </c>
      <c r="T162" s="1">
        <v>170</v>
      </c>
      <c r="U162" s="1">
        <v>26</v>
      </c>
      <c r="V162" s="1">
        <v>76</v>
      </c>
      <c r="W162" s="1">
        <v>30</v>
      </c>
      <c r="X162" s="1">
        <v>136</v>
      </c>
      <c r="Y162" s="1">
        <v>40</v>
      </c>
      <c r="Z162" s="1">
        <v>15</v>
      </c>
      <c r="AA162" s="1">
        <v>67</v>
      </c>
      <c r="AB162" s="1">
        <v>23</v>
      </c>
      <c r="AC162" s="1">
        <v>79</v>
      </c>
      <c r="AD162" s="1">
        <v>28</v>
      </c>
      <c r="AE162" s="1">
        <v>17</v>
      </c>
      <c r="AF162" s="18">
        <f t="shared" si="2"/>
        <v>56.56666666666667</v>
      </c>
    </row>
    <row r="163" spans="1:32" x14ac:dyDescent="0.35">
      <c r="A163" s="1" t="s">
        <v>124</v>
      </c>
      <c r="B163" s="1">
        <v>46</v>
      </c>
      <c r="C163" s="1">
        <v>76</v>
      </c>
      <c r="D163" s="1">
        <v>34</v>
      </c>
      <c r="E163" s="1">
        <v>36</v>
      </c>
      <c r="F163" s="1">
        <v>24</v>
      </c>
      <c r="G163" s="1">
        <v>21</v>
      </c>
      <c r="H163" s="1">
        <v>17</v>
      </c>
      <c r="I163" s="1">
        <v>16</v>
      </c>
      <c r="J163" s="1">
        <v>26</v>
      </c>
      <c r="K163" s="1">
        <v>19</v>
      </c>
      <c r="L163" s="1">
        <v>20</v>
      </c>
      <c r="M163" s="1">
        <v>16</v>
      </c>
      <c r="N163" s="1">
        <v>53</v>
      </c>
      <c r="O163" s="1">
        <v>22</v>
      </c>
      <c r="P163" s="1">
        <v>79</v>
      </c>
      <c r="Q163" s="1">
        <v>64</v>
      </c>
      <c r="R163" s="1">
        <v>17</v>
      </c>
      <c r="S163" s="1">
        <v>13</v>
      </c>
      <c r="T163" s="1">
        <v>20</v>
      </c>
      <c r="U163" s="1">
        <v>13</v>
      </c>
      <c r="V163" s="1">
        <v>22</v>
      </c>
      <c r="W163" s="1">
        <v>70</v>
      </c>
      <c r="X163" s="1">
        <v>31</v>
      </c>
      <c r="Y163" s="1">
        <v>82</v>
      </c>
      <c r="Z163" s="1">
        <v>15</v>
      </c>
      <c r="AA163" s="1">
        <v>82</v>
      </c>
      <c r="AB163" s="1">
        <v>61</v>
      </c>
      <c r="AC163" s="1">
        <v>212</v>
      </c>
      <c r="AD163" s="1">
        <v>137</v>
      </c>
      <c r="AE163" s="1">
        <v>13</v>
      </c>
      <c r="AF163" s="18">
        <f t="shared" si="2"/>
        <v>45.233333333333334</v>
      </c>
    </row>
    <row r="164" spans="1:32" x14ac:dyDescent="0.35">
      <c r="A164" s="1" t="s">
        <v>125</v>
      </c>
      <c r="B164" s="1">
        <v>25</v>
      </c>
      <c r="C164" s="1">
        <v>13</v>
      </c>
      <c r="D164" s="1">
        <v>98</v>
      </c>
      <c r="E164" s="1">
        <v>21</v>
      </c>
      <c r="F164" s="1">
        <v>20</v>
      </c>
      <c r="G164" s="1">
        <v>24</v>
      </c>
      <c r="H164" s="1">
        <v>269</v>
      </c>
      <c r="I164" s="1">
        <v>12</v>
      </c>
      <c r="J164" s="1">
        <v>32</v>
      </c>
      <c r="K164" s="1">
        <v>144</v>
      </c>
      <c r="L164" s="1">
        <v>132</v>
      </c>
      <c r="M164" s="1">
        <v>37</v>
      </c>
      <c r="N164" s="1">
        <v>31</v>
      </c>
      <c r="O164" s="1">
        <v>29</v>
      </c>
      <c r="P164" s="1">
        <v>17</v>
      </c>
      <c r="Q164" s="1">
        <v>183</v>
      </c>
      <c r="R164" s="1">
        <v>168</v>
      </c>
      <c r="S164" s="1">
        <v>70</v>
      </c>
      <c r="T164" s="1">
        <v>13</v>
      </c>
      <c r="U164" s="1">
        <v>78</v>
      </c>
      <c r="V164" s="1">
        <v>103</v>
      </c>
      <c r="W164" s="1">
        <v>70</v>
      </c>
      <c r="X164" s="1">
        <v>40</v>
      </c>
      <c r="Y164" s="1">
        <v>15</v>
      </c>
      <c r="Z164" s="1">
        <v>88</v>
      </c>
      <c r="AA164" s="1">
        <v>40</v>
      </c>
      <c r="AB164" s="1">
        <v>61</v>
      </c>
      <c r="AC164" s="1">
        <v>31</v>
      </c>
      <c r="AD164" s="1">
        <v>14</v>
      </c>
      <c r="AE164" s="1">
        <v>93</v>
      </c>
      <c r="AF164" s="18">
        <f t="shared" si="2"/>
        <v>65.7</v>
      </c>
    </row>
    <row r="165" spans="1:32" x14ac:dyDescent="0.35">
      <c r="A165" s="1" t="s">
        <v>126</v>
      </c>
      <c r="B165" s="1">
        <v>27</v>
      </c>
      <c r="C165" s="1">
        <v>19</v>
      </c>
      <c r="D165" s="1">
        <v>43</v>
      </c>
      <c r="E165" s="1">
        <v>16</v>
      </c>
      <c r="F165" s="1">
        <v>30</v>
      </c>
      <c r="G165" s="1">
        <v>52</v>
      </c>
      <c r="H165" s="1">
        <v>58</v>
      </c>
      <c r="I165" s="1">
        <v>32</v>
      </c>
      <c r="J165" s="1">
        <v>15</v>
      </c>
      <c r="K165" s="1">
        <v>15</v>
      </c>
      <c r="L165" s="1">
        <v>26</v>
      </c>
      <c r="M165" s="1">
        <v>38</v>
      </c>
      <c r="N165" s="1">
        <v>18</v>
      </c>
      <c r="O165" s="1">
        <v>22</v>
      </c>
      <c r="P165" s="1">
        <v>178</v>
      </c>
      <c r="Q165" s="1">
        <v>61</v>
      </c>
      <c r="R165" s="1">
        <v>24</v>
      </c>
      <c r="S165" s="1">
        <v>23</v>
      </c>
      <c r="T165" s="1">
        <v>21</v>
      </c>
      <c r="U165" s="1">
        <v>12</v>
      </c>
      <c r="V165" s="1">
        <v>34</v>
      </c>
      <c r="W165" s="1">
        <v>18</v>
      </c>
      <c r="X165" s="1">
        <v>80</v>
      </c>
      <c r="Y165" s="1">
        <v>88</v>
      </c>
      <c r="Z165" s="1">
        <v>59</v>
      </c>
      <c r="AA165" s="1">
        <v>26</v>
      </c>
      <c r="AB165" s="1">
        <v>65</v>
      </c>
      <c r="AC165" s="1">
        <v>102</v>
      </c>
      <c r="AD165" s="1">
        <v>68</v>
      </c>
      <c r="AE165" s="1">
        <v>38</v>
      </c>
      <c r="AF165" s="18">
        <f t="shared" si="2"/>
        <v>43.6</v>
      </c>
    </row>
    <row r="166" spans="1:32" x14ac:dyDescent="0.35">
      <c r="A166" s="1" t="s">
        <v>127</v>
      </c>
      <c r="B166" s="1">
        <v>13</v>
      </c>
      <c r="C166" s="1">
        <v>19</v>
      </c>
      <c r="D166" s="1">
        <v>13</v>
      </c>
      <c r="E166" s="1">
        <v>15</v>
      </c>
      <c r="F166" s="1">
        <v>33</v>
      </c>
      <c r="G166" s="1">
        <v>41</v>
      </c>
      <c r="H166" s="1">
        <v>18</v>
      </c>
      <c r="I166" s="1">
        <v>53</v>
      </c>
      <c r="J166" s="1">
        <v>14</v>
      </c>
      <c r="K166" s="1">
        <v>13</v>
      </c>
      <c r="L166" s="1">
        <v>17</v>
      </c>
      <c r="M166" s="1">
        <v>30</v>
      </c>
      <c r="N166" s="1">
        <v>47</v>
      </c>
      <c r="O166" s="1">
        <v>13</v>
      </c>
      <c r="P166" s="1">
        <v>24</v>
      </c>
      <c r="Q166" s="1">
        <v>68</v>
      </c>
      <c r="R166" s="1">
        <v>16</v>
      </c>
      <c r="S166" s="1">
        <v>19</v>
      </c>
      <c r="T166" s="1">
        <v>23</v>
      </c>
      <c r="U166" s="1">
        <v>27</v>
      </c>
      <c r="V166" s="1">
        <v>13</v>
      </c>
      <c r="W166" s="1">
        <v>93</v>
      </c>
      <c r="X166" s="1">
        <v>78</v>
      </c>
      <c r="Y166" s="1">
        <v>45</v>
      </c>
      <c r="Z166" s="1">
        <v>35</v>
      </c>
      <c r="AA166" s="1">
        <v>23</v>
      </c>
      <c r="AB166" s="1">
        <v>81</v>
      </c>
      <c r="AC166" s="1">
        <v>37</v>
      </c>
      <c r="AD166" s="1">
        <v>88</v>
      </c>
      <c r="AE166" s="1">
        <v>42</v>
      </c>
      <c r="AF166" s="18">
        <f t="shared" si="2"/>
        <v>35.033333333333331</v>
      </c>
    </row>
    <row r="167" spans="1:32" x14ac:dyDescent="0.35">
      <c r="A167" s="1" t="s">
        <v>128</v>
      </c>
      <c r="B167" s="1">
        <v>31</v>
      </c>
      <c r="C167" s="1">
        <v>61</v>
      </c>
      <c r="D167" s="1">
        <v>54</v>
      </c>
      <c r="E167" s="1">
        <v>53</v>
      </c>
      <c r="F167" s="1">
        <v>25</v>
      </c>
      <c r="G167" s="1">
        <v>23</v>
      </c>
      <c r="H167" s="1">
        <v>43</v>
      </c>
      <c r="I167" s="1">
        <v>142</v>
      </c>
      <c r="J167" s="1">
        <v>21</v>
      </c>
      <c r="K167" s="1">
        <v>14</v>
      </c>
      <c r="L167" s="1">
        <v>21</v>
      </c>
      <c r="M167" s="1">
        <v>12</v>
      </c>
      <c r="N167" s="1">
        <v>29</v>
      </c>
      <c r="O167" s="1">
        <v>15</v>
      </c>
      <c r="P167" s="1">
        <v>16</v>
      </c>
      <c r="Q167" s="1">
        <v>12</v>
      </c>
      <c r="R167" s="1">
        <v>18</v>
      </c>
      <c r="S167" s="1">
        <v>31</v>
      </c>
      <c r="T167" s="1">
        <v>29</v>
      </c>
      <c r="U167" s="1">
        <v>12</v>
      </c>
      <c r="V167" s="1">
        <v>71</v>
      </c>
      <c r="W167" s="1">
        <v>21</v>
      </c>
      <c r="X167" s="1">
        <v>72</v>
      </c>
      <c r="Y167" s="1">
        <v>50</v>
      </c>
      <c r="Z167" s="1">
        <v>76</v>
      </c>
      <c r="AA167" s="1">
        <v>53</v>
      </c>
      <c r="AB167" s="1">
        <v>34</v>
      </c>
      <c r="AC167" s="1">
        <v>18</v>
      </c>
      <c r="AD167" s="1">
        <v>43</v>
      </c>
      <c r="AE167" s="1">
        <v>90</v>
      </c>
      <c r="AF167" s="18">
        <f t="shared" si="2"/>
        <v>39.666666666666664</v>
      </c>
    </row>
    <row r="168" spans="1:32" x14ac:dyDescent="0.35">
      <c r="A168" s="1" t="s">
        <v>156</v>
      </c>
      <c r="B168" s="1">
        <v>26</v>
      </c>
      <c r="C168" s="1">
        <v>16</v>
      </c>
      <c r="D168" s="1">
        <v>20</v>
      </c>
      <c r="E168" s="1">
        <v>66</v>
      </c>
      <c r="F168" s="1">
        <v>25</v>
      </c>
      <c r="G168" s="1">
        <v>49</v>
      </c>
      <c r="H168" s="1">
        <v>144</v>
      </c>
      <c r="I168" s="1">
        <v>86</v>
      </c>
      <c r="J168" s="1">
        <v>120</v>
      </c>
      <c r="K168" s="1">
        <v>116</v>
      </c>
      <c r="L168" s="1">
        <v>106</v>
      </c>
      <c r="M168" s="1">
        <v>37</v>
      </c>
      <c r="N168" s="1">
        <v>140</v>
      </c>
      <c r="O168" s="1">
        <v>31</v>
      </c>
      <c r="P168" s="1">
        <v>12</v>
      </c>
      <c r="Q168" s="1">
        <v>91</v>
      </c>
      <c r="R168" s="1">
        <v>34</v>
      </c>
      <c r="S168" s="1">
        <v>135</v>
      </c>
      <c r="T168" s="1">
        <v>24</v>
      </c>
      <c r="U168" s="1">
        <v>105</v>
      </c>
      <c r="V168" s="1">
        <v>57</v>
      </c>
      <c r="W168" s="1">
        <v>13</v>
      </c>
      <c r="X168" s="1">
        <v>51</v>
      </c>
      <c r="Y168" s="1">
        <v>56</v>
      </c>
      <c r="Z168" s="1">
        <v>105</v>
      </c>
      <c r="AA168" s="1">
        <v>97</v>
      </c>
      <c r="AB168" s="1">
        <v>31</v>
      </c>
      <c r="AC168" s="1">
        <v>40</v>
      </c>
      <c r="AD168" s="1">
        <v>18</v>
      </c>
      <c r="AE168" s="1">
        <v>107</v>
      </c>
      <c r="AF168" s="18">
        <f t="shared" si="2"/>
        <v>65.266666666666666</v>
      </c>
    </row>
    <row r="169" spans="1:32" x14ac:dyDescent="0.35">
      <c r="A169" s="1" t="s">
        <v>129</v>
      </c>
      <c r="B169" s="1">
        <v>120</v>
      </c>
      <c r="C169" s="1">
        <v>54</v>
      </c>
      <c r="D169" s="1">
        <v>72</v>
      </c>
      <c r="E169" s="1">
        <v>31</v>
      </c>
      <c r="F169" s="1">
        <v>88</v>
      </c>
      <c r="G169" s="1">
        <v>82</v>
      </c>
      <c r="H169" s="1">
        <v>140</v>
      </c>
      <c r="I169" s="1">
        <v>27</v>
      </c>
      <c r="J169" s="1">
        <v>42</v>
      </c>
      <c r="K169" s="1">
        <v>45</v>
      </c>
      <c r="L169" s="1">
        <v>83</v>
      </c>
      <c r="M169" s="1">
        <v>135</v>
      </c>
      <c r="N169" s="1">
        <v>34</v>
      </c>
      <c r="O169" s="1">
        <v>15</v>
      </c>
      <c r="P169" s="1">
        <v>13</v>
      </c>
      <c r="Q169" s="1">
        <v>26</v>
      </c>
      <c r="R169" s="1">
        <v>71</v>
      </c>
      <c r="S169" s="1">
        <v>30</v>
      </c>
      <c r="T169" s="1">
        <v>131</v>
      </c>
      <c r="U169" s="1">
        <v>94</v>
      </c>
      <c r="V169" s="1">
        <v>204</v>
      </c>
      <c r="W169" s="1">
        <v>15</v>
      </c>
      <c r="X169" s="1">
        <v>111</v>
      </c>
      <c r="Y169" s="1">
        <v>39</v>
      </c>
      <c r="Z169" s="1">
        <v>38</v>
      </c>
      <c r="AA169" s="1">
        <v>53</v>
      </c>
      <c r="AB169" s="1">
        <v>31</v>
      </c>
      <c r="AC169" s="1">
        <v>43</v>
      </c>
      <c r="AD169" s="1">
        <v>18</v>
      </c>
      <c r="AE169" s="1">
        <v>22</v>
      </c>
      <c r="AF169" s="18">
        <f t="shared" si="2"/>
        <v>63.56666666666667</v>
      </c>
    </row>
    <row r="170" spans="1:32" x14ac:dyDescent="0.35">
      <c r="A170" s="1" t="s">
        <v>130</v>
      </c>
      <c r="B170" s="1">
        <v>59</v>
      </c>
      <c r="C170" s="1">
        <v>99</v>
      </c>
      <c r="D170" s="1">
        <v>44</v>
      </c>
      <c r="E170" s="1">
        <v>72</v>
      </c>
      <c r="F170" s="1">
        <v>37</v>
      </c>
      <c r="G170" s="1">
        <v>158</v>
      </c>
      <c r="H170" s="1">
        <v>41</v>
      </c>
      <c r="I170" s="1">
        <v>15</v>
      </c>
      <c r="J170" s="1">
        <v>63</v>
      </c>
      <c r="K170" s="1">
        <v>109</v>
      </c>
      <c r="L170" s="1">
        <v>134</v>
      </c>
      <c r="M170" s="1">
        <v>21</v>
      </c>
      <c r="N170" s="1">
        <v>74</v>
      </c>
      <c r="O170" s="1">
        <v>37</v>
      </c>
      <c r="P170" s="1">
        <v>35</v>
      </c>
      <c r="Q170" s="1">
        <v>113</v>
      </c>
      <c r="R170" s="1">
        <v>15</v>
      </c>
      <c r="S170" s="1">
        <v>23</v>
      </c>
      <c r="T170" s="1">
        <v>14</v>
      </c>
      <c r="U170" s="1">
        <v>45</v>
      </c>
      <c r="V170" s="1">
        <v>35</v>
      </c>
      <c r="W170" s="1">
        <v>117</v>
      </c>
      <c r="X170" s="1">
        <v>25</v>
      </c>
      <c r="Y170" s="1">
        <v>230</v>
      </c>
      <c r="Z170" s="1">
        <v>166</v>
      </c>
      <c r="AA170" s="1">
        <v>148</v>
      </c>
      <c r="AB170" s="1">
        <v>12</v>
      </c>
      <c r="AC170" s="1">
        <v>34</v>
      </c>
      <c r="AD170" s="1">
        <v>22</v>
      </c>
      <c r="AE170" s="1">
        <v>89</v>
      </c>
      <c r="AF170" s="18">
        <f t="shared" si="2"/>
        <v>69.533333333333331</v>
      </c>
    </row>
    <row r="171" spans="1:32" x14ac:dyDescent="0.35">
      <c r="A171" s="1" t="s">
        <v>192</v>
      </c>
      <c r="B171" s="1">
        <v>14</v>
      </c>
      <c r="C171" s="1">
        <v>23</v>
      </c>
      <c r="D171" s="1">
        <v>20</v>
      </c>
      <c r="E171" s="1">
        <v>42</v>
      </c>
      <c r="F171" s="1">
        <v>35</v>
      </c>
      <c r="G171" s="1">
        <v>36</v>
      </c>
      <c r="H171" s="1">
        <v>33</v>
      </c>
      <c r="I171" s="1">
        <v>30</v>
      </c>
      <c r="J171" s="1">
        <v>121</v>
      </c>
      <c r="K171" s="1">
        <v>86</v>
      </c>
      <c r="L171" s="1">
        <v>32</v>
      </c>
      <c r="M171" s="1">
        <v>17</v>
      </c>
      <c r="N171" s="1">
        <v>46</v>
      </c>
      <c r="O171" s="1">
        <v>47</v>
      </c>
      <c r="P171" s="1">
        <v>85</v>
      </c>
      <c r="Q171" s="1">
        <v>14</v>
      </c>
      <c r="R171" s="1">
        <v>29</v>
      </c>
      <c r="S171" s="1">
        <v>48</v>
      </c>
      <c r="T171" s="1">
        <v>20</v>
      </c>
      <c r="U171" s="1">
        <v>23</v>
      </c>
      <c r="V171" s="1">
        <v>17</v>
      </c>
      <c r="W171" s="1">
        <v>16</v>
      </c>
      <c r="X171" s="1">
        <v>30</v>
      </c>
      <c r="Y171" s="1">
        <v>15</v>
      </c>
      <c r="Z171" s="1">
        <v>39</v>
      </c>
      <c r="AA171" s="1">
        <v>26</v>
      </c>
      <c r="AB171" s="1">
        <v>23</v>
      </c>
      <c r="AC171" s="1">
        <v>48</v>
      </c>
      <c r="AD171" s="1">
        <v>68</v>
      </c>
      <c r="AE171" s="1">
        <v>65</v>
      </c>
      <c r="AF171" s="18">
        <f t="shared" si="2"/>
        <v>38.266666666666666</v>
      </c>
    </row>
    <row r="172" spans="1:32" x14ac:dyDescent="0.35">
      <c r="A172" s="1" t="s">
        <v>131</v>
      </c>
      <c r="B172" s="1">
        <v>53</v>
      </c>
      <c r="C172" s="1">
        <v>41</v>
      </c>
      <c r="D172" s="1">
        <v>117</v>
      </c>
      <c r="E172" s="1">
        <v>34</v>
      </c>
      <c r="F172" s="1">
        <v>46</v>
      </c>
      <c r="G172" s="1">
        <v>21</v>
      </c>
      <c r="H172" s="1">
        <v>35</v>
      </c>
      <c r="I172" s="1">
        <v>92</v>
      </c>
      <c r="J172" s="1">
        <v>34</v>
      </c>
      <c r="K172" s="1">
        <v>157</v>
      </c>
      <c r="L172" s="1">
        <v>52</v>
      </c>
      <c r="M172" s="1">
        <v>20</v>
      </c>
      <c r="N172" s="1">
        <v>126</v>
      </c>
      <c r="O172" s="1">
        <v>60</v>
      </c>
      <c r="P172" s="1">
        <v>30</v>
      </c>
      <c r="Q172" s="1">
        <v>14</v>
      </c>
      <c r="R172" s="1">
        <v>13</v>
      </c>
      <c r="S172" s="1">
        <v>39</v>
      </c>
      <c r="T172" s="1">
        <v>35</v>
      </c>
      <c r="U172" s="1">
        <v>33</v>
      </c>
      <c r="V172" s="1">
        <v>26</v>
      </c>
      <c r="W172" s="1">
        <v>55</v>
      </c>
      <c r="X172" s="1">
        <v>38</v>
      </c>
      <c r="Y172" s="1">
        <v>57</v>
      </c>
      <c r="Z172" s="1">
        <v>43</v>
      </c>
      <c r="AA172" s="1">
        <v>49</v>
      </c>
      <c r="AB172" s="1">
        <v>32</v>
      </c>
      <c r="AC172" s="1">
        <v>29</v>
      </c>
      <c r="AD172" s="1">
        <v>103</v>
      </c>
      <c r="AE172" s="1">
        <v>69</v>
      </c>
      <c r="AF172" s="18">
        <f t="shared" si="2"/>
        <v>51.766666666666666</v>
      </c>
    </row>
    <row r="173" spans="1:32" x14ac:dyDescent="0.35">
      <c r="A173" s="1" t="s">
        <v>132</v>
      </c>
      <c r="B173" s="1">
        <v>142</v>
      </c>
      <c r="C173" s="1">
        <v>13</v>
      </c>
      <c r="D173" s="1">
        <v>38</v>
      </c>
      <c r="E173" s="1">
        <v>83</v>
      </c>
      <c r="F173" s="1">
        <v>37</v>
      </c>
      <c r="G173" s="1">
        <v>67</v>
      </c>
      <c r="H173" s="1">
        <v>159</v>
      </c>
      <c r="I173" s="1">
        <v>13</v>
      </c>
      <c r="J173" s="1">
        <v>52</v>
      </c>
      <c r="K173" s="1">
        <v>14</v>
      </c>
      <c r="L173" s="1">
        <v>72</v>
      </c>
      <c r="M173" s="1">
        <v>13</v>
      </c>
      <c r="N173" s="1">
        <v>37</v>
      </c>
      <c r="O173" s="1">
        <v>14</v>
      </c>
      <c r="P173" s="1">
        <v>14</v>
      </c>
      <c r="Q173" s="1">
        <v>17</v>
      </c>
      <c r="R173" s="1">
        <v>19</v>
      </c>
      <c r="S173" s="1">
        <v>29</v>
      </c>
      <c r="T173" s="1">
        <v>48</v>
      </c>
      <c r="U173" s="1">
        <v>150</v>
      </c>
      <c r="V173" s="1">
        <v>37</v>
      </c>
      <c r="W173" s="1">
        <v>14</v>
      </c>
      <c r="X173" s="1">
        <v>68</v>
      </c>
      <c r="Y173" s="1">
        <v>29</v>
      </c>
      <c r="Z173" s="1">
        <v>24</v>
      </c>
      <c r="AA173" s="1">
        <v>16</v>
      </c>
      <c r="AB173" s="1">
        <v>44</v>
      </c>
      <c r="AC173" s="1">
        <v>28</v>
      </c>
      <c r="AD173" s="1">
        <v>32</v>
      </c>
      <c r="AE173" s="1">
        <v>357</v>
      </c>
      <c r="AF173" s="18">
        <f t="shared" si="2"/>
        <v>56</v>
      </c>
    </row>
    <row r="174" spans="1:32" x14ac:dyDescent="0.35">
      <c r="A174" s="1" t="s">
        <v>133</v>
      </c>
      <c r="B174" s="1">
        <v>165</v>
      </c>
      <c r="C174" s="1">
        <v>19</v>
      </c>
      <c r="D174" s="1">
        <v>19</v>
      </c>
      <c r="E174" s="1">
        <v>275</v>
      </c>
      <c r="F174" s="1">
        <v>51</v>
      </c>
      <c r="G174" s="1">
        <v>123</v>
      </c>
      <c r="H174" s="1">
        <v>71</v>
      </c>
      <c r="I174" s="1">
        <v>167</v>
      </c>
      <c r="J174" s="1">
        <v>86</v>
      </c>
      <c r="K174" s="1">
        <v>73</v>
      </c>
      <c r="L174" s="1">
        <v>44</v>
      </c>
      <c r="M174" s="1">
        <v>71</v>
      </c>
      <c r="N174" s="1">
        <v>21</v>
      </c>
      <c r="O174" s="1">
        <v>41</v>
      </c>
      <c r="P174" s="1">
        <v>196</v>
      </c>
      <c r="Q174" s="1">
        <v>34</v>
      </c>
      <c r="R174" s="1">
        <v>79</v>
      </c>
      <c r="S174" s="1">
        <v>116</v>
      </c>
      <c r="T174" s="1">
        <v>82</v>
      </c>
      <c r="U174" s="1">
        <v>88</v>
      </c>
      <c r="V174" s="1">
        <v>44</v>
      </c>
      <c r="W174" s="1">
        <v>32</v>
      </c>
      <c r="X174" s="1">
        <v>45</v>
      </c>
      <c r="Y174" s="1">
        <v>41</v>
      </c>
      <c r="Z174" s="1">
        <v>67</v>
      </c>
      <c r="AA174" s="1">
        <v>48</v>
      </c>
      <c r="AB174" s="1">
        <v>20</v>
      </c>
      <c r="AC174" s="1">
        <v>65</v>
      </c>
      <c r="AD174" s="1">
        <v>45</v>
      </c>
      <c r="AE174" s="1">
        <v>22</v>
      </c>
      <c r="AF174" s="18">
        <f t="shared" si="2"/>
        <v>75</v>
      </c>
    </row>
    <row r="175" spans="1:32" x14ac:dyDescent="0.35">
      <c r="A175" s="1" t="s">
        <v>134</v>
      </c>
      <c r="B175" s="1">
        <v>108</v>
      </c>
      <c r="C175" s="1">
        <v>15</v>
      </c>
      <c r="D175" s="1">
        <v>57</v>
      </c>
      <c r="E175" s="1">
        <v>75</v>
      </c>
      <c r="F175" s="1">
        <v>68</v>
      </c>
      <c r="G175" s="1">
        <v>25</v>
      </c>
      <c r="H175" s="1">
        <v>44</v>
      </c>
      <c r="I175" s="1">
        <v>47</v>
      </c>
      <c r="J175" s="1">
        <v>145</v>
      </c>
      <c r="K175" s="1">
        <v>112</v>
      </c>
      <c r="L175" s="1">
        <v>40</v>
      </c>
      <c r="M175" s="1">
        <v>35</v>
      </c>
      <c r="N175" s="1">
        <v>25</v>
      </c>
      <c r="O175" s="1">
        <v>106</v>
      </c>
      <c r="P175" s="1">
        <v>71</v>
      </c>
      <c r="Q175" s="1">
        <v>25</v>
      </c>
      <c r="R175" s="1">
        <v>54</v>
      </c>
      <c r="S175" s="1">
        <v>127</v>
      </c>
      <c r="T175" s="1">
        <v>163</v>
      </c>
      <c r="U175" s="1">
        <v>27</v>
      </c>
      <c r="V175" s="1">
        <v>144</v>
      </c>
      <c r="W175" s="1">
        <v>27</v>
      </c>
      <c r="X175" s="1">
        <v>33</v>
      </c>
      <c r="Y175" s="1">
        <v>97</v>
      </c>
      <c r="Z175" s="1">
        <v>64</v>
      </c>
      <c r="AA175" s="1">
        <v>56</v>
      </c>
      <c r="AB175" s="1">
        <v>15</v>
      </c>
      <c r="AC175" s="1">
        <v>76</v>
      </c>
      <c r="AD175" s="1">
        <v>102</v>
      </c>
      <c r="AE175" s="1">
        <v>57</v>
      </c>
      <c r="AF175" s="18">
        <f t="shared" si="2"/>
        <v>68</v>
      </c>
    </row>
    <row r="176" spans="1:32" x14ac:dyDescent="0.35">
      <c r="A176" s="1" t="s">
        <v>135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8">
        <f t="shared" si="2"/>
        <v>0</v>
      </c>
    </row>
    <row r="177" spans="1:32" x14ac:dyDescent="0.35">
      <c r="A177" s="1" t="s">
        <v>162</v>
      </c>
      <c r="B177" s="1">
        <v>17</v>
      </c>
      <c r="C177" s="1">
        <v>80</v>
      </c>
      <c r="D177" s="1">
        <v>38</v>
      </c>
      <c r="E177" s="1">
        <v>29</v>
      </c>
      <c r="F177" s="1">
        <v>14</v>
      </c>
      <c r="G177" s="1">
        <v>12</v>
      </c>
      <c r="H177" s="1">
        <v>62</v>
      </c>
      <c r="I177" s="1">
        <v>20</v>
      </c>
      <c r="J177" s="1">
        <v>67</v>
      </c>
      <c r="K177" s="1">
        <v>45</v>
      </c>
      <c r="L177" s="1">
        <v>153</v>
      </c>
      <c r="M177" s="1">
        <v>96</v>
      </c>
      <c r="N177" s="1">
        <v>17</v>
      </c>
      <c r="O177" s="1">
        <v>73</v>
      </c>
      <c r="P177" s="1">
        <v>48</v>
      </c>
      <c r="Q177" s="1">
        <v>260</v>
      </c>
      <c r="R177" s="1">
        <v>25</v>
      </c>
      <c r="S177" s="1">
        <v>44</v>
      </c>
      <c r="T177" s="1">
        <v>42</v>
      </c>
      <c r="U177" s="1">
        <v>19</v>
      </c>
      <c r="V177" s="1">
        <v>169</v>
      </c>
      <c r="W177" s="1">
        <v>125</v>
      </c>
      <c r="X177" s="1">
        <v>48</v>
      </c>
      <c r="Y177" s="1">
        <v>26</v>
      </c>
      <c r="Z177" s="1">
        <v>146</v>
      </c>
      <c r="AA177" s="1">
        <v>12</v>
      </c>
      <c r="AB177" s="1">
        <v>72</v>
      </c>
      <c r="AC177" s="1">
        <v>144</v>
      </c>
      <c r="AD177" s="1">
        <v>12</v>
      </c>
      <c r="AE177" s="1">
        <v>79</v>
      </c>
      <c r="AF177" s="18">
        <f t="shared" si="2"/>
        <v>66.466666666666669</v>
      </c>
    </row>
    <row r="178" spans="1:32" x14ac:dyDescent="0.35">
      <c r="A178" s="1" t="s">
        <v>136</v>
      </c>
      <c r="B178" s="1">
        <v>30</v>
      </c>
      <c r="C178" s="1">
        <v>48</v>
      </c>
      <c r="D178" s="1">
        <v>20</v>
      </c>
      <c r="E178" s="1">
        <v>22</v>
      </c>
      <c r="F178" s="1">
        <v>39</v>
      </c>
      <c r="G178" s="1">
        <v>52</v>
      </c>
      <c r="H178" s="1">
        <v>20</v>
      </c>
      <c r="I178" s="1">
        <v>23</v>
      </c>
      <c r="J178" s="1">
        <v>81</v>
      </c>
      <c r="K178" s="1">
        <v>33</v>
      </c>
      <c r="L178" s="1">
        <v>30</v>
      </c>
      <c r="M178" s="1">
        <v>35</v>
      </c>
      <c r="N178" s="1">
        <v>19</v>
      </c>
      <c r="O178" s="1">
        <v>23</v>
      </c>
      <c r="P178" s="1">
        <v>53</v>
      </c>
      <c r="Q178" s="1">
        <v>72</v>
      </c>
      <c r="R178" s="1">
        <v>45</v>
      </c>
      <c r="S178" s="1">
        <v>20</v>
      </c>
      <c r="T178" s="1">
        <v>34</v>
      </c>
      <c r="U178" s="1">
        <v>75</v>
      </c>
      <c r="V178" s="1">
        <v>16</v>
      </c>
      <c r="W178" s="1">
        <v>94</v>
      </c>
      <c r="X178" s="1">
        <v>110</v>
      </c>
      <c r="Y178" s="1">
        <v>142</v>
      </c>
      <c r="Z178" s="1">
        <v>34</v>
      </c>
      <c r="AA178" s="1">
        <v>17</v>
      </c>
      <c r="AB178" s="1">
        <v>16</v>
      </c>
      <c r="AC178" s="1">
        <v>13</v>
      </c>
      <c r="AD178" s="1">
        <v>34</v>
      </c>
      <c r="AE178" s="1">
        <v>15</v>
      </c>
      <c r="AF178" s="18">
        <f t="shared" si="2"/>
        <v>42.166666666666664</v>
      </c>
    </row>
    <row r="179" spans="1:32" x14ac:dyDescent="0.35">
      <c r="A179" s="1" t="s">
        <v>142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8">
        <f t="shared" si="2"/>
        <v>0</v>
      </c>
    </row>
    <row r="180" spans="1:32" x14ac:dyDescent="0.35">
      <c r="A180" s="1" t="s">
        <v>137</v>
      </c>
      <c r="B180" s="1">
        <v>99</v>
      </c>
      <c r="C180" s="1">
        <v>63</v>
      </c>
      <c r="D180" s="1">
        <v>25</v>
      </c>
      <c r="E180" s="1">
        <v>23</v>
      </c>
      <c r="F180" s="1">
        <v>17</v>
      </c>
      <c r="G180" s="1">
        <v>12</v>
      </c>
      <c r="H180" s="1">
        <v>23</v>
      </c>
      <c r="I180" s="1">
        <v>14</v>
      </c>
      <c r="J180" s="1">
        <v>12</v>
      </c>
      <c r="K180" s="1">
        <v>34</v>
      </c>
      <c r="L180" s="1">
        <v>192</v>
      </c>
      <c r="M180" s="1">
        <v>63</v>
      </c>
      <c r="N180" s="1">
        <v>19</v>
      </c>
      <c r="O180" s="1">
        <v>80</v>
      </c>
      <c r="P180" s="1">
        <v>33</v>
      </c>
      <c r="Q180" s="1">
        <v>71</v>
      </c>
      <c r="R180" s="1">
        <v>50</v>
      </c>
      <c r="S180" s="1">
        <v>113</v>
      </c>
      <c r="T180" s="1">
        <v>95</v>
      </c>
      <c r="U180" s="1">
        <v>76</v>
      </c>
      <c r="V180" s="1">
        <v>40</v>
      </c>
      <c r="W180" s="1">
        <v>40</v>
      </c>
      <c r="X180" s="1">
        <v>26</v>
      </c>
      <c r="Y180" s="1">
        <v>135</v>
      </c>
      <c r="Z180" s="1">
        <v>183</v>
      </c>
      <c r="AA180" s="1">
        <v>28</v>
      </c>
      <c r="AB180" s="1">
        <v>65</v>
      </c>
      <c r="AC180" s="1">
        <v>14</v>
      </c>
      <c r="AD180" s="1">
        <v>36</v>
      </c>
      <c r="AE180" s="1">
        <v>40</v>
      </c>
      <c r="AF180" s="18">
        <f t="shared" si="2"/>
        <v>57.366666666666667</v>
      </c>
    </row>
    <row r="181" spans="1:32" x14ac:dyDescent="0.35">
      <c r="A181" s="1" t="s">
        <v>138</v>
      </c>
      <c r="B181" s="1">
        <v>25</v>
      </c>
      <c r="C181" s="1">
        <v>71</v>
      </c>
      <c r="D181" s="1">
        <v>31</v>
      </c>
      <c r="E181" s="1">
        <v>28</v>
      </c>
      <c r="F181" s="1">
        <v>81</v>
      </c>
      <c r="G181" s="1">
        <v>42</v>
      </c>
      <c r="H181" s="1">
        <v>39</v>
      </c>
      <c r="I181" s="1">
        <v>75</v>
      </c>
      <c r="J181" s="1">
        <v>27</v>
      </c>
      <c r="K181" s="1">
        <v>155</v>
      </c>
      <c r="L181" s="1">
        <v>46</v>
      </c>
      <c r="M181" s="1">
        <v>67</v>
      </c>
      <c r="N181" s="1">
        <v>20</v>
      </c>
      <c r="O181" s="1">
        <v>99</v>
      </c>
      <c r="P181" s="1">
        <v>57</v>
      </c>
      <c r="Q181" s="1">
        <v>41</v>
      </c>
      <c r="R181" s="1">
        <v>46</v>
      </c>
      <c r="S181" s="1">
        <v>43</v>
      </c>
      <c r="T181" s="1">
        <v>23</v>
      </c>
      <c r="U181" s="1">
        <v>131</v>
      </c>
      <c r="V181" s="1">
        <v>196</v>
      </c>
      <c r="W181" s="1">
        <v>22</v>
      </c>
      <c r="X181" s="1">
        <v>38</v>
      </c>
      <c r="Y181" s="1">
        <v>93</v>
      </c>
      <c r="Z181" s="1">
        <v>18</v>
      </c>
      <c r="AA181" s="1">
        <v>33</v>
      </c>
      <c r="AB181" s="1">
        <v>64</v>
      </c>
      <c r="AC181" s="1">
        <v>46</v>
      </c>
      <c r="AD181" s="1">
        <v>42</v>
      </c>
      <c r="AE181" s="1">
        <v>159</v>
      </c>
      <c r="AF181" s="18">
        <f t="shared" si="2"/>
        <v>61.93333333333333</v>
      </c>
    </row>
    <row r="182" spans="1:32" x14ac:dyDescent="0.35">
      <c r="A182" s="1" t="s">
        <v>139</v>
      </c>
      <c r="B182" s="1">
        <v>28</v>
      </c>
      <c r="C182" s="1">
        <v>32</v>
      </c>
      <c r="D182" s="1">
        <v>112</v>
      </c>
      <c r="E182" s="1">
        <v>19</v>
      </c>
      <c r="F182" s="1">
        <v>78</v>
      </c>
      <c r="G182" s="1">
        <v>43</v>
      </c>
      <c r="H182" s="1">
        <v>142</v>
      </c>
      <c r="I182" s="1">
        <v>109</v>
      </c>
      <c r="J182" s="1">
        <v>25</v>
      </c>
      <c r="K182" s="1">
        <v>108</v>
      </c>
      <c r="L182" s="1">
        <v>37</v>
      </c>
      <c r="M182" s="1">
        <v>60</v>
      </c>
      <c r="N182" s="1">
        <v>15</v>
      </c>
      <c r="O182" s="1">
        <v>62</v>
      </c>
      <c r="P182" s="1">
        <v>215</v>
      </c>
      <c r="Q182" s="1">
        <v>50</v>
      </c>
      <c r="R182" s="1">
        <v>43</v>
      </c>
      <c r="S182" s="1">
        <v>20</v>
      </c>
      <c r="T182" s="1">
        <v>100</v>
      </c>
      <c r="U182" s="1">
        <v>178</v>
      </c>
      <c r="V182" s="1">
        <v>27</v>
      </c>
      <c r="W182" s="1">
        <v>21</v>
      </c>
      <c r="X182" s="1">
        <v>13</v>
      </c>
      <c r="Y182" s="1">
        <v>40</v>
      </c>
      <c r="Z182" s="1">
        <v>38</v>
      </c>
      <c r="AA182" s="1">
        <v>61</v>
      </c>
      <c r="AB182" s="1">
        <v>30</v>
      </c>
      <c r="AC182" s="1">
        <v>325</v>
      </c>
      <c r="AD182" s="1">
        <v>253</v>
      </c>
      <c r="AE182" s="1">
        <v>27</v>
      </c>
      <c r="AF182" s="18">
        <f t="shared" si="2"/>
        <v>77.033333333333331</v>
      </c>
    </row>
    <row r="183" spans="1:32" x14ac:dyDescent="0.35">
      <c r="A183" s="1" t="s">
        <v>140</v>
      </c>
      <c r="B183" s="1">
        <v>24</v>
      </c>
      <c r="C183" s="1">
        <v>61</v>
      </c>
      <c r="D183" s="1">
        <v>60</v>
      </c>
      <c r="E183" s="1">
        <v>72</v>
      </c>
      <c r="F183" s="1">
        <v>53</v>
      </c>
      <c r="G183" s="1">
        <v>59</v>
      </c>
      <c r="H183" s="1">
        <v>102</v>
      </c>
      <c r="I183" s="1">
        <v>183</v>
      </c>
      <c r="J183" s="1">
        <v>18</v>
      </c>
      <c r="K183" s="1">
        <v>99</v>
      </c>
      <c r="L183" s="1">
        <v>15</v>
      </c>
      <c r="M183" s="1">
        <v>93</v>
      </c>
      <c r="N183" s="1">
        <v>31</v>
      </c>
      <c r="O183" s="1">
        <v>27</v>
      </c>
      <c r="P183" s="1">
        <v>60</v>
      </c>
      <c r="Q183" s="1">
        <v>71</v>
      </c>
      <c r="R183" s="1">
        <v>45</v>
      </c>
      <c r="S183" s="1">
        <v>110</v>
      </c>
      <c r="T183" s="1">
        <v>61</v>
      </c>
      <c r="U183" s="1">
        <v>13</v>
      </c>
      <c r="V183" s="1">
        <v>41</v>
      </c>
      <c r="W183" s="1">
        <v>55</v>
      </c>
      <c r="X183" s="1">
        <v>27</v>
      </c>
      <c r="Y183" s="1">
        <v>13</v>
      </c>
      <c r="Z183" s="1">
        <v>106</v>
      </c>
      <c r="AA183" s="1">
        <v>84</v>
      </c>
      <c r="AB183" s="1">
        <v>82</v>
      </c>
      <c r="AC183" s="1">
        <v>33</v>
      </c>
      <c r="AD183" s="1">
        <v>66</v>
      </c>
      <c r="AE183" s="1">
        <v>75</v>
      </c>
      <c r="AF183" s="18">
        <f t="shared" si="2"/>
        <v>61.3</v>
      </c>
    </row>
    <row r="184" spans="1:32" x14ac:dyDescent="0.35">
      <c r="A184" s="1" t="s">
        <v>143</v>
      </c>
      <c r="B184" s="1">
        <v>14</v>
      </c>
      <c r="C184" s="1">
        <v>60</v>
      </c>
      <c r="D184" s="1">
        <v>63</v>
      </c>
      <c r="E184" s="1">
        <v>40</v>
      </c>
      <c r="F184" s="1">
        <v>39</v>
      </c>
      <c r="G184" s="1">
        <v>56</v>
      </c>
      <c r="H184" s="1">
        <v>29</v>
      </c>
      <c r="I184" s="1">
        <v>17</v>
      </c>
      <c r="J184" s="1">
        <v>16</v>
      </c>
      <c r="K184" s="1">
        <v>127</v>
      </c>
      <c r="L184" s="1">
        <v>41</v>
      </c>
      <c r="M184" s="1">
        <v>76</v>
      </c>
      <c r="N184" s="1">
        <v>26</v>
      </c>
      <c r="O184" s="1">
        <v>128</v>
      </c>
      <c r="P184" s="1">
        <v>86</v>
      </c>
      <c r="Q184" s="1">
        <v>23</v>
      </c>
      <c r="R184" s="1">
        <v>44</v>
      </c>
      <c r="S184" s="1">
        <v>49</v>
      </c>
      <c r="T184" s="1">
        <v>29</v>
      </c>
      <c r="U184" s="1">
        <v>30</v>
      </c>
      <c r="V184" s="1">
        <v>37</v>
      </c>
      <c r="W184" s="1">
        <v>58</v>
      </c>
      <c r="X184" s="1">
        <v>100</v>
      </c>
      <c r="Y184" s="1">
        <v>14</v>
      </c>
      <c r="Z184" s="1">
        <v>47</v>
      </c>
      <c r="AA184" s="1">
        <v>31</v>
      </c>
      <c r="AB184" s="1">
        <v>66</v>
      </c>
      <c r="AC184" s="1">
        <v>53</v>
      </c>
      <c r="AD184" s="1">
        <v>34</v>
      </c>
      <c r="AE184" s="1">
        <v>33</v>
      </c>
      <c r="AF184" s="18">
        <f t="shared" si="2"/>
        <v>48.866666666666667</v>
      </c>
    </row>
    <row r="185" spans="1:32" x14ac:dyDescent="0.35">
      <c r="A185" s="1" t="s">
        <v>144</v>
      </c>
      <c r="B185" s="1">
        <v>22</v>
      </c>
      <c r="C185" s="1">
        <v>40</v>
      </c>
      <c r="D185" s="1">
        <v>51</v>
      </c>
      <c r="E185" s="1">
        <v>51</v>
      </c>
      <c r="F185" s="1">
        <v>44</v>
      </c>
      <c r="G185" s="1">
        <v>39</v>
      </c>
      <c r="H185" s="1">
        <v>13</v>
      </c>
      <c r="I185" s="1">
        <v>44</v>
      </c>
      <c r="J185" s="1">
        <v>21</v>
      </c>
      <c r="K185" s="1">
        <v>250</v>
      </c>
      <c r="L185" s="1">
        <v>44</v>
      </c>
      <c r="M185" s="1">
        <v>52</v>
      </c>
      <c r="N185" s="1">
        <v>90</v>
      </c>
      <c r="O185" s="1">
        <v>97</v>
      </c>
      <c r="P185" s="1">
        <v>44</v>
      </c>
      <c r="Q185" s="1">
        <v>71</v>
      </c>
      <c r="R185" s="1">
        <v>18</v>
      </c>
      <c r="S185" s="1">
        <v>38</v>
      </c>
      <c r="T185" s="1">
        <v>30</v>
      </c>
      <c r="U185" s="1">
        <v>53</v>
      </c>
      <c r="V185" s="1">
        <v>13</v>
      </c>
      <c r="W185" s="1">
        <v>22</v>
      </c>
      <c r="X185" s="1">
        <v>218</v>
      </c>
      <c r="Y185" s="1">
        <v>74</v>
      </c>
      <c r="Z185" s="1">
        <v>20</v>
      </c>
      <c r="AA185" s="1">
        <v>51</v>
      </c>
      <c r="AB185" s="1">
        <v>26</v>
      </c>
      <c r="AC185" s="1">
        <v>53</v>
      </c>
      <c r="AD185" s="1">
        <v>109</v>
      </c>
      <c r="AE185" s="1">
        <v>18</v>
      </c>
      <c r="AF185" s="18">
        <f t="shared" si="2"/>
        <v>57.2</v>
      </c>
    </row>
    <row r="186" spans="1:32" x14ac:dyDescent="0.35">
      <c r="A186" s="1" t="s">
        <v>145</v>
      </c>
      <c r="B186" s="1">
        <v>101</v>
      </c>
      <c r="C186" s="1">
        <v>128</v>
      </c>
      <c r="D186" s="1">
        <v>48</v>
      </c>
      <c r="E186" s="1">
        <v>45</v>
      </c>
      <c r="F186" s="1">
        <v>89</v>
      </c>
      <c r="G186" s="1">
        <v>25</v>
      </c>
      <c r="H186" s="1">
        <v>95</v>
      </c>
      <c r="I186" s="1">
        <v>51</v>
      </c>
      <c r="J186" s="1">
        <v>70</v>
      </c>
      <c r="K186" s="1">
        <v>134</v>
      </c>
      <c r="L186" s="1">
        <v>195</v>
      </c>
      <c r="M186" s="1">
        <v>23</v>
      </c>
      <c r="N186" s="1">
        <v>249</v>
      </c>
      <c r="O186" s="1">
        <v>45</v>
      </c>
      <c r="P186" s="1">
        <v>19</v>
      </c>
      <c r="Q186" s="1">
        <v>38</v>
      </c>
      <c r="R186" s="1">
        <v>46</v>
      </c>
      <c r="S186" s="1">
        <v>24</v>
      </c>
      <c r="T186" s="1">
        <v>22</v>
      </c>
      <c r="U186" s="1">
        <v>156</v>
      </c>
      <c r="V186" s="1">
        <v>93</v>
      </c>
      <c r="W186" s="1">
        <v>158</v>
      </c>
      <c r="X186" s="1">
        <v>23</v>
      </c>
      <c r="Y186" s="1">
        <v>38</v>
      </c>
      <c r="Z186" s="1">
        <v>66</v>
      </c>
      <c r="AA186" s="1">
        <v>51</v>
      </c>
      <c r="AB186" s="1">
        <v>30</v>
      </c>
      <c r="AC186" s="1">
        <v>81</v>
      </c>
      <c r="AD186" s="1">
        <v>67</v>
      </c>
      <c r="AE186" s="1">
        <v>50</v>
      </c>
      <c r="AF186" s="18">
        <f t="shared" si="2"/>
        <v>75.333333333333329</v>
      </c>
    </row>
    <row r="187" spans="1:32" x14ac:dyDescent="0.35">
      <c r="A187" s="1" t="s">
        <v>146</v>
      </c>
      <c r="B187" s="1">
        <v>93</v>
      </c>
      <c r="C187" s="1">
        <v>117</v>
      </c>
      <c r="D187" s="1">
        <v>24</v>
      </c>
      <c r="E187" s="1">
        <v>28</v>
      </c>
      <c r="F187" s="1">
        <v>42</v>
      </c>
      <c r="G187" s="1">
        <v>17</v>
      </c>
      <c r="H187" s="1">
        <v>51</v>
      </c>
      <c r="I187" s="1">
        <v>39</v>
      </c>
      <c r="J187" s="1">
        <v>36</v>
      </c>
      <c r="K187" s="1">
        <v>23</v>
      </c>
      <c r="L187" s="1">
        <v>92</v>
      </c>
      <c r="M187" s="1">
        <v>30</v>
      </c>
      <c r="N187" s="1">
        <v>13</v>
      </c>
      <c r="O187" s="1">
        <v>59</v>
      </c>
      <c r="P187" s="1">
        <v>34</v>
      </c>
      <c r="Q187" s="1">
        <v>18</v>
      </c>
      <c r="R187" s="1">
        <v>102</v>
      </c>
      <c r="S187" s="1">
        <v>60</v>
      </c>
      <c r="T187" s="1">
        <v>45</v>
      </c>
      <c r="U187" s="1">
        <v>68</v>
      </c>
      <c r="V187" s="1">
        <v>52</v>
      </c>
      <c r="W187" s="1">
        <v>72</v>
      </c>
      <c r="X187" s="1">
        <v>59</v>
      </c>
      <c r="Y187" s="1">
        <v>22</v>
      </c>
      <c r="Z187" s="1">
        <v>189</v>
      </c>
      <c r="AA187" s="1">
        <v>38</v>
      </c>
      <c r="AB187" s="1">
        <v>112</v>
      </c>
      <c r="AC187" s="1">
        <v>34</v>
      </c>
      <c r="AD187" s="1">
        <v>31</v>
      </c>
      <c r="AE187" s="1">
        <v>141</v>
      </c>
      <c r="AF187" s="18">
        <f t="shared" si="2"/>
        <v>58.033333333333331</v>
      </c>
    </row>
    <row r="188" spans="1:32" x14ac:dyDescent="0.35">
      <c r="A188" s="1" t="s">
        <v>147</v>
      </c>
      <c r="B188" s="1">
        <v>29</v>
      </c>
      <c r="C188" s="1">
        <v>14</v>
      </c>
      <c r="D188" s="1">
        <v>15</v>
      </c>
      <c r="E188" s="1">
        <v>45</v>
      </c>
      <c r="F188" s="1">
        <v>35</v>
      </c>
      <c r="G188" s="1">
        <v>30</v>
      </c>
      <c r="H188" s="1">
        <v>215</v>
      </c>
      <c r="I188" s="1">
        <v>57</v>
      </c>
      <c r="J188" s="1">
        <v>115</v>
      </c>
      <c r="K188" s="1">
        <v>35</v>
      </c>
      <c r="L188" s="1">
        <v>53</v>
      </c>
      <c r="M188" s="1">
        <v>60</v>
      </c>
      <c r="N188" s="1">
        <v>56</v>
      </c>
      <c r="O188" s="1">
        <v>50</v>
      </c>
      <c r="P188" s="1">
        <v>52</v>
      </c>
      <c r="Q188" s="1">
        <v>173</v>
      </c>
      <c r="R188" s="1">
        <v>82</v>
      </c>
      <c r="S188" s="1">
        <v>55</v>
      </c>
      <c r="T188" s="1">
        <v>64</v>
      </c>
      <c r="U188" s="1">
        <v>16</v>
      </c>
      <c r="V188" s="1">
        <v>31</v>
      </c>
      <c r="W188" s="1">
        <v>118</v>
      </c>
      <c r="X188" s="1">
        <v>18</v>
      </c>
      <c r="Y188" s="1">
        <v>83</v>
      </c>
      <c r="Z188" s="1">
        <v>314</v>
      </c>
      <c r="AA188" s="1">
        <v>204</v>
      </c>
      <c r="AB188" s="1">
        <v>13</v>
      </c>
      <c r="AC188" s="1">
        <v>61</v>
      </c>
      <c r="AD188" s="1">
        <v>51</v>
      </c>
      <c r="AE188" s="1">
        <v>38</v>
      </c>
      <c r="AF188" s="18">
        <f t="shared" si="2"/>
        <v>72.733333333333334</v>
      </c>
    </row>
    <row r="189" spans="1:32" x14ac:dyDescent="0.35">
      <c r="A189" s="1" t="s">
        <v>148</v>
      </c>
      <c r="B189" s="1">
        <v>14</v>
      </c>
      <c r="C189" s="1">
        <v>12</v>
      </c>
      <c r="D189" s="1">
        <v>36</v>
      </c>
      <c r="E189" s="1">
        <v>12</v>
      </c>
      <c r="F189" s="1">
        <v>85</v>
      </c>
      <c r="G189" s="1">
        <v>61</v>
      </c>
      <c r="H189" s="1">
        <v>20</v>
      </c>
      <c r="I189" s="1">
        <v>137</v>
      </c>
      <c r="J189" s="1">
        <v>33</v>
      </c>
      <c r="K189" s="1">
        <v>57</v>
      </c>
      <c r="L189" s="1">
        <v>39</v>
      </c>
      <c r="M189" s="1">
        <v>17</v>
      </c>
      <c r="N189" s="1">
        <v>18</v>
      </c>
      <c r="O189" s="1">
        <v>152</v>
      </c>
      <c r="P189" s="1">
        <v>47</v>
      </c>
      <c r="Q189" s="1">
        <v>18</v>
      </c>
      <c r="R189" s="1">
        <v>39</v>
      </c>
      <c r="S189" s="1">
        <v>19</v>
      </c>
      <c r="T189" s="1">
        <v>72</v>
      </c>
      <c r="U189" s="1">
        <v>26</v>
      </c>
      <c r="V189" s="1">
        <v>31</v>
      </c>
      <c r="W189" s="1">
        <v>115</v>
      </c>
      <c r="X189" s="1">
        <v>22</v>
      </c>
      <c r="Y189" s="1">
        <v>74</v>
      </c>
      <c r="Z189" s="1">
        <v>36</v>
      </c>
      <c r="AA189" s="1">
        <v>94</v>
      </c>
      <c r="AB189" s="1">
        <v>125</v>
      </c>
      <c r="AC189" s="1">
        <v>89</v>
      </c>
      <c r="AD189" s="1">
        <v>31</v>
      </c>
      <c r="AE189" s="1">
        <v>80</v>
      </c>
      <c r="AF189" s="18">
        <f t="shared" si="2"/>
        <v>53.7</v>
      </c>
    </row>
    <row r="190" spans="1:32" x14ac:dyDescent="0.35">
      <c r="A190" s="1" t="s">
        <v>149</v>
      </c>
      <c r="B190" s="1">
        <v>46</v>
      </c>
      <c r="C190" s="1">
        <v>14</v>
      </c>
      <c r="D190" s="1">
        <v>20</v>
      </c>
      <c r="E190" s="1">
        <v>20</v>
      </c>
      <c r="F190" s="1">
        <v>63</v>
      </c>
      <c r="G190" s="1">
        <v>14</v>
      </c>
      <c r="H190" s="1">
        <v>16</v>
      </c>
      <c r="I190" s="1">
        <v>112</v>
      </c>
      <c r="J190" s="1">
        <v>15</v>
      </c>
      <c r="K190" s="1">
        <v>43</v>
      </c>
      <c r="L190" s="1">
        <v>16</v>
      </c>
      <c r="M190" s="1">
        <v>12</v>
      </c>
      <c r="N190" s="1">
        <v>36</v>
      </c>
      <c r="O190" s="1">
        <v>57</v>
      </c>
      <c r="P190" s="1">
        <v>130</v>
      </c>
      <c r="Q190" s="1">
        <v>85</v>
      </c>
      <c r="R190" s="1">
        <v>22</v>
      </c>
      <c r="S190" s="1">
        <v>67</v>
      </c>
      <c r="T190" s="1">
        <v>27</v>
      </c>
      <c r="U190" s="1">
        <v>35</v>
      </c>
      <c r="V190" s="1">
        <v>64</v>
      </c>
      <c r="W190" s="1">
        <v>54</v>
      </c>
      <c r="X190" s="1">
        <v>121</v>
      </c>
      <c r="Y190" s="1">
        <v>26</v>
      </c>
      <c r="Z190" s="1">
        <v>28</v>
      </c>
      <c r="AA190" s="1">
        <v>37</v>
      </c>
      <c r="AB190" s="1">
        <v>24</v>
      </c>
      <c r="AC190" s="1">
        <v>53</v>
      </c>
      <c r="AD190" s="1">
        <v>26</v>
      </c>
      <c r="AE190" s="1">
        <v>28</v>
      </c>
      <c r="AF190" s="18">
        <f t="shared" si="2"/>
        <v>43.7</v>
      </c>
    </row>
    <row r="191" spans="1:32" x14ac:dyDescent="0.35">
      <c r="A191" s="1" t="s">
        <v>150</v>
      </c>
      <c r="B191" s="1">
        <v>100</v>
      </c>
      <c r="C191" s="1">
        <v>73</v>
      </c>
      <c r="D191" s="1">
        <v>97</v>
      </c>
      <c r="E191" s="1">
        <v>32</v>
      </c>
      <c r="F191" s="1">
        <v>100</v>
      </c>
      <c r="G191" s="1">
        <v>60</v>
      </c>
      <c r="H191" s="1">
        <v>54</v>
      </c>
      <c r="I191" s="1">
        <v>21</v>
      </c>
      <c r="J191" s="1">
        <v>73</v>
      </c>
      <c r="K191" s="1">
        <v>142</v>
      </c>
      <c r="L191" s="1">
        <v>66</v>
      </c>
      <c r="M191" s="1">
        <v>108</v>
      </c>
      <c r="N191" s="1">
        <v>13</v>
      </c>
      <c r="O191" s="1">
        <v>86</v>
      </c>
      <c r="P191" s="1">
        <v>83</v>
      </c>
      <c r="Q191" s="1">
        <v>41</v>
      </c>
      <c r="R191" s="1">
        <v>91</v>
      </c>
      <c r="S191" s="1">
        <v>27</v>
      </c>
      <c r="T191" s="1">
        <v>51</v>
      </c>
      <c r="U191" s="1">
        <v>25</v>
      </c>
      <c r="V191" s="1">
        <v>94</v>
      </c>
      <c r="W191" s="1">
        <v>101</v>
      </c>
      <c r="X191" s="1">
        <v>24</v>
      </c>
      <c r="Y191" s="1">
        <v>103</v>
      </c>
      <c r="Z191" s="1">
        <v>96</v>
      </c>
      <c r="AA191" s="1">
        <v>69</v>
      </c>
      <c r="AB191" s="1">
        <v>27</v>
      </c>
      <c r="AC191" s="1">
        <v>24</v>
      </c>
      <c r="AD191" s="1">
        <v>34</v>
      </c>
      <c r="AE191" s="1">
        <v>143</v>
      </c>
      <c r="AF191" s="18">
        <f t="shared" si="2"/>
        <v>68.599999999999994</v>
      </c>
    </row>
    <row r="192" spans="1:32" x14ac:dyDescent="0.35">
      <c r="A192" s="1" t="s">
        <v>159</v>
      </c>
      <c r="B192" s="1">
        <v>23</v>
      </c>
      <c r="C192" s="1">
        <v>65</v>
      </c>
      <c r="D192" s="1">
        <v>25</v>
      </c>
      <c r="E192" s="1">
        <v>26</v>
      </c>
      <c r="F192" s="1">
        <v>51</v>
      </c>
      <c r="G192" s="1">
        <v>82</v>
      </c>
      <c r="H192" s="1">
        <v>61</v>
      </c>
      <c r="I192" s="1">
        <v>59</v>
      </c>
      <c r="J192" s="1">
        <v>70</v>
      </c>
      <c r="K192" s="1">
        <v>18</v>
      </c>
      <c r="L192" s="1">
        <v>25</v>
      </c>
      <c r="M192" s="1">
        <v>47</v>
      </c>
      <c r="N192" s="1">
        <v>58</v>
      </c>
      <c r="O192" s="1">
        <v>57</v>
      </c>
      <c r="P192" s="1">
        <v>32</v>
      </c>
      <c r="Q192" s="1">
        <v>25</v>
      </c>
      <c r="R192" s="1">
        <v>63</v>
      </c>
      <c r="S192" s="1">
        <v>64</v>
      </c>
      <c r="T192" s="1">
        <v>24</v>
      </c>
      <c r="U192" s="1">
        <v>19</v>
      </c>
      <c r="V192" s="1">
        <v>30</v>
      </c>
      <c r="W192" s="1">
        <v>33</v>
      </c>
      <c r="X192" s="1">
        <v>26</v>
      </c>
      <c r="Y192" s="1">
        <v>143</v>
      </c>
      <c r="Z192" s="1">
        <v>69</v>
      </c>
      <c r="AA192" s="1">
        <v>14</v>
      </c>
      <c r="AB192" s="1">
        <v>82</v>
      </c>
      <c r="AC192" s="1">
        <v>84</v>
      </c>
      <c r="AD192" s="1">
        <v>64</v>
      </c>
      <c r="AE192" s="1">
        <v>13</v>
      </c>
      <c r="AF192" s="18">
        <f t="shared" si="2"/>
        <v>48.4</v>
      </c>
    </row>
    <row r="193" spans="1:32" x14ac:dyDescent="0.35">
      <c r="A193" s="1" t="s">
        <v>151</v>
      </c>
      <c r="B193" s="1">
        <v>18</v>
      </c>
      <c r="C193" s="1">
        <v>57</v>
      </c>
      <c r="D193" s="1">
        <v>218</v>
      </c>
      <c r="E193" s="1">
        <v>18</v>
      </c>
      <c r="F193" s="1">
        <v>46</v>
      </c>
      <c r="G193" s="1">
        <v>111</v>
      </c>
      <c r="H193" s="1">
        <v>67</v>
      </c>
      <c r="I193" s="1">
        <v>29</v>
      </c>
      <c r="J193" s="1">
        <v>101</v>
      </c>
      <c r="K193" s="1">
        <v>21</v>
      </c>
      <c r="L193" s="1">
        <v>103</v>
      </c>
      <c r="M193" s="1">
        <v>17</v>
      </c>
      <c r="N193" s="1">
        <v>14</v>
      </c>
      <c r="O193" s="1">
        <v>67</v>
      </c>
      <c r="P193" s="1">
        <v>51</v>
      </c>
      <c r="Q193" s="1">
        <v>75</v>
      </c>
      <c r="R193" s="1">
        <v>111</v>
      </c>
      <c r="S193" s="1">
        <v>318</v>
      </c>
      <c r="T193" s="1">
        <v>16</v>
      </c>
      <c r="U193" s="1">
        <v>20</v>
      </c>
      <c r="V193" s="1">
        <v>21</v>
      </c>
      <c r="W193" s="1">
        <v>83</v>
      </c>
      <c r="X193" s="1">
        <v>12</v>
      </c>
      <c r="Y193" s="1">
        <v>436</v>
      </c>
      <c r="Z193" s="1">
        <v>188</v>
      </c>
      <c r="AA193" s="1">
        <v>44</v>
      </c>
      <c r="AB193" s="1">
        <v>188</v>
      </c>
      <c r="AC193" s="1">
        <v>168</v>
      </c>
      <c r="AD193" s="1">
        <v>16</v>
      </c>
      <c r="AE193" s="1">
        <v>48</v>
      </c>
      <c r="AF193" s="18">
        <f t="shared" si="2"/>
        <v>89.4</v>
      </c>
    </row>
    <row r="194" spans="1:32" x14ac:dyDescent="0.35">
      <c r="A194" s="1" t="s">
        <v>152</v>
      </c>
      <c r="B194" s="1">
        <v>90</v>
      </c>
      <c r="C194" s="1">
        <v>77</v>
      </c>
      <c r="D194" s="1">
        <v>27</v>
      </c>
      <c r="E194" s="1">
        <v>43</v>
      </c>
      <c r="F194" s="1">
        <v>26</v>
      </c>
      <c r="G194" s="1">
        <v>23</v>
      </c>
      <c r="H194" s="1">
        <v>49</v>
      </c>
      <c r="I194" s="1">
        <v>26</v>
      </c>
      <c r="J194" s="1">
        <v>132</v>
      </c>
      <c r="K194" s="1">
        <v>107</v>
      </c>
      <c r="L194" s="1">
        <v>15</v>
      </c>
      <c r="M194" s="1">
        <v>86</v>
      </c>
      <c r="N194" s="1">
        <v>23</v>
      </c>
      <c r="O194" s="1">
        <v>191</v>
      </c>
      <c r="P194" s="1">
        <v>44</v>
      </c>
      <c r="Q194" s="1">
        <v>134</v>
      </c>
      <c r="R194" s="1">
        <v>32</v>
      </c>
      <c r="S194" s="1">
        <v>63</v>
      </c>
      <c r="T194" s="1">
        <v>29</v>
      </c>
      <c r="U194" s="1">
        <v>54</v>
      </c>
      <c r="V194" s="1">
        <v>51</v>
      </c>
      <c r="W194" s="1">
        <v>19</v>
      </c>
      <c r="X194" s="1">
        <v>123</v>
      </c>
      <c r="Y194" s="1">
        <v>55</v>
      </c>
      <c r="Z194" s="1">
        <v>23</v>
      </c>
      <c r="AA194" s="1">
        <v>55</v>
      </c>
      <c r="AB194" s="1">
        <v>32</v>
      </c>
      <c r="AC194" s="1">
        <v>69</v>
      </c>
      <c r="AD194" s="1">
        <v>179</v>
      </c>
      <c r="AE194" s="1">
        <v>15</v>
      </c>
      <c r="AF194" s="18">
        <f t="shared" si="2"/>
        <v>63.06666666666667</v>
      </c>
    </row>
    <row r="195" spans="1:32" x14ac:dyDescent="0.35">
      <c r="A195" s="1" t="s">
        <v>153</v>
      </c>
      <c r="B195" s="1">
        <v>23</v>
      </c>
      <c r="C195" s="1">
        <v>73</v>
      </c>
      <c r="D195" s="1">
        <v>75</v>
      </c>
      <c r="E195" s="1">
        <v>59</v>
      </c>
      <c r="F195" s="1">
        <v>25</v>
      </c>
      <c r="G195" s="1">
        <v>13</v>
      </c>
      <c r="H195" s="1">
        <v>26</v>
      </c>
      <c r="I195" s="1">
        <v>20</v>
      </c>
      <c r="J195" s="1">
        <v>48</v>
      </c>
      <c r="K195" s="1">
        <v>105</v>
      </c>
      <c r="L195" s="1">
        <v>26</v>
      </c>
      <c r="M195" s="1">
        <v>16</v>
      </c>
      <c r="N195" s="1">
        <v>28</v>
      </c>
      <c r="O195" s="1">
        <v>19</v>
      </c>
      <c r="P195" s="1">
        <v>23</v>
      </c>
      <c r="Q195" s="1">
        <v>58</v>
      </c>
      <c r="R195" s="1">
        <v>24</v>
      </c>
      <c r="S195" s="1">
        <v>51</v>
      </c>
      <c r="T195" s="1">
        <v>34</v>
      </c>
      <c r="U195" s="1">
        <v>35</v>
      </c>
      <c r="V195" s="1">
        <v>14</v>
      </c>
      <c r="W195" s="1">
        <v>51</v>
      </c>
      <c r="X195" s="1">
        <v>15</v>
      </c>
      <c r="Y195" s="1">
        <v>124</v>
      </c>
      <c r="Z195" s="1">
        <v>48</v>
      </c>
      <c r="AA195" s="1">
        <v>15</v>
      </c>
      <c r="AB195" s="1">
        <v>13</v>
      </c>
      <c r="AC195" s="1">
        <v>55</v>
      </c>
      <c r="AD195" s="1">
        <v>38</v>
      </c>
      <c r="AE195" s="1">
        <v>148</v>
      </c>
      <c r="AF195" s="18">
        <f t="shared" si="2"/>
        <v>43.4</v>
      </c>
    </row>
    <row r="196" spans="1:32" x14ac:dyDescent="0.35">
      <c r="A196" s="1" t="s">
        <v>193</v>
      </c>
      <c r="B196" s="1">
        <v>27</v>
      </c>
      <c r="C196" s="1">
        <v>21</v>
      </c>
      <c r="D196" s="1">
        <v>54</v>
      </c>
      <c r="E196" s="1">
        <v>36</v>
      </c>
      <c r="F196" s="1">
        <v>51</v>
      </c>
      <c r="G196" s="1">
        <v>72</v>
      </c>
      <c r="H196" s="1">
        <v>126</v>
      </c>
      <c r="I196" s="1">
        <v>14</v>
      </c>
      <c r="J196" s="1">
        <v>64</v>
      </c>
      <c r="K196" s="1">
        <v>106</v>
      </c>
      <c r="L196" s="1">
        <v>12</v>
      </c>
      <c r="M196" s="1">
        <v>37</v>
      </c>
      <c r="N196" s="1">
        <v>27</v>
      </c>
      <c r="O196" s="1">
        <v>38</v>
      </c>
      <c r="P196" s="1">
        <v>99</v>
      </c>
      <c r="Q196" s="1">
        <v>57</v>
      </c>
      <c r="R196" s="1">
        <v>52</v>
      </c>
      <c r="S196" s="1">
        <v>68</v>
      </c>
      <c r="T196" s="1">
        <v>33</v>
      </c>
      <c r="U196" s="1">
        <v>73</v>
      </c>
      <c r="V196" s="1">
        <v>38</v>
      </c>
      <c r="W196" s="1">
        <v>12</v>
      </c>
      <c r="X196" s="1">
        <v>38</v>
      </c>
      <c r="Y196" s="1">
        <v>77</v>
      </c>
      <c r="Z196" s="1">
        <v>36</v>
      </c>
      <c r="AA196" s="1">
        <v>145</v>
      </c>
      <c r="AB196" s="1">
        <v>19</v>
      </c>
      <c r="AC196" s="1">
        <v>21</v>
      </c>
      <c r="AD196" s="1">
        <v>12</v>
      </c>
      <c r="AE196" s="1">
        <v>48</v>
      </c>
      <c r="AF196" s="18">
        <f t="shared" ref="AF196:AF202" si="3">AVERAGE(B196:AE196)</f>
        <v>50.43333333333333</v>
      </c>
    </row>
    <row r="197" spans="1:32" x14ac:dyDescent="0.35">
      <c r="A197" s="1" t="s">
        <v>154</v>
      </c>
      <c r="B197" s="1">
        <v>27</v>
      </c>
      <c r="C197" s="1">
        <v>51</v>
      </c>
      <c r="D197" s="1">
        <v>24</v>
      </c>
      <c r="E197" s="1">
        <v>58</v>
      </c>
      <c r="F197" s="1">
        <v>29</v>
      </c>
      <c r="G197" s="1">
        <v>63</v>
      </c>
      <c r="H197" s="1">
        <v>15</v>
      </c>
      <c r="I197" s="1">
        <v>22</v>
      </c>
      <c r="J197" s="1">
        <v>27</v>
      </c>
      <c r="K197" s="1">
        <v>64</v>
      </c>
      <c r="L197" s="1">
        <v>45</v>
      </c>
      <c r="M197" s="1">
        <v>31</v>
      </c>
      <c r="N197" s="1">
        <v>39</v>
      </c>
      <c r="O197" s="1">
        <v>15</v>
      </c>
      <c r="P197" s="1">
        <v>53</v>
      </c>
      <c r="Q197" s="1">
        <v>67</v>
      </c>
      <c r="R197" s="1">
        <v>41</v>
      </c>
      <c r="S197" s="1">
        <v>16</v>
      </c>
      <c r="T197" s="1">
        <v>72</v>
      </c>
      <c r="U197" s="1">
        <v>15</v>
      </c>
      <c r="V197" s="1">
        <v>12</v>
      </c>
      <c r="W197" s="1">
        <v>89</v>
      </c>
      <c r="X197" s="1">
        <v>25</v>
      </c>
      <c r="Y197" s="1">
        <v>17</v>
      </c>
      <c r="Z197" s="1">
        <v>19</v>
      </c>
      <c r="AA197" s="1">
        <v>38</v>
      </c>
      <c r="AB197" s="1">
        <v>19</v>
      </c>
      <c r="AC197" s="1">
        <v>108</v>
      </c>
      <c r="AD197" s="1">
        <v>14</v>
      </c>
      <c r="AE197" s="1">
        <v>21</v>
      </c>
      <c r="AF197" s="18">
        <f t="shared" si="3"/>
        <v>37.866666666666667</v>
      </c>
    </row>
    <row r="198" spans="1:32" x14ac:dyDescent="0.35">
      <c r="A198" s="1" t="s">
        <v>155</v>
      </c>
      <c r="B198" s="1">
        <v>73</v>
      </c>
      <c r="C198" s="1">
        <v>21</v>
      </c>
      <c r="D198" s="1">
        <v>23</v>
      </c>
      <c r="E198" s="1">
        <v>19</v>
      </c>
      <c r="F198" s="1">
        <v>142</v>
      </c>
      <c r="G198" s="1">
        <v>123</v>
      </c>
      <c r="H198" s="1">
        <v>12</v>
      </c>
      <c r="I198" s="1">
        <v>95</v>
      </c>
      <c r="J198" s="1">
        <v>48</v>
      </c>
      <c r="K198" s="1">
        <v>70</v>
      </c>
      <c r="L198" s="1">
        <v>128</v>
      </c>
      <c r="M198" s="1">
        <v>65</v>
      </c>
      <c r="N198" s="1">
        <v>74</v>
      </c>
      <c r="O198" s="1">
        <v>93</v>
      </c>
      <c r="P198" s="1">
        <v>27</v>
      </c>
      <c r="Q198" s="1">
        <v>23</v>
      </c>
      <c r="R198" s="1">
        <v>16</v>
      </c>
      <c r="S198" s="1">
        <v>80</v>
      </c>
      <c r="T198" s="1">
        <v>72</v>
      </c>
      <c r="U198" s="1">
        <v>46</v>
      </c>
      <c r="V198" s="1">
        <v>25</v>
      </c>
      <c r="W198" s="1">
        <v>20</v>
      </c>
      <c r="X198" s="1">
        <v>58</v>
      </c>
      <c r="Y198" s="1">
        <v>129</v>
      </c>
      <c r="Z198" s="1">
        <v>14</v>
      </c>
      <c r="AA198" s="1">
        <v>27</v>
      </c>
      <c r="AB198" s="1">
        <v>146</v>
      </c>
      <c r="AC198" s="1">
        <v>83</v>
      </c>
      <c r="AD198" s="1">
        <v>103</v>
      </c>
      <c r="AE198" s="1">
        <v>33</v>
      </c>
      <c r="AF198" s="18">
        <f t="shared" si="3"/>
        <v>62.93333333333333</v>
      </c>
    </row>
    <row r="199" spans="1:32" x14ac:dyDescent="0.35">
      <c r="A199" s="1" t="s">
        <v>163</v>
      </c>
      <c r="B199" s="1">
        <v>87</v>
      </c>
      <c r="C199" s="1">
        <v>36</v>
      </c>
      <c r="D199" s="1">
        <v>59</v>
      </c>
      <c r="E199" s="1">
        <v>23</v>
      </c>
      <c r="F199" s="1">
        <v>249</v>
      </c>
      <c r="G199" s="1">
        <v>43</v>
      </c>
      <c r="H199" s="1">
        <v>47</v>
      </c>
      <c r="I199" s="1">
        <v>24</v>
      </c>
      <c r="J199" s="1">
        <v>14</v>
      </c>
      <c r="K199" s="1">
        <v>24</v>
      </c>
      <c r="L199" s="1">
        <v>42</v>
      </c>
      <c r="M199" s="1">
        <v>35</v>
      </c>
      <c r="N199" s="1">
        <v>46</v>
      </c>
      <c r="O199" s="1">
        <v>94</v>
      </c>
      <c r="P199" s="1">
        <v>63</v>
      </c>
      <c r="Q199" s="1">
        <v>15</v>
      </c>
      <c r="R199" s="1">
        <v>84</v>
      </c>
      <c r="S199" s="1">
        <v>30</v>
      </c>
      <c r="T199" s="1">
        <v>77</v>
      </c>
      <c r="U199" s="1">
        <v>49</v>
      </c>
      <c r="V199" s="1">
        <v>47</v>
      </c>
      <c r="W199" s="1">
        <v>56</v>
      </c>
      <c r="X199" s="1">
        <v>13</v>
      </c>
      <c r="Y199" s="1">
        <v>16</v>
      </c>
      <c r="Z199" s="1">
        <v>54</v>
      </c>
      <c r="AA199" s="1">
        <v>43</v>
      </c>
      <c r="AB199" s="1">
        <v>13</v>
      </c>
      <c r="AC199" s="1">
        <v>13</v>
      </c>
      <c r="AD199" s="1">
        <v>57</v>
      </c>
      <c r="AE199" s="1">
        <v>28</v>
      </c>
      <c r="AF199" s="18">
        <f t="shared" si="3"/>
        <v>49.366666666666667</v>
      </c>
    </row>
    <row r="200" spans="1:32" x14ac:dyDescent="0.35">
      <c r="A200" s="1" t="s">
        <v>194</v>
      </c>
      <c r="B200" s="1">
        <v>58</v>
      </c>
      <c r="C200" s="1">
        <v>71</v>
      </c>
      <c r="D200" s="1">
        <v>34</v>
      </c>
      <c r="E200" s="1">
        <v>37</v>
      </c>
      <c r="F200" s="1">
        <v>15</v>
      </c>
      <c r="G200" s="1">
        <v>18</v>
      </c>
      <c r="H200" s="1">
        <v>12</v>
      </c>
      <c r="I200" s="1">
        <v>74</v>
      </c>
      <c r="J200" s="1">
        <v>39</v>
      </c>
      <c r="K200" s="1">
        <v>15</v>
      </c>
      <c r="L200" s="1">
        <v>106</v>
      </c>
      <c r="M200" s="1">
        <v>49</v>
      </c>
      <c r="N200" s="1">
        <v>149</v>
      </c>
      <c r="O200" s="1">
        <v>29</v>
      </c>
      <c r="P200" s="1">
        <v>19</v>
      </c>
      <c r="Q200" s="1">
        <v>132</v>
      </c>
      <c r="R200" s="1">
        <v>51</v>
      </c>
      <c r="S200" s="1">
        <v>109</v>
      </c>
      <c r="T200" s="1">
        <v>29</v>
      </c>
      <c r="U200" s="1">
        <v>40</v>
      </c>
      <c r="V200" s="1">
        <v>53</v>
      </c>
      <c r="W200" s="1">
        <v>113</v>
      </c>
      <c r="X200" s="1">
        <v>39</v>
      </c>
      <c r="Y200" s="1">
        <v>19</v>
      </c>
      <c r="Z200" s="1">
        <v>33</v>
      </c>
      <c r="AA200" s="1">
        <v>15</v>
      </c>
      <c r="AB200" s="1">
        <v>30</v>
      </c>
      <c r="AC200" s="1">
        <v>21</v>
      </c>
      <c r="AD200" s="1">
        <v>31</v>
      </c>
      <c r="AE200" s="1">
        <v>59</v>
      </c>
      <c r="AF200" s="18">
        <f t="shared" si="3"/>
        <v>49.966666666666669</v>
      </c>
    </row>
    <row r="201" spans="1:32" x14ac:dyDescent="0.35">
      <c r="A201" s="1" t="s">
        <v>157</v>
      </c>
      <c r="B201" s="1">
        <v>12</v>
      </c>
      <c r="C201" s="1">
        <v>23</v>
      </c>
      <c r="D201" s="1">
        <v>103</v>
      </c>
      <c r="E201" s="1">
        <v>42</v>
      </c>
      <c r="F201" s="1">
        <v>112</v>
      </c>
      <c r="G201" s="1">
        <v>37</v>
      </c>
      <c r="H201" s="1">
        <v>12</v>
      </c>
      <c r="I201" s="1">
        <v>75</v>
      </c>
      <c r="J201" s="1">
        <v>75</v>
      </c>
      <c r="K201" s="1">
        <v>74</v>
      </c>
      <c r="L201" s="1">
        <v>20</v>
      </c>
      <c r="M201" s="1">
        <v>58</v>
      </c>
      <c r="N201" s="1">
        <v>214</v>
      </c>
      <c r="O201" s="1">
        <v>137</v>
      </c>
      <c r="P201" s="1">
        <v>273</v>
      </c>
      <c r="Q201" s="1">
        <v>17</v>
      </c>
      <c r="R201" s="1">
        <v>45</v>
      </c>
      <c r="S201" s="1">
        <v>73</v>
      </c>
      <c r="T201" s="1">
        <v>49</v>
      </c>
      <c r="U201" s="1">
        <v>44</v>
      </c>
      <c r="V201" s="1">
        <v>195</v>
      </c>
      <c r="W201" s="1">
        <v>99</v>
      </c>
      <c r="X201" s="1">
        <v>102</v>
      </c>
      <c r="Y201" s="1">
        <v>79</v>
      </c>
      <c r="Z201" s="1">
        <v>16</v>
      </c>
      <c r="AA201" s="1">
        <v>27</v>
      </c>
      <c r="AB201" s="1">
        <v>278</v>
      </c>
      <c r="AC201" s="1">
        <v>33</v>
      </c>
      <c r="AD201" s="1">
        <v>23</v>
      </c>
      <c r="AE201" s="1">
        <v>25</v>
      </c>
      <c r="AF201" s="18">
        <f t="shared" si="3"/>
        <v>79.066666666666663</v>
      </c>
    </row>
    <row r="202" spans="1:32" x14ac:dyDescent="0.35">
      <c r="A202" s="1" t="s">
        <v>158</v>
      </c>
      <c r="B202" s="1">
        <v>29</v>
      </c>
      <c r="C202" s="1">
        <v>72</v>
      </c>
      <c r="D202" s="1">
        <v>61</v>
      </c>
      <c r="E202" s="1">
        <v>107</v>
      </c>
      <c r="F202" s="1">
        <v>15</v>
      </c>
      <c r="G202" s="1">
        <v>72</v>
      </c>
      <c r="H202" s="1">
        <v>30</v>
      </c>
      <c r="I202" s="1">
        <v>43</v>
      </c>
      <c r="J202" s="1">
        <v>126</v>
      </c>
      <c r="K202" s="1">
        <v>140</v>
      </c>
      <c r="L202" s="1">
        <v>101</v>
      </c>
      <c r="M202" s="1">
        <v>55</v>
      </c>
      <c r="N202" s="1">
        <v>234</v>
      </c>
      <c r="O202" s="1">
        <v>79</v>
      </c>
      <c r="P202" s="1">
        <v>53</v>
      </c>
      <c r="Q202" s="1">
        <v>17</v>
      </c>
      <c r="R202" s="1">
        <v>150</v>
      </c>
      <c r="S202" s="1">
        <v>72</v>
      </c>
      <c r="T202" s="1">
        <v>32</v>
      </c>
      <c r="U202" s="1">
        <v>37</v>
      </c>
      <c r="V202" s="1">
        <v>19</v>
      </c>
      <c r="W202" s="1">
        <v>27</v>
      </c>
      <c r="X202" s="1">
        <v>118</v>
      </c>
      <c r="Y202" s="1">
        <v>19</v>
      </c>
      <c r="Z202" s="1">
        <v>56</v>
      </c>
      <c r="AA202" s="1">
        <v>14</v>
      </c>
      <c r="AB202" s="1">
        <v>81</v>
      </c>
      <c r="AC202" s="1">
        <v>50</v>
      </c>
      <c r="AD202" s="1">
        <v>54</v>
      </c>
      <c r="AE202" s="1">
        <v>105</v>
      </c>
      <c r="AF202" s="18">
        <f t="shared" si="3"/>
        <v>68.933333333333337</v>
      </c>
    </row>
    <row r="203" spans="1:32" x14ac:dyDescent="0.35">
      <c r="B203" s="1">
        <v>13</v>
      </c>
      <c r="C203" s="1">
        <v>22</v>
      </c>
      <c r="D203" s="1">
        <v>52</v>
      </c>
      <c r="E203" s="1">
        <v>53</v>
      </c>
      <c r="F203" s="1">
        <v>66</v>
      </c>
      <c r="G203" s="1">
        <v>132</v>
      </c>
      <c r="H203" s="1">
        <v>16</v>
      </c>
      <c r="I203" s="1">
        <v>35</v>
      </c>
      <c r="J203" s="1">
        <v>140</v>
      </c>
      <c r="K203" s="1">
        <v>24</v>
      </c>
      <c r="L203" s="1">
        <v>33</v>
      </c>
      <c r="M203" s="1">
        <v>16</v>
      </c>
      <c r="N203" s="1">
        <v>94</v>
      </c>
      <c r="O203" s="1">
        <v>24</v>
      </c>
      <c r="P203" s="1">
        <v>49</v>
      </c>
      <c r="Q203" s="1">
        <v>88</v>
      </c>
      <c r="R203" s="1">
        <v>44</v>
      </c>
      <c r="S203" s="1">
        <v>95</v>
      </c>
      <c r="T203" s="1">
        <v>106</v>
      </c>
      <c r="U203" s="1">
        <v>87</v>
      </c>
      <c r="V203" s="1">
        <v>55</v>
      </c>
      <c r="W203" s="1">
        <v>123</v>
      </c>
      <c r="X203" s="1">
        <v>21</v>
      </c>
      <c r="Y203" s="1">
        <v>34</v>
      </c>
      <c r="Z203" s="1">
        <v>13</v>
      </c>
      <c r="AA203" s="1">
        <v>204</v>
      </c>
      <c r="AB203" s="1">
        <v>153</v>
      </c>
      <c r="AC203" s="1">
        <v>30</v>
      </c>
      <c r="AD203" s="1">
        <v>58</v>
      </c>
      <c r="AE203" s="1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B608-0CA5-4463-8B3C-2C92BC230237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128</v>
      </c>
      <c r="C3" s="1">
        <v>139</v>
      </c>
      <c r="D3" s="1">
        <v>121</v>
      </c>
      <c r="E3" s="1">
        <v>48</v>
      </c>
      <c r="F3" s="1">
        <v>60</v>
      </c>
      <c r="G3" s="1">
        <v>76</v>
      </c>
      <c r="H3" s="1">
        <v>17</v>
      </c>
      <c r="I3" s="1">
        <v>26</v>
      </c>
      <c r="J3" s="1">
        <v>18</v>
      </c>
      <c r="K3" s="1">
        <v>32</v>
      </c>
      <c r="L3" s="1">
        <v>135</v>
      </c>
      <c r="M3" s="1">
        <v>59</v>
      </c>
      <c r="N3" s="1">
        <v>35</v>
      </c>
      <c r="O3" s="1">
        <v>52</v>
      </c>
      <c r="P3" s="1">
        <v>14</v>
      </c>
      <c r="Q3" s="1">
        <v>30</v>
      </c>
      <c r="R3" s="1">
        <v>12</v>
      </c>
      <c r="S3" s="1">
        <v>17</v>
      </c>
      <c r="T3" s="1">
        <v>50</v>
      </c>
      <c r="U3" s="1">
        <v>24</v>
      </c>
      <c r="V3" s="1">
        <v>18</v>
      </c>
      <c r="W3" s="1">
        <v>151</v>
      </c>
      <c r="X3" s="1">
        <v>16</v>
      </c>
      <c r="Y3" s="1">
        <v>22</v>
      </c>
      <c r="Z3" s="1">
        <v>24</v>
      </c>
      <c r="AA3" s="1">
        <v>23</v>
      </c>
      <c r="AB3" s="1">
        <v>16</v>
      </c>
      <c r="AC3" s="1">
        <v>60</v>
      </c>
      <c r="AD3" s="1">
        <v>51</v>
      </c>
      <c r="AE3" s="1">
        <v>57</v>
      </c>
      <c r="AF3" s="18">
        <f>AVERAGE(B3:AE3)</f>
        <v>51.033333333333331</v>
      </c>
    </row>
    <row r="4" spans="1:32" x14ac:dyDescent="0.35">
      <c r="A4" s="1" t="s">
        <v>166</v>
      </c>
      <c r="B4" s="1">
        <v>74</v>
      </c>
      <c r="C4" s="1">
        <v>88</v>
      </c>
      <c r="D4" s="1">
        <v>65</v>
      </c>
      <c r="E4" s="1">
        <v>52</v>
      </c>
      <c r="F4" s="1">
        <v>64</v>
      </c>
      <c r="G4" s="1">
        <v>79</v>
      </c>
      <c r="H4" s="1">
        <v>21</v>
      </c>
      <c r="I4" s="1">
        <v>194</v>
      </c>
      <c r="J4" s="1">
        <v>27</v>
      </c>
      <c r="K4" s="1">
        <v>68</v>
      </c>
      <c r="L4" s="1">
        <v>58</v>
      </c>
      <c r="M4" s="1">
        <v>90</v>
      </c>
      <c r="N4" s="1">
        <v>70</v>
      </c>
      <c r="O4" s="1">
        <v>105</v>
      </c>
      <c r="P4" s="1">
        <v>131</v>
      </c>
      <c r="Q4" s="1">
        <v>143</v>
      </c>
      <c r="R4" s="1">
        <v>26</v>
      </c>
      <c r="S4" s="1">
        <v>94</v>
      </c>
      <c r="T4" s="1">
        <v>152</v>
      </c>
      <c r="U4" s="1">
        <v>64</v>
      </c>
      <c r="V4" s="1">
        <v>84</v>
      </c>
      <c r="W4" s="1">
        <v>16</v>
      </c>
      <c r="X4" s="1">
        <v>40</v>
      </c>
      <c r="Y4" s="1">
        <v>39</v>
      </c>
      <c r="Z4" s="1">
        <v>92</v>
      </c>
      <c r="AA4" s="1">
        <v>199</v>
      </c>
      <c r="AB4" s="1">
        <v>39</v>
      </c>
      <c r="AC4" s="1">
        <v>32</v>
      </c>
      <c r="AD4" s="1">
        <v>13</v>
      </c>
      <c r="AE4" s="1">
        <v>133</v>
      </c>
      <c r="AF4" s="18">
        <f t="shared" ref="AF4:AF67" si="0">AVERAGE(B4:AE4)</f>
        <v>78.400000000000006</v>
      </c>
    </row>
    <row r="5" spans="1:32" x14ac:dyDescent="0.35">
      <c r="A5" s="1" t="s">
        <v>167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8">
        <f t="shared" si="0"/>
        <v>0</v>
      </c>
    </row>
    <row r="6" spans="1:32" x14ac:dyDescent="0.35">
      <c r="A6" s="1" t="s">
        <v>211</v>
      </c>
      <c r="B6" s="1">
        <v>16</v>
      </c>
      <c r="C6" s="1">
        <v>13</v>
      </c>
      <c r="D6" s="1">
        <v>12</v>
      </c>
      <c r="E6" s="1">
        <v>52</v>
      </c>
      <c r="F6" s="1">
        <v>51</v>
      </c>
      <c r="G6" s="1">
        <v>39</v>
      </c>
      <c r="H6" s="1">
        <v>18</v>
      </c>
      <c r="I6" s="1">
        <v>45</v>
      </c>
      <c r="J6" s="1">
        <v>16</v>
      </c>
      <c r="K6" s="1">
        <v>30</v>
      </c>
      <c r="L6" s="1">
        <v>53</v>
      </c>
      <c r="M6" s="1">
        <v>79</v>
      </c>
      <c r="N6" s="1">
        <v>26</v>
      </c>
      <c r="O6" s="1">
        <v>51</v>
      </c>
      <c r="P6" s="1">
        <v>24</v>
      </c>
      <c r="Q6" s="1">
        <v>29</v>
      </c>
      <c r="R6" s="1">
        <v>21</v>
      </c>
      <c r="S6" s="1">
        <v>66</v>
      </c>
      <c r="T6" s="1">
        <v>17</v>
      </c>
      <c r="U6" s="1">
        <v>13</v>
      </c>
      <c r="V6" s="1">
        <v>13</v>
      </c>
      <c r="W6" s="1">
        <v>15</v>
      </c>
      <c r="X6" s="1">
        <v>50</v>
      </c>
      <c r="Y6" s="1">
        <v>41</v>
      </c>
      <c r="Z6" s="1">
        <v>24</v>
      </c>
      <c r="AA6" s="1">
        <v>16</v>
      </c>
      <c r="AB6" s="1">
        <v>46</v>
      </c>
      <c r="AC6" s="1">
        <v>37</v>
      </c>
      <c r="AD6" s="1">
        <v>39</v>
      </c>
      <c r="AE6" s="1">
        <v>26</v>
      </c>
      <c r="AF6" s="18">
        <f t="shared" si="0"/>
        <v>32.6</v>
      </c>
    </row>
    <row r="7" spans="1:32" x14ac:dyDescent="0.35">
      <c r="A7" s="1" t="s">
        <v>168</v>
      </c>
      <c r="B7" s="1">
        <v>25</v>
      </c>
      <c r="C7" s="1">
        <v>164</v>
      </c>
      <c r="D7" s="1">
        <v>105</v>
      </c>
      <c r="E7" s="1">
        <v>49</v>
      </c>
      <c r="F7" s="1">
        <v>94</v>
      </c>
      <c r="G7" s="1">
        <v>34</v>
      </c>
      <c r="H7" s="1">
        <v>97</v>
      </c>
      <c r="I7" s="1">
        <v>128</v>
      </c>
      <c r="J7" s="1">
        <v>109</v>
      </c>
      <c r="K7" s="1">
        <v>159</v>
      </c>
      <c r="L7" s="1">
        <v>21</v>
      </c>
      <c r="M7" s="1">
        <v>141</v>
      </c>
      <c r="N7" s="1">
        <v>60</v>
      </c>
      <c r="O7" s="1">
        <v>60</v>
      </c>
      <c r="P7" s="1">
        <v>54</v>
      </c>
      <c r="Q7" s="1">
        <v>75</v>
      </c>
      <c r="R7" s="1">
        <v>34</v>
      </c>
      <c r="S7" s="1">
        <v>75</v>
      </c>
      <c r="T7" s="1">
        <v>156</v>
      </c>
      <c r="U7" s="1">
        <v>70</v>
      </c>
      <c r="V7" s="1">
        <v>55</v>
      </c>
      <c r="W7" s="1">
        <v>40</v>
      </c>
      <c r="X7" s="1">
        <v>59</v>
      </c>
      <c r="Y7" s="1">
        <v>34</v>
      </c>
      <c r="Z7" s="1">
        <v>205</v>
      </c>
      <c r="AA7" s="1">
        <v>67</v>
      </c>
      <c r="AB7" s="1">
        <v>148</v>
      </c>
      <c r="AC7" s="1">
        <v>124</v>
      </c>
      <c r="AD7" s="1">
        <v>14</v>
      </c>
      <c r="AE7" s="1">
        <v>98</v>
      </c>
      <c r="AF7" s="18">
        <f t="shared" si="0"/>
        <v>85.13333333333334</v>
      </c>
    </row>
    <row r="8" spans="1:32" x14ac:dyDescent="0.35">
      <c r="A8" s="1" t="s">
        <v>169</v>
      </c>
      <c r="B8" s="1">
        <v>14</v>
      </c>
      <c r="C8" s="1">
        <v>29</v>
      </c>
      <c r="D8" s="1">
        <v>31</v>
      </c>
      <c r="E8" s="1">
        <v>89</v>
      </c>
      <c r="F8" s="1">
        <v>35</v>
      </c>
      <c r="G8" s="1">
        <v>83</v>
      </c>
      <c r="H8" s="1">
        <v>51</v>
      </c>
      <c r="I8" s="1">
        <v>14</v>
      </c>
      <c r="J8" s="1">
        <v>15</v>
      </c>
      <c r="K8" s="1">
        <v>58</v>
      </c>
      <c r="L8" s="1">
        <v>43</v>
      </c>
      <c r="M8" s="1">
        <v>35</v>
      </c>
      <c r="N8" s="1">
        <v>13</v>
      </c>
      <c r="O8" s="1">
        <v>100</v>
      </c>
      <c r="P8" s="1">
        <v>31</v>
      </c>
      <c r="Q8" s="1">
        <v>28</v>
      </c>
      <c r="R8" s="1">
        <v>267</v>
      </c>
      <c r="S8" s="1">
        <v>24</v>
      </c>
      <c r="T8" s="1">
        <v>30</v>
      </c>
      <c r="U8" s="1">
        <v>30</v>
      </c>
      <c r="V8" s="1">
        <v>16</v>
      </c>
      <c r="W8" s="1">
        <v>20</v>
      </c>
      <c r="X8" s="1">
        <v>22</v>
      </c>
      <c r="Y8" s="1">
        <v>20</v>
      </c>
      <c r="Z8" s="1">
        <v>100</v>
      </c>
      <c r="AA8" s="1">
        <v>57</v>
      </c>
      <c r="AB8" s="1">
        <v>12</v>
      </c>
      <c r="AC8" s="1">
        <v>100</v>
      </c>
      <c r="AD8" s="1">
        <v>41</v>
      </c>
      <c r="AE8" s="1">
        <v>19</v>
      </c>
      <c r="AF8" s="18">
        <f t="shared" si="0"/>
        <v>47.56666666666667</v>
      </c>
    </row>
    <row r="9" spans="1:32" x14ac:dyDescent="0.35">
      <c r="A9" s="1" t="s">
        <v>170</v>
      </c>
      <c r="B9" s="1">
        <v>14</v>
      </c>
      <c r="C9" s="1">
        <v>18</v>
      </c>
      <c r="D9" s="1">
        <v>32</v>
      </c>
      <c r="E9" s="1">
        <v>18</v>
      </c>
      <c r="F9" s="1">
        <v>19</v>
      </c>
      <c r="G9" s="1">
        <v>35</v>
      </c>
      <c r="H9" s="1">
        <v>61</v>
      </c>
      <c r="I9" s="1">
        <v>27</v>
      </c>
      <c r="J9" s="1">
        <v>52</v>
      </c>
      <c r="K9" s="1">
        <v>14</v>
      </c>
      <c r="L9" s="1">
        <v>36</v>
      </c>
      <c r="M9" s="1">
        <v>42</v>
      </c>
      <c r="N9" s="1">
        <v>66</v>
      </c>
      <c r="O9" s="1">
        <v>43</v>
      </c>
      <c r="P9" s="1">
        <v>21</v>
      </c>
      <c r="Q9" s="1">
        <v>34</v>
      </c>
      <c r="R9" s="1">
        <v>13</v>
      </c>
      <c r="S9" s="1">
        <v>29</v>
      </c>
      <c r="T9" s="1">
        <v>12</v>
      </c>
      <c r="U9" s="1">
        <v>28</v>
      </c>
      <c r="V9" s="1">
        <v>73</v>
      </c>
      <c r="W9" s="1">
        <v>36</v>
      </c>
      <c r="X9" s="1">
        <v>53</v>
      </c>
      <c r="Y9" s="1">
        <v>15</v>
      </c>
      <c r="Z9" s="1">
        <v>15</v>
      </c>
      <c r="AA9" s="1">
        <v>17</v>
      </c>
      <c r="AB9" s="1">
        <v>32</v>
      </c>
      <c r="AC9" s="1">
        <v>79</v>
      </c>
      <c r="AD9" s="1">
        <v>144</v>
      </c>
      <c r="AE9" s="1">
        <v>56</v>
      </c>
      <c r="AF9" s="18">
        <f t="shared" si="0"/>
        <v>37.799999999999997</v>
      </c>
    </row>
    <row r="10" spans="1:32" x14ac:dyDescent="0.35">
      <c r="A10" s="1" t="s">
        <v>4</v>
      </c>
      <c r="B10" s="1">
        <v>88</v>
      </c>
      <c r="C10" s="1">
        <v>18</v>
      </c>
      <c r="D10" s="1">
        <v>30</v>
      </c>
      <c r="E10" s="1">
        <v>57</v>
      </c>
      <c r="F10" s="1">
        <v>40</v>
      </c>
      <c r="G10" s="1">
        <v>50</v>
      </c>
      <c r="H10" s="1">
        <v>25</v>
      </c>
      <c r="I10" s="1">
        <v>124</v>
      </c>
      <c r="J10" s="1">
        <v>77</v>
      </c>
      <c r="K10" s="1">
        <v>22</v>
      </c>
      <c r="L10" s="1">
        <v>12</v>
      </c>
      <c r="M10" s="1">
        <v>19</v>
      </c>
      <c r="N10" s="1">
        <v>89</v>
      </c>
      <c r="O10" s="1">
        <v>12</v>
      </c>
      <c r="P10" s="1">
        <v>23</v>
      </c>
      <c r="Q10" s="1">
        <v>16</v>
      </c>
      <c r="R10" s="1">
        <v>18</v>
      </c>
      <c r="S10" s="1">
        <v>20</v>
      </c>
      <c r="T10" s="1">
        <v>71</v>
      </c>
      <c r="U10" s="1">
        <v>12</v>
      </c>
      <c r="V10" s="1">
        <v>115</v>
      </c>
      <c r="W10" s="1">
        <v>27</v>
      </c>
      <c r="X10" s="1">
        <v>24</v>
      </c>
      <c r="Y10" s="1">
        <v>14</v>
      </c>
      <c r="Z10" s="1">
        <v>31</v>
      </c>
      <c r="AA10" s="1">
        <v>49</v>
      </c>
      <c r="AB10" s="1">
        <v>22</v>
      </c>
      <c r="AC10" s="1">
        <v>24</v>
      </c>
      <c r="AD10" s="1">
        <v>34</v>
      </c>
      <c r="AE10" s="1">
        <v>15</v>
      </c>
      <c r="AF10" s="18">
        <f t="shared" si="0"/>
        <v>39.266666666666666</v>
      </c>
    </row>
    <row r="11" spans="1:32" x14ac:dyDescent="0.35">
      <c r="A11" s="1" t="s">
        <v>5</v>
      </c>
      <c r="B11" s="1">
        <v>17</v>
      </c>
      <c r="C11" s="1">
        <v>49</v>
      </c>
      <c r="D11" s="1">
        <v>19</v>
      </c>
      <c r="E11" s="1">
        <v>48</v>
      </c>
      <c r="F11" s="1">
        <v>48</v>
      </c>
      <c r="G11" s="1">
        <v>29</v>
      </c>
      <c r="H11" s="1">
        <v>176</v>
      </c>
      <c r="I11" s="1">
        <v>59</v>
      </c>
      <c r="J11" s="1">
        <v>25</v>
      </c>
      <c r="K11" s="1">
        <v>124</v>
      </c>
      <c r="L11" s="1">
        <v>71</v>
      </c>
      <c r="M11" s="1">
        <v>27</v>
      </c>
      <c r="N11" s="1">
        <v>54</v>
      </c>
      <c r="O11" s="1">
        <v>14</v>
      </c>
      <c r="P11" s="1">
        <v>43</v>
      </c>
      <c r="Q11" s="1">
        <v>21</v>
      </c>
      <c r="R11" s="1">
        <v>35</v>
      </c>
      <c r="S11" s="1">
        <v>28</v>
      </c>
      <c r="T11" s="1">
        <v>30</v>
      </c>
      <c r="U11" s="1">
        <v>88</v>
      </c>
      <c r="V11" s="1">
        <v>99</v>
      </c>
      <c r="W11" s="1">
        <v>69</v>
      </c>
      <c r="X11" s="1">
        <v>34</v>
      </c>
      <c r="Y11" s="1">
        <v>32</v>
      </c>
      <c r="Z11" s="1">
        <v>24</v>
      </c>
      <c r="AA11" s="1">
        <v>40</v>
      </c>
      <c r="AB11" s="1">
        <v>16</v>
      </c>
      <c r="AC11" s="1">
        <v>65</v>
      </c>
      <c r="AD11" s="1">
        <v>34</v>
      </c>
      <c r="AE11" s="1">
        <v>37</v>
      </c>
      <c r="AF11" s="18">
        <f t="shared" si="0"/>
        <v>48.5</v>
      </c>
    </row>
    <row r="12" spans="1:32" x14ac:dyDescent="0.35">
      <c r="A12" s="1" t="s">
        <v>161</v>
      </c>
      <c r="B12" s="1">
        <v>16</v>
      </c>
      <c r="C12" s="1">
        <v>32</v>
      </c>
      <c r="D12" s="1">
        <v>70</v>
      </c>
      <c r="E12" s="1">
        <v>55</v>
      </c>
      <c r="F12" s="1">
        <v>16</v>
      </c>
      <c r="G12" s="1">
        <v>25</v>
      </c>
      <c r="H12" s="1">
        <v>12</v>
      </c>
      <c r="I12" s="1">
        <v>25</v>
      </c>
      <c r="J12" s="1">
        <v>113</v>
      </c>
      <c r="K12" s="1">
        <v>38</v>
      </c>
      <c r="L12" s="1">
        <v>12</v>
      </c>
      <c r="M12" s="1">
        <v>27</v>
      </c>
      <c r="N12" s="1">
        <v>14</v>
      </c>
      <c r="O12" s="1">
        <v>31</v>
      </c>
      <c r="P12" s="1">
        <v>49</v>
      </c>
      <c r="Q12" s="1">
        <v>33</v>
      </c>
      <c r="R12" s="1">
        <v>40</v>
      </c>
      <c r="S12" s="1">
        <v>24</v>
      </c>
      <c r="T12" s="1">
        <v>13</v>
      </c>
      <c r="U12" s="1">
        <v>37</v>
      </c>
      <c r="V12" s="1">
        <v>21</v>
      </c>
      <c r="W12" s="1">
        <v>34</v>
      </c>
      <c r="X12" s="1">
        <v>45</v>
      </c>
      <c r="Y12" s="1">
        <v>34</v>
      </c>
      <c r="Z12" s="1">
        <v>20</v>
      </c>
      <c r="AA12" s="1">
        <v>61</v>
      </c>
      <c r="AB12" s="1">
        <v>20</v>
      </c>
      <c r="AC12" s="1">
        <v>20</v>
      </c>
      <c r="AD12" s="1">
        <v>13</v>
      </c>
      <c r="AE12" s="1">
        <v>33</v>
      </c>
      <c r="AF12" s="18">
        <f t="shared" si="0"/>
        <v>32.766666666666666</v>
      </c>
    </row>
    <row r="13" spans="1:32" x14ac:dyDescent="0.35">
      <c r="A13" s="1" t="s">
        <v>212</v>
      </c>
      <c r="B13" s="1">
        <v>16</v>
      </c>
      <c r="C13" s="1">
        <v>82</v>
      </c>
      <c r="D13" s="1">
        <v>12</v>
      </c>
      <c r="E13" s="1">
        <v>31</v>
      </c>
      <c r="F13" s="1">
        <v>54</v>
      </c>
      <c r="G13" s="1">
        <v>28</v>
      </c>
      <c r="H13" s="1">
        <v>25</v>
      </c>
      <c r="I13" s="1">
        <v>14</v>
      </c>
      <c r="J13" s="1">
        <v>20</v>
      </c>
      <c r="K13" s="1">
        <v>17</v>
      </c>
      <c r="L13" s="1">
        <v>32</v>
      </c>
      <c r="M13" s="1">
        <v>12</v>
      </c>
      <c r="N13" s="1">
        <v>31</v>
      </c>
      <c r="O13" s="1">
        <v>48</v>
      </c>
      <c r="P13" s="1">
        <v>24</v>
      </c>
      <c r="Q13" s="1">
        <v>25</v>
      </c>
      <c r="R13" s="1">
        <v>26</v>
      </c>
      <c r="S13" s="1">
        <v>12</v>
      </c>
      <c r="T13" s="1">
        <v>23</v>
      </c>
      <c r="U13" s="1">
        <v>48</v>
      </c>
      <c r="V13" s="1">
        <v>21</v>
      </c>
      <c r="W13" s="1">
        <v>29</v>
      </c>
      <c r="X13" s="1">
        <v>17</v>
      </c>
      <c r="Y13" s="1">
        <v>41</v>
      </c>
      <c r="Z13" s="1">
        <v>75</v>
      </c>
      <c r="AA13" s="1">
        <v>40</v>
      </c>
      <c r="AB13" s="1">
        <v>21</v>
      </c>
      <c r="AC13" s="1">
        <v>12</v>
      </c>
      <c r="AD13" s="1">
        <v>38</v>
      </c>
      <c r="AE13" s="1">
        <v>15</v>
      </c>
      <c r="AF13" s="18">
        <f t="shared" si="0"/>
        <v>29.633333333333333</v>
      </c>
    </row>
    <row r="14" spans="1:32" x14ac:dyDescent="0.35">
      <c r="A14" s="1" t="s">
        <v>6</v>
      </c>
      <c r="B14" s="1">
        <v>56</v>
      </c>
      <c r="C14" s="1">
        <v>105</v>
      </c>
      <c r="D14" s="1">
        <v>20</v>
      </c>
      <c r="E14" s="1">
        <v>38</v>
      </c>
      <c r="F14" s="1">
        <v>28</v>
      </c>
      <c r="G14" s="1">
        <v>111</v>
      </c>
      <c r="H14" s="1">
        <v>25</v>
      </c>
      <c r="I14" s="1">
        <v>38</v>
      </c>
      <c r="J14" s="1">
        <v>27</v>
      </c>
      <c r="K14" s="1">
        <v>115</v>
      </c>
      <c r="L14" s="1">
        <v>90</v>
      </c>
      <c r="M14" s="1">
        <v>81</v>
      </c>
      <c r="N14" s="1">
        <v>24</v>
      </c>
      <c r="O14" s="1">
        <v>95</v>
      </c>
      <c r="P14" s="1">
        <v>13</v>
      </c>
      <c r="Q14" s="1">
        <v>23</v>
      </c>
      <c r="R14" s="1">
        <v>114</v>
      </c>
      <c r="S14" s="1">
        <v>125</v>
      </c>
      <c r="T14" s="1">
        <v>64</v>
      </c>
      <c r="U14" s="1">
        <v>16</v>
      </c>
      <c r="V14" s="1">
        <v>12</v>
      </c>
      <c r="W14" s="1">
        <v>20</v>
      </c>
      <c r="X14" s="1">
        <v>77</v>
      </c>
      <c r="Y14" s="1">
        <v>65</v>
      </c>
      <c r="Z14" s="1">
        <v>119</v>
      </c>
      <c r="AA14" s="1">
        <v>28</v>
      </c>
      <c r="AB14" s="1">
        <v>235</v>
      </c>
      <c r="AC14" s="1">
        <v>40</v>
      </c>
      <c r="AD14" s="1">
        <v>18</v>
      </c>
      <c r="AE14" s="1">
        <v>101</v>
      </c>
      <c r="AF14" s="18">
        <f t="shared" si="0"/>
        <v>64.099999999999994</v>
      </c>
    </row>
    <row r="15" spans="1:32" x14ac:dyDescent="0.35">
      <c r="A15" s="1" t="s">
        <v>7</v>
      </c>
      <c r="B15" s="1">
        <v>17</v>
      </c>
      <c r="C15" s="1">
        <v>24</v>
      </c>
      <c r="D15" s="1">
        <v>22</v>
      </c>
      <c r="E15" s="1">
        <v>274</v>
      </c>
      <c r="F15" s="1">
        <v>35</v>
      </c>
      <c r="G15" s="1">
        <v>105</v>
      </c>
      <c r="H15" s="1">
        <v>23</v>
      </c>
      <c r="I15" s="1">
        <v>105</v>
      </c>
      <c r="J15" s="1">
        <v>86</v>
      </c>
      <c r="K15" s="1">
        <v>61</v>
      </c>
      <c r="L15" s="1">
        <v>64</v>
      </c>
      <c r="M15" s="1">
        <v>188</v>
      </c>
      <c r="N15" s="1">
        <v>13</v>
      </c>
      <c r="O15" s="1">
        <v>121</v>
      </c>
      <c r="P15" s="1">
        <v>44</v>
      </c>
      <c r="Q15" s="1">
        <v>37</v>
      </c>
      <c r="R15" s="1">
        <v>37</v>
      </c>
      <c r="S15" s="1">
        <v>48</v>
      </c>
      <c r="T15" s="1">
        <v>14</v>
      </c>
      <c r="U15" s="1">
        <v>51</v>
      </c>
      <c r="V15" s="1">
        <v>15</v>
      </c>
      <c r="W15" s="1">
        <v>12</v>
      </c>
      <c r="X15" s="1">
        <v>102</v>
      </c>
      <c r="Y15" s="1">
        <v>25</v>
      </c>
      <c r="Z15" s="1">
        <v>127</v>
      </c>
      <c r="AA15" s="1">
        <v>76</v>
      </c>
      <c r="AB15" s="1">
        <v>35</v>
      </c>
      <c r="AC15" s="1">
        <v>38</v>
      </c>
      <c r="AD15" s="1">
        <v>13</v>
      </c>
      <c r="AE15" s="1">
        <v>52</v>
      </c>
      <c r="AF15" s="18">
        <f t="shared" si="0"/>
        <v>62.133333333333333</v>
      </c>
    </row>
    <row r="16" spans="1:32" x14ac:dyDescent="0.35">
      <c r="A16" s="1" t="s">
        <v>8</v>
      </c>
      <c r="B16" s="1">
        <v>36</v>
      </c>
      <c r="C16" s="1">
        <v>39</v>
      </c>
      <c r="D16" s="1">
        <v>32</v>
      </c>
      <c r="E16" s="1">
        <v>51</v>
      </c>
      <c r="F16" s="1">
        <v>31</v>
      </c>
      <c r="G16" s="1">
        <v>21</v>
      </c>
      <c r="H16" s="1">
        <v>19</v>
      </c>
      <c r="I16" s="1">
        <v>23</v>
      </c>
      <c r="J16" s="1">
        <v>76</v>
      </c>
      <c r="K16" s="1">
        <v>23</v>
      </c>
      <c r="L16" s="1">
        <v>21</v>
      </c>
      <c r="M16" s="1">
        <v>28</v>
      </c>
      <c r="N16" s="1">
        <v>55</v>
      </c>
      <c r="O16" s="1">
        <v>17</v>
      </c>
      <c r="P16" s="1">
        <v>23</v>
      </c>
      <c r="Q16" s="1">
        <v>139</v>
      </c>
      <c r="R16" s="1">
        <v>84</v>
      </c>
      <c r="S16" s="1">
        <v>17</v>
      </c>
      <c r="T16" s="1">
        <v>14</v>
      </c>
      <c r="U16" s="1">
        <v>34</v>
      </c>
      <c r="V16" s="1">
        <v>76</v>
      </c>
      <c r="W16" s="1">
        <v>33</v>
      </c>
      <c r="X16" s="1">
        <v>14</v>
      </c>
      <c r="Y16" s="1">
        <v>24</v>
      </c>
      <c r="Z16" s="1">
        <v>13</v>
      </c>
      <c r="AA16" s="1">
        <v>35</v>
      </c>
      <c r="AB16" s="1">
        <v>51</v>
      </c>
      <c r="AC16" s="1">
        <v>94</v>
      </c>
      <c r="AD16" s="1">
        <v>46</v>
      </c>
      <c r="AE16" s="1">
        <v>37</v>
      </c>
      <c r="AF16" s="18">
        <f t="shared" si="0"/>
        <v>40.200000000000003</v>
      </c>
    </row>
    <row r="17" spans="1:32" x14ac:dyDescent="0.35">
      <c r="A17" s="1" t="s">
        <v>9</v>
      </c>
      <c r="B17" s="1">
        <v>50</v>
      </c>
      <c r="C17" s="1">
        <v>233</v>
      </c>
      <c r="D17" s="1">
        <v>12</v>
      </c>
      <c r="E17" s="1">
        <v>71</v>
      </c>
      <c r="F17" s="1">
        <v>38</v>
      </c>
      <c r="G17" s="1">
        <v>50</v>
      </c>
      <c r="H17" s="1">
        <v>174</v>
      </c>
      <c r="I17" s="1">
        <v>22</v>
      </c>
      <c r="J17" s="1">
        <v>101</v>
      </c>
      <c r="K17" s="1">
        <v>30</v>
      </c>
      <c r="L17" s="1">
        <v>35</v>
      </c>
      <c r="M17" s="1">
        <v>32</v>
      </c>
      <c r="N17" s="1">
        <v>31</v>
      </c>
      <c r="O17" s="1">
        <v>46</v>
      </c>
      <c r="P17" s="1">
        <v>30</v>
      </c>
      <c r="Q17" s="1">
        <v>15</v>
      </c>
      <c r="R17" s="1">
        <v>34</v>
      </c>
      <c r="S17" s="1">
        <v>63</v>
      </c>
      <c r="T17" s="1">
        <v>215</v>
      </c>
      <c r="U17" s="1">
        <v>52</v>
      </c>
      <c r="V17" s="1">
        <v>50</v>
      </c>
      <c r="W17" s="1">
        <v>14</v>
      </c>
      <c r="X17" s="1">
        <v>43</v>
      </c>
      <c r="Y17" s="1">
        <v>53</v>
      </c>
      <c r="Z17" s="1">
        <v>33</v>
      </c>
      <c r="AA17" s="1">
        <v>81</v>
      </c>
      <c r="AB17" s="1">
        <v>80</v>
      </c>
      <c r="AC17" s="1">
        <v>98</v>
      </c>
      <c r="AD17" s="1">
        <v>25</v>
      </c>
      <c r="AE17" s="1">
        <v>17</v>
      </c>
      <c r="AF17" s="18">
        <f t="shared" si="0"/>
        <v>60.93333333333333</v>
      </c>
    </row>
    <row r="18" spans="1:32" x14ac:dyDescent="0.35">
      <c r="A18" s="1" t="s">
        <v>213</v>
      </c>
      <c r="B18" s="1">
        <v>32</v>
      </c>
      <c r="C18" s="1">
        <v>72</v>
      </c>
      <c r="D18" s="1">
        <v>25</v>
      </c>
      <c r="E18" s="1">
        <v>17</v>
      </c>
      <c r="F18" s="1">
        <v>20</v>
      </c>
      <c r="G18" s="1">
        <v>78</v>
      </c>
      <c r="H18" s="1">
        <v>139</v>
      </c>
      <c r="I18" s="1">
        <v>28</v>
      </c>
      <c r="J18" s="1">
        <v>45</v>
      </c>
      <c r="K18" s="1">
        <v>22</v>
      </c>
      <c r="L18" s="1">
        <v>23</v>
      </c>
      <c r="M18" s="1">
        <v>15</v>
      </c>
      <c r="N18" s="1">
        <v>15</v>
      </c>
      <c r="O18" s="1">
        <v>18</v>
      </c>
      <c r="P18" s="1">
        <v>19</v>
      </c>
      <c r="Q18" s="1">
        <v>92</v>
      </c>
      <c r="R18" s="1">
        <v>74</v>
      </c>
      <c r="S18" s="1">
        <v>30</v>
      </c>
      <c r="T18" s="1">
        <v>45</v>
      </c>
      <c r="U18" s="1">
        <v>113</v>
      </c>
      <c r="V18" s="1">
        <v>26</v>
      </c>
      <c r="W18" s="1">
        <v>70</v>
      </c>
      <c r="X18" s="1">
        <v>61</v>
      </c>
      <c r="Y18" s="1">
        <v>96</v>
      </c>
      <c r="Z18" s="1">
        <v>26</v>
      </c>
      <c r="AA18" s="1">
        <v>25</v>
      </c>
      <c r="AB18" s="1">
        <v>48</v>
      </c>
      <c r="AC18" s="1">
        <v>119</v>
      </c>
      <c r="AD18" s="1">
        <v>16</v>
      </c>
      <c r="AE18" s="1">
        <v>58</v>
      </c>
      <c r="AF18" s="18">
        <f t="shared" si="0"/>
        <v>48.9</v>
      </c>
    </row>
    <row r="19" spans="1:32" x14ac:dyDescent="0.35">
      <c r="A19" s="1" t="s">
        <v>171</v>
      </c>
      <c r="B19" s="1">
        <v>23</v>
      </c>
      <c r="C19" s="1">
        <v>14</v>
      </c>
      <c r="D19" s="1">
        <v>122</v>
      </c>
      <c r="E19" s="1">
        <v>41</v>
      </c>
      <c r="F19" s="1">
        <v>54</v>
      </c>
      <c r="G19" s="1">
        <v>38</v>
      </c>
      <c r="H19" s="1">
        <v>109</v>
      </c>
      <c r="I19" s="1">
        <v>28</v>
      </c>
      <c r="J19" s="1">
        <v>92</v>
      </c>
      <c r="K19" s="1">
        <v>160</v>
      </c>
      <c r="L19" s="1">
        <v>18</v>
      </c>
      <c r="M19" s="1">
        <v>138</v>
      </c>
      <c r="N19" s="1">
        <v>84</v>
      </c>
      <c r="O19" s="1">
        <v>50</v>
      </c>
      <c r="P19" s="1">
        <v>194</v>
      </c>
      <c r="Q19" s="1">
        <v>249</v>
      </c>
      <c r="R19" s="1">
        <v>13</v>
      </c>
      <c r="S19" s="1">
        <v>31</v>
      </c>
      <c r="T19" s="1">
        <v>49</v>
      </c>
      <c r="U19" s="1">
        <v>100</v>
      </c>
      <c r="V19" s="1">
        <v>109</v>
      </c>
      <c r="W19" s="1">
        <v>82</v>
      </c>
      <c r="X19" s="1">
        <v>49</v>
      </c>
      <c r="Y19" s="1">
        <v>72</v>
      </c>
      <c r="Z19" s="1">
        <v>31</v>
      </c>
      <c r="AA19" s="1">
        <v>59</v>
      </c>
      <c r="AB19" s="1">
        <v>70</v>
      </c>
      <c r="AC19" s="1">
        <v>60</v>
      </c>
      <c r="AD19" s="1">
        <v>51</v>
      </c>
      <c r="AE19" s="1">
        <v>156</v>
      </c>
      <c r="AF19" s="18">
        <f t="shared" si="0"/>
        <v>78.2</v>
      </c>
    </row>
    <row r="20" spans="1:32" x14ac:dyDescent="0.35">
      <c r="A20" s="1" t="s">
        <v>214</v>
      </c>
      <c r="B20" s="1">
        <v>106</v>
      </c>
      <c r="C20" s="1">
        <v>148</v>
      </c>
      <c r="D20" s="1">
        <v>33</v>
      </c>
      <c r="E20" s="1">
        <v>18</v>
      </c>
      <c r="F20" s="1">
        <v>48</v>
      </c>
      <c r="G20" s="1">
        <v>47</v>
      </c>
      <c r="H20" s="1">
        <v>130</v>
      </c>
      <c r="I20" s="1">
        <v>52</v>
      </c>
      <c r="J20" s="1">
        <v>14</v>
      </c>
      <c r="K20" s="1">
        <v>24</v>
      </c>
      <c r="L20" s="1">
        <v>154</v>
      </c>
      <c r="M20" s="1">
        <v>17</v>
      </c>
      <c r="N20" s="1">
        <v>34</v>
      </c>
      <c r="O20" s="1">
        <v>54</v>
      </c>
      <c r="P20" s="1">
        <v>77</v>
      </c>
      <c r="Q20" s="1">
        <v>32</v>
      </c>
      <c r="R20" s="1">
        <v>69</v>
      </c>
      <c r="S20" s="1">
        <v>23</v>
      </c>
      <c r="T20" s="1">
        <v>25</v>
      </c>
      <c r="U20" s="1">
        <v>29</v>
      </c>
      <c r="V20" s="1">
        <v>60</v>
      </c>
      <c r="W20" s="1">
        <v>30</v>
      </c>
      <c r="X20" s="1">
        <v>22</v>
      </c>
      <c r="Y20" s="1">
        <v>37</v>
      </c>
      <c r="Z20" s="1">
        <v>93</v>
      </c>
      <c r="AA20" s="1">
        <v>79</v>
      </c>
      <c r="AB20" s="1">
        <v>43</v>
      </c>
      <c r="AC20" s="1">
        <v>33</v>
      </c>
      <c r="AD20" s="1">
        <v>69</v>
      </c>
      <c r="AE20" s="1">
        <v>60</v>
      </c>
      <c r="AF20" s="18">
        <f t="shared" si="0"/>
        <v>55.333333333333336</v>
      </c>
    </row>
    <row r="21" spans="1:32" x14ac:dyDescent="0.35">
      <c r="A21" s="1" t="s">
        <v>10</v>
      </c>
      <c r="B21" s="1">
        <v>52</v>
      </c>
      <c r="C21" s="1">
        <v>18</v>
      </c>
      <c r="D21" s="1">
        <v>104</v>
      </c>
      <c r="E21" s="1">
        <v>13</v>
      </c>
      <c r="F21" s="1">
        <v>128</v>
      </c>
      <c r="G21" s="1">
        <v>87</v>
      </c>
      <c r="H21" s="1">
        <v>148</v>
      </c>
      <c r="I21" s="1">
        <v>50</v>
      </c>
      <c r="J21" s="1">
        <v>13</v>
      </c>
      <c r="K21" s="1">
        <v>120</v>
      </c>
      <c r="L21" s="1">
        <v>67</v>
      </c>
      <c r="M21" s="1">
        <v>17</v>
      </c>
      <c r="N21" s="1">
        <v>13</v>
      </c>
      <c r="O21" s="1">
        <v>40</v>
      </c>
      <c r="P21" s="1">
        <v>13</v>
      </c>
      <c r="Q21" s="1">
        <v>76</v>
      </c>
      <c r="R21" s="1">
        <v>73</v>
      </c>
      <c r="S21" s="1">
        <v>29</v>
      </c>
      <c r="T21" s="1">
        <v>263</v>
      </c>
      <c r="U21" s="1">
        <v>16</v>
      </c>
      <c r="V21" s="1">
        <v>25</v>
      </c>
      <c r="W21" s="1">
        <v>93</v>
      </c>
      <c r="X21" s="1">
        <v>17</v>
      </c>
      <c r="Y21" s="1">
        <v>74</v>
      </c>
      <c r="Z21" s="1">
        <v>15</v>
      </c>
      <c r="AA21" s="1">
        <v>50</v>
      </c>
      <c r="AB21" s="1">
        <v>12</v>
      </c>
      <c r="AC21" s="1">
        <v>70</v>
      </c>
      <c r="AD21" s="1">
        <v>37</v>
      </c>
      <c r="AE21" s="1">
        <v>51</v>
      </c>
      <c r="AF21" s="18">
        <f t="shared" si="0"/>
        <v>59.466666666666669</v>
      </c>
    </row>
    <row r="22" spans="1:32" x14ac:dyDescent="0.35">
      <c r="A22" s="1" t="s">
        <v>11</v>
      </c>
      <c r="B22" s="1">
        <v>21</v>
      </c>
      <c r="C22" s="1">
        <v>15</v>
      </c>
      <c r="D22" s="1">
        <v>25</v>
      </c>
      <c r="E22" s="1">
        <v>37</v>
      </c>
      <c r="F22" s="1">
        <v>36</v>
      </c>
      <c r="G22" s="1">
        <v>15</v>
      </c>
      <c r="H22" s="1">
        <v>34</v>
      </c>
      <c r="I22" s="1">
        <v>14</v>
      </c>
      <c r="J22" s="1">
        <v>66</v>
      </c>
      <c r="K22" s="1">
        <v>14</v>
      </c>
      <c r="L22" s="1">
        <v>114</v>
      </c>
      <c r="M22" s="1">
        <v>67</v>
      </c>
      <c r="N22" s="1">
        <v>91</v>
      </c>
      <c r="O22" s="1">
        <v>502</v>
      </c>
      <c r="P22" s="1">
        <v>36</v>
      </c>
      <c r="Q22" s="1">
        <v>224</v>
      </c>
      <c r="R22" s="1">
        <v>65</v>
      </c>
      <c r="S22" s="1">
        <v>76</v>
      </c>
      <c r="T22" s="1">
        <v>99</v>
      </c>
      <c r="U22" s="1">
        <v>101</v>
      </c>
      <c r="V22" s="1">
        <v>35</v>
      </c>
      <c r="W22" s="1">
        <v>97</v>
      </c>
      <c r="X22" s="1">
        <v>69</v>
      </c>
      <c r="Y22" s="1">
        <v>27</v>
      </c>
      <c r="Z22" s="1">
        <v>123</v>
      </c>
      <c r="AA22" s="1">
        <v>70</v>
      </c>
      <c r="AB22" s="1">
        <v>105</v>
      </c>
      <c r="AC22" s="1">
        <v>39</v>
      </c>
      <c r="AD22" s="1">
        <v>38</v>
      </c>
      <c r="AE22" s="1">
        <v>40</v>
      </c>
      <c r="AF22" s="18">
        <f t="shared" si="0"/>
        <v>76.5</v>
      </c>
    </row>
    <row r="23" spans="1:32" x14ac:dyDescent="0.35">
      <c r="A23" s="1" t="s">
        <v>12</v>
      </c>
      <c r="B23" s="1">
        <v>38</v>
      </c>
      <c r="C23" s="1">
        <v>41</v>
      </c>
      <c r="D23" s="1">
        <v>20</v>
      </c>
      <c r="E23" s="1">
        <v>37</v>
      </c>
      <c r="F23" s="1">
        <v>14</v>
      </c>
      <c r="G23" s="1">
        <v>38</v>
      </c>
      <c r="H23" s="1">
        <v>30</v>
      </c>
      <c r="I23" s="1">
        <v>22</v>
      </c>
      <c r="J23" s="1">
        <v>30</v>
      </c>
      <c r="K23" s="1">
        <v>90</v>
      </c>
      <c r="L23" s="1">
        <v>40</v>
      </c>
      <c r="M23" s="1">
        <v>23</v>
      </c>
      <c r="N23" s="1">
        <v>32</v>
      </c>
      <c r="O23" s="1">
        <v>92</v>
      </c>
      <c r="P23" s="1">
        <v>31</v>
      </c>
      <c r="Q23" s="1">
        <v>26</v>
      </c>
      <c r="R23" s="1">
        <v>53</v>
      </c>
      <c r="S23" s="1">
        <v>25</v>
      </c>
      <c r="T23" s="1">
        <v>58</v>
      </c>
      <c r="U23" s="1">
        <v>38</v>
      </c>
      <c r="V23" s="1">
        <v>45</v>
      </c>
      <c r="W23" s="1">
        <v>97</v>
      </c>
      <c r="X23" s="1">
        <v>77</v>
      </c>
      <c r="Y23" s="1">
        <v>18</v>
      </c>
      <c r="Z23" s="1">
        <v>45</v>
      </c>
      <c r="AA23" s="1">
        <v>31</v>
      </c>
      <c r="AB23" s="1">
        <v>14</v>
      </c>
      <c r="AC23" s="1">
        <v>18</v>
      </c>
      <c r="AD23" s="1">
        <v>29</v>
      </c>
      <c r="AE23" s="1">
        <v>56</v>
      </c>
      <c r="AF23" s="18">
        <f t="shared" si="0"/>
        <v>40.266666666666666</v>
      </c>
    </row>
    <row r="24" spans="1:32" x14ac:dyDescent="0.35">
      <c r="A24" s="1" t="s">
        <v>13</v>
      </c>
      <c r="B24" s="1">
        <v>43</v>
      </c>
      <c r="C24" s="1">
        <v>14</v>
      </c>
      <c r="D24" s="1">
        <v>31</v>
      </c>
      <c r="E24" s="1">
        <v>43</v>
      </c>
      <c r="F24" s="1">
        <v>70</v>
      </c>
      <c r="G24" s="1">
        <v>18</v>
      </c>
      <c r="H24" s="1">
        <v>21</v>
      </c>
      <c r="I24" s="1">
        <v>13</v>
      </c>
      <c r="J24" s="1">
        <v>30</v>
      </c>
      <c r="K24" s="1">
        <v>48</v>
      </c>
      <c r="L24" s="1">
        <v>65</v>
      </c>
      <c r="M24" s="1">
        <v>16</v>
      </c>
      <c r="N24" s="1">
        <v>15</v>
      </c>
      <c r="O24" s="1">
        <v>35</v>
      </c>
      <c r="P24" s="1">
        <v>22</v>
      </c>
      <c r="Q24" s="1">
        <v>73</v>
      </c>
      <c r="R24" s="1">
        <v>53</v>
      </c>
      <c r="S24" s="1">
        <v>121</v>
      </c>
      <c r="T24" s="1">
        <v>65</v>
      </c>
      <c r="U24" s="1">
        <v>49</v>
      </c>
      <c r="V24" s="1">
        <v>31</v>
      </c>
      <c r="W24" s="1">
        <v>43</v>
      </c>
      <c r="X24" s="1">
        <v>27</v>
      </c>
      <c r="Y24" s="1">
        <v>36</v>
      </c>
      <c r="Z24" s="1">
        <v>70</v>
      </c>
      <c r="AA24" s="1">
        <v>35</v>
      </c>
      <c r="AB24" s="1">
        <v>38</v>
      </c>
      <c r="AC24" s="1">
        <v>12</v>
      </c>
      <c r="AD24" s="1">
        <v>62</v>
      </c>
      <c r="AE24" s="1">
        <v>21</v>
      </c>
      <c r="AF24" s="18">
        <f t="shared" si="0"/>
        <v>40.666666666666664</v>
      </c>
    </row>
    <row r="25" spans="1:32" x14ac:dyDescent="0.35">
      <c r="A25" s="1" t="s">
        <v>14</v>
      </c>
      <c r="B25" s="1">
        <v>50</v>
      </c>
      <c r="C25" s="1">
        <v>31</v>
      </c>
      <c r="D25" s="1">
        <v>23</v>
      </c>
      <c r="E25" s="1">
        <v>61</v>
      </c>
      <c r="F25" s="1">
        <v>27</v>
      </c>
      <c r="G25" s="1">
        <v>49</v>
      </c>
      <c r="H25" s="1">
        <v>85</v>
      </c>
      <c r="I25" s="1">
        <v>25</v>
      </c>
      <c r="J25" s="1">
        <v>255</v>
      </c>
      <c r="K25" s="1">
        <v>45</v>
      </c>
      <c r="L25" s="1">
        <v>99</v>
      </c>
      <c r="M25" s="1">
        <v>26</v>
      </c>
      <c r="N25" s="1">
        <v>96</v>
      </c>
      <c r="O25" s="1">
        <v>13</v>
      </c>
      <c r="P25" s="1">
        <v>96</v>
      </c>
      <c r="Q25" s="1">
        <v>21</v>
      </c>
      <c r="R25" s="1">
        <v>14</v>
      </c>
      <c r="S25" s="1">
        <v>15</v>
      </c>
      <c r="T25" s="1">
        <v>22</v>
      </c>
      <c r="U25" s="1">
        <v>104</v>
      </c>
      <c r="V25" s="1">
        <v>65</v>
      </c>
      <c r="W25" s="1">
        <v>16</v>
      </c>
      <c r="X25" s="1">
        <v>98</v>
      </c>
      <c r="Y25" s="1">
        <v>109</v>
      </c>
      <c r="Z25" s="1">
        <v>18</v>
      </c>
      <c r="AA25" s="1">
        <v>89</v>
      </c>
      <c r="AB25" s="1">
        <v>116</v>
      </c>
      <c r="AC25" s="1">
        <v>53</v>
      </c>
      <c r="AD25" s="1">
        <v>18</v>
      </c>
      <c r="AE25" s="1">
        <v>74</v>
      </c>
      <c r="AF25" s="18">
        <f t="shared" si="0"/>
        <v>60.43333333333333</v>
      </c>
    </row>
    <row r="26" spans="1:32" x14ac:dyDescent="0.35">
      <c r="A26" s="1" t="s">
        <v>15</v>
      </c>
      <c r="B26" s="1">
        <v>15</v>
      </c>
      <c r="C26" s="1">
        <v>14</v>
      </c>
      <c r="D26" s="1">
        <v>55</v>
      </c>
      <c r="E26" s="1">
        <v>13</v>
      </c>
      <c r="F26" s="1">
        <v>64</v>
      </c>
      <c r="G26" s="1">
        <v>25</v>
      </c>
      <c r="H26" s="1">
        <v>28</v>
      </c>
      <c r="I26" s="1">
        <v>35</v>
      </c>
      <c r="J26" s="1">
        <v>23</v>
      </c>
      <c r="K26" s="1">
        <v>26</v>
      </c>
      <c r="L26" s="1">
        <v>19</v>
      </c>
      <c r="M26" s="1">
        <v>12</v>
      </c>
      <c r="N26" s="1">
        <v>28</v>
      </c>
      <c r="O26" s="1">
        <v>24</v>
      </c>
      <c r="P26" s="1">
        <v>30</v>
      </c>
      <c r="Q26" s="1">
        <v>75</v>
      </c>
      <c r="R26" s="1">
        <v>15</v>
      </c>
      <c r="S26" s="1">
        <v>45</v>
      </c>
      <c r="T26" s="1">
        <v>14</v>
      </c>
      <c r="U26" s="1">
        <v>13</v>
      </c>
      <c r="V26" s="1">
        <v>12</v>
      </c>
      <c r="W26" s="1">
        <v>22</v>
      </c>
      <c r="X26" s="1">
        <v>12</v>
      </c>
      <c r="Y26" s="1">
        <v>18</v>
      </c>
      <c r="Z26" s="1">
        <v>19</v>
      </c>
      <c r="AA26" s="1">
        <v>38</v>
      </c>
      <c r="AB26" s="1">
        <v>13</v>
      </c>
      <c r="AC26" s="1">
        <v>21</v>
      </c>
      <c r="AD26" s="1">
        <v>19</v>
      </c>
      <c r="AE26" s="1">
        <v>74</v>
      </c>
      <c r="AF26" s="18">
        <f t="shared" si="0"/>
        <v>27.366666666666667</v>
      </c>
    </row>
    <row r="27" spans="1:32" x14ac:dyDescent="0.35">
      <c r="A27" s="1" t="s">
        <v>172</v>
      </c>
      <c r="B27" s="1">
        <v>22</v>
      </c>
      <c r="C27" s="1">
        <v>17</v>
      </c>
      <c r="D27" s="1">
        <v>32</v>
      </c>
      <c r="E27" s="1">
        <v>14</v>
      </c>
      <c r="F27" s="1">
        <v>16</v>
      </c>
      <c r="G27" s="1">
        <v>17</v>
      </c>
      <c r="H27" s="1">
        <v>13</v>
      </c>
      <c r="I27" s="1">
        <v>28</v>
      </c>
      <c r="J27" s="1">
        <v>19</v>
      </c>
      <c r="K27" s="1">
        <v>14</v>
      </c>
      <c r="L27" s="1">
        <v>24</v>
      </c>
      <c r="M27" s="1">
        <v>32</v>
      </c>
      <c r="N27" s="1">
        <v>80</v>
      </c>
      <c r="O27" s="1">
        <v>35</v>
      </c>
      <c r="P27" s="1">
        <v>13</v>
      </c>
      <c r="Q27" s="1">
        <v>54</v>
      </c>
      <c r="R27" s="1">
        <v>51</v>
      </c>
      <c r="S27" s="1">
        <v>37</v>
      </c>
      <c r="T27" s="1">
        <v>13</v>
      </c>
      <c r="U27" s="1">
        <v>35</v>
      </c>
      <c r="V27" s="1">
        <v>59</v>
      </c>
      <c r="W27" s="1">
        <v>17</v>
      </c>
      <c r="X27" s="1">
        <v>35</v>
      </c>
      <c r="Y27" s="1">
        <v>42</v>
      </c>
      <c r="Z27" s="1">
        <v>16</v>
      </c>
      <c r="AA27" s="1">
        <v>27</v>
      </c>
      <c r="AB27" s="1">
        <v>52</v>
      </c>
      <c r="AC27" s="1">
        <v>77</v>
      </c>
      <c r="AD27" s="1">
        <v>25</v>
      </c>
      <c r="AE27" s="1">
        <v>29</v>
      </c>
      <c r="AF27" s="18">
        <f t="shared" si="0"/>
        <v>31.5</v>
      </c>
    </row>
    <row r="28" spans="1:32" x14ac:dyDescent="0.35">
      <c r="A28" s="1" t="s">
        <v>16</v>
      </c>
      <c r="B28" s="1">
        <v>23</v>
      </c>
      <c r="C28" s="1">
        <v>36</v>
      </c>
      <c r="D28" s="1">
        <v>121</v>
      </c>
      <c r="E28" s="1">
        <v>108</v>
      </c>
      <c r="F28" s="1">
        <v>15</v>
      </c>
      <c r="G28" s="1">
        <v>150</v>
      </c>
      <c r="H28" s="1">
        <v>34</v>
      </c>
      <c r="I28" s="1">
        <v>19</v>
      </c>
      <c r="J28" s="1">
        <v>28</v>
      </c>
      <c r="K28" s="1">
        <v>50</v>
      </c>
      <c r="L28" s="1">
        <v>31</v>
      </c>
      <c r="M28" s="1">
        <v>29</v>
      </c>
      <c r="N28" s="1">
        <v>77</v>
      </c>
      <c r="O28" s="1">
        <v>25</v>
      </c>
      <c r="P28" s="1">
        <v>80</v>
      </c>
      <c r="Q28" s="1">
        <v>54</v>
      </c>
      <c r="R28" s="1">
        <v>165</v>
      </c>
      <c r="S28" s="1">
        <v>74</v>
      </c>
      <c r="T28" s="1">
        <v>125</v>
      </c>
      <c r="U28" s="1">
        <v>76</v>
      </c>
      <c r="V28" s="1">
        <v>31</v>
      </c>
      <c r="W28" s="1">
        <v>17</v>
      </c>
      <c r="X28" s="1">
        <v>13</v>
      </c>
      <c r="Y28" s="1">
        <v>13</v>
      </c>
      <c r="Z28" s="1">
        <v>45</v>
      </c>
      <c r="AA28" s="1">
        <v>32</v>
      </c>
      <c r="AB28" s="1">
        <v>14</v>
      </c>
      <c r="AC28" s="1">
        <v>23</v>
      </c>
      <c r="AD28" s="1">
        <v>44</v>
      </c>
      <c r="AE28" s="1">
        <v>139</v>
      </c>
      <c r="AF28" s="18">
        <f t="shared" si="0"/>
        <v>56.366666666666667</v>
      </c>
    </row>
    <row r="29" spans="1:32" x14ac:dyDescent="0.35">
      <c r="A29" s="1" t="s">
        <v>195</v>
      </c>
      <c r="B29" s="1">
        <v>70</v>
      </c>
      <c r="C29" s="1">
        <v>50</v>
      </c>
      <c r="D29" s="1">
        <v>19</v>
      </c>
      <c r="E29" s="1">
        <v>63</v>
      </c>
      <c r="F29" s="1">
        <v>61</v>
      </c>
      <c r="G29" s="1">
        <v>41</v>
      </c>
      <c r="H29" s="1">
        <v>19</v>
      </c>
      <c r="I29" s="1">
        <v>15</v>
      </c>
      <c r="J29" s="1">
        <v>21</v>
      </c>
      <c r="K29" s="1">
        <v>80</v>
      </c>
      <c r="L29" s="1">
        <v>25</v>
      </c>
      <c r="M29" s="1">
        <v>22</v>
      </c>
      <c r="N29" s="1">
        <v>23</v>
      </c>
      <c r="O29" s="1">
        <v>42</v>
      </c>
      <c r="P29" s="1">
        <v>48</v>
      </c>
      <c r="Q29" s="1">
        <v>46</v>
      </c>
      <c r="R29" s="1">
        <v>17</v>
      </c>
      <c r="S29" s="1">
        <v>13</v>
      </c>
      <c r="T29" s="1">
        <v>144</v>
      </c>
      <c r="U29" s="1">
        <v>58</v>
      </c>
      <c r="V29" s="1">
        <v>36</v>
      </c>
      <c r="W29" s="1">
        <v>22</v>
      </c>
      <c r="X29" s="1">
        <v>49</v>
      </c>
      <c r="Y29" s="1">
        <v>14</v>
      </c>
      <c r="Z29" s="1">
        <v>22</v>
      </c>
      <c r="AA29" s="1">
        <v>32</v>
      </c>
      <c r="AB29" s="1">
        <v>28</v>
      </c>
      <c r="AC29" s="1">
        <v>14</v>
      </c>
      <c r="AD29" s="1">
        <v>53</v>
      </c>
      <c r="AE29" s="1">
        <v>28</v>
      </c>
      <c r="AF29" s="18">
        <f t="shared" si="0"/>
        <v>39.166666666666664</v>
      </c>
    </row>
    <row r="30" spans="1:32" x14ac:dyDescent="0.35">
      <c r="A30" s="1" t="s">
        <v>173</v>
      </c>
      <c r="B30" s="1">
        <v>68</v>
      </c>
      <c r="C30" s="1">
        <v>65</v>
      </c>
      <c r="D30" s="1">
        <v>57</v>
      </c>
      <c r="E30" s="1">
        <v>239</v>
      </c>
      <c r="F30" s="1">
        <v>24</v>
      </c>
      <c r="G30" s="1">
        <v>24</v>
      </c>
      <c r="H30" s="1">
        <v>49</v>
      </c>
      <c r="I30" s="1">
        <v>14</v>
      </c>
      <c r="J30" s="1">
        <v>36</v>
      </c>
      <c r="K30" s="1">
        <v>18</v>
      </c>
      <c r="L30" s="1">
        <v>19</v>
      </c>
      <c r="M30" s="1">
        <v>105</v>
      </c>
      <c r="N30" s="1">
        <v>70</v>
      </c>
      <c r="O30" s="1">
        <v>34</v>
      </c>
      <c r="P30" s="1">
        <v>25</v>
      </c>
      <c r="Q30" s="1">
        <v>58</v>
      </c>
      <c r="R30" s="1">
        <v>29</v>
      </c>
      <c r="S30" s="1">
        <v>21</v>
      </c>
      <c r="T30" s="1">
        <v>53</v>
      </c>
      <c r="U30" s="1">
        <v>38</v>
      </c>
      <c r="V30" s="1">
        <v>28</v>
      </c>
      <c r="W30" s="1">
        <v>34</v>
      </c>
      <c r="X30" s="1">
        <v>20</v>
      </c>
      <c r="Y30" s="1">
        <v>104</v>
      </c>
      <c r="Z30" s="1">
        <v>71</v>
      </c>
      <c r="AA30" s="1">
        <v>24</v>
      </c>
      <c r="AB30" s="1">
        <v>13</v>
      </c>
      <c r="AC30" s="1">
        <v>81</v>
      </c>
      <c r="AD30" s="1">
        <v>59</v>
      </c>
      <c r="AE30" s="1">
        <v>41</v>
      </c>
      <c r="AF30" s="18">
        <f t="shared" si="0"/>
        <v>50.7</v>
      </c>
    </row>
    <row r="31" spans="1:32" x14ac:dyDescent="0.35">
      <c r="A31" s="1" t="s">
        <v>17</v>
      </c>
      <c r="B31" s="1">
        <v>177</v>
      </c>
      <c r="C31" s="1">
        <v>12</v>
      </c>
      <c r="D31" s="1">
        <v>13</v>
      </c>
      <c r="E31" s="1">
        <v>151</v>
      </c>
      <c r="F31" s="1">
        <v>302</v>
      </c>
      <c r="G31" s="1">
        <v>28</v>
      </c>
      <c r="H31" s="1">
        <v>107</v>
      </c>
      <c r="I31" s="1">
        <v>68</v>
      </c>
      <c r="J31" s="1">
        <v>20</v>
      </c>
      <c r="K31" s="1">
        <v>129</v>
      </c>
      <c r="L31" s="1">
        <v>42</v>
      </c>
      <c r="M31" s="1">
        <v>177</v>
      </c>
      <c r="N31" s="1">
        <v>68</v>
      </c>
      <c r="O31" s="1">
        <v>109</v>
      </c>
      <c r="P31" s="1">
        <v>99</v>
      </c>
      <c r="Q31" s="1">
        <v>68</v>
      </c>
      <c r="R31" s="1">
        <v>16</v>
      </c>
      <c r="S31" s="1">
        <v>108</v>
      </c>
      <c r="T31" s="1">
        <v>134</v>
      </c>
      <c r="U31" s="1">
        <v>33</v>
      </c>
      <c r="V31" s="1">
        <v>51</v>
      </c>
      <c r="W31" s="1">
        <v>19</v>
      </c>
      <c r="X31" s="1">
        <v>103</v>
      </c>
      <c r="Y31" s="1">
        <v>172</v>
      </c>
      <c r="Z31" s="1">
        <v>44</v>
      </c>
      <c r="AA31" s="1">
        <v>40</v>
      </c>
      <c r="AB31" s="1">
        <v>81</v>
      </c>
      <c r="AC31" s="1">
        <v>18</v>
      </c>
      <c r="AD31" s="1">
        <v>80</v>
      </c>
      <c r="AE31" s="1">
        <v>264</v>
      </c>
      <c r="AF31" s="18">
        <f t="shared" si="0"/>
        <v>91.1</v>
      </c>
    </row>
    <row r="32" spans="1:32" x14ac:dyDescent="0.35">
      <c r="A32" s="1" t="s">
        <v>18</v>
      </c>
      <c r="B32" s="1">
        <v>52</v>
      </c>
      <c r="C32" s="1">
        <v>151</v>
      </c>
      <c r="D32" s="1">
        <v>35</v>
      </c>
      <c r="E32" s="1">
        <v>60</v>
      </c>
      <c r="F32" s="1">
        <v>16</v>
      </c>
      <c r="G32" s="1">
        <v>166</v>
      </c>
      <c r="H32" s="1">
        <v>43</v>
      </c>
      <c r="I32" s="1">
        <v>177</v>
      </c>
      <c r="J32" s="1">
        <v>32</v>
      </c>
      <c r="K32" s="1">
        <v>66</v>
      </c>
      <c r="L32" s="1">
        <v>12</v>
      </c>
      <c r="M32" s="1">
        <v>26</v>
      </c>
      <c r="N32" s="1">
        <v>58</v>
      </c>
      <c r="O32" s="1">
        <v>45</v>
      </c>
      <c r="P32" s="1">
        <v>83</v>
      </c>
      <c r="Q32" s="1">
        <v>64</v>
      </c>
      <c r="R32" s="1">
        <v>92</v>
      </c>
      <c r="S32" s="1">
        <v>76</v>
      </c>
      <c r="T32" s="1">
        <v>42</v>
      </c>
      <c r="U32" s="1">
        <v>113</v>
      </c>
      <c r="V32" s="1">
        <v>74</v>
      </c>
      <c r="W32" s="1">
        <v>49</v>
      </c>
      <c r="X32" s="1">
        <v>18</v>
      </c>
      <c r="Y32" s="1">
        <v>57</v>
      </c>
      <c r="Z32" s="1">
        <v>97</v>
      </c>
      <c r="AA32" s="1">
        <v>201</v>
      </c>
      <c r="AB32" s="1">
        <v>139</v>
      </c>
      <c r="AC32" s="1">
        <v>80</v>
      </c>
      <c r="AD32" s="1">
        <v>52</v>
      </c>
      <c r="AE32" s="1">
        <v>88</v>
      </c>
      <c r="AF32" s="18">
        <f t="shared" si="0"/>
        <v>75.466666666666669</v>
      </c>
    </row>
    <row r="33" spans="1:32" x14ac:dyDescent="0.35">
      <c r="A33" s="1" t="s">
        <v>19</v>
      </c>
      <c r="B33" s="1">
        <v>20</v>
      </c>
      <c r="C33" s="1">
        <v>23</v>
      </c>
      <c r="D33" s="1">
        <v>12</v>
      </c>
      <c r="E33" s="1">
        <v>12</v>
      </c>
      <c r="F33" s="1">
        <v>17</v>
      </c>
      <c r="G33" s="1">
        <v>55</v>
      </c>
      <c r="H33" s="1">
        <v>32</v>
      </c>
      <c r="I33" s="1">
        <v>19</v>
      </c>
      <c r="J33" s="1">
        <v>17</v>
      </c>
      <c r="K33" s="1">
        <v>26</v>
      </c>
      <c r="L33" s="1">
        <v>33</v>
      </c>
      <c r="M33" s="1">
        <v>23</v>
      </c>
      <c r="N33" s="1">
        <v>18</v>
      </c>
      <c r="O33" s="1">
        <v>35</v>
      </c>
      <c r="P33" s="1">
        <v>24</v>
      </c>
      <c r="Q33" s="1">
        <v>49</v>
      </c>
      <c r="R33" s="1">
        <v>17</v>
      </c>
      <c r="S33" s="1">
        <v>24</v>
      </c>
      <c r="T33" s="1">
        <v>35</v>
      </c>
      <c r="U33" s="1">
        <v>16</v>
      </c>
      <c r="V33" s="1">
        <v>20</v>
      </c>
      <c r="W33" s="1">
        <v>12</v>
      </c>
      <c r="X33" s="1">
        <v>22</v>
      </c>
      <c r="Y33" s="1">
        <v>16</v>
      </c>
      <c r="Z33" s="1">
        <v>17</v>
      </c>
      <c r="AA33" s="1">
        <v>18</v>
      </c>
      <c r="AB33" s="1">
        <v>18</v>
      </c>
      <c r="AC33" s="1">
        <v>18</v>
      </c>
      <c r="AD33" s="1">
        <v>12</v>
      </c>
      <c r="AE33" s="1">
        <v>93</v>
      </c>
      <c r="AF33" s="18">
        <f t="shared" si="0"/>
        <v>25.1</v>
      </c>
    </row>
    <row r="34" spans="1:32" x14ac:dyDescent="0.35">
      <c r="A34" s="1" t="s">
        <v>174</v>
      </c>
      <c r="B34" s="1">
        <v>102</v>
      </c>
      <c r="C34" s="1">
        <v>13</v>
      </c>
      <c r="D34" s="1">
        <v>14</v>
      </c>
      <c r="E34" s="1">
        <v>25</v>
      </c>
      <c r="F34" s="1">
        <v>19</v>
      </c>
      <c r="G34" s="1">
        <v>19</v>
      </c>
      <c r="H34" s="1">
        <v>16</v>
      </c>
      <c r="I34" s="1">
        <v>54</v>
      </c>
      <c r="J34" s="1">
        <v>61</v>
      </c>
      <c r="K34" s="1">
        <v>21</v>
      </c>
      <c r="L34" s="1">
        <v>21</v>
      </c>
      <c r="M34" s="1">
        <v>73</v>
      </c>
      <c r="N34" s="1">
        <v>34</v>
      </c>
      <c r="O34" s="1">
        <v>55</v>
      </c>
      <c r="P34" s="1">
        <v>22</v>
      </c>
      <c r="Q34" s="1">
        <v>20</v>
      </c>
      <c r="R34" s="1">
        <v>15</v>
      </c>
      <c r="S34" s="1">
        <v>20</v>
      </c>
      <c r="T34" s="1">
        <v>22</v>
      </c>
      <c r="U34" s="1">
        <v>29</v>
      </c>
      <c r="V34" s="1">
        <v>40</v>
      </c>
      <c r="W34" s="1">
        <v>29</v>
      </c>
      <c r="X34" s="1">
        <v>16</v>
      </c>
      <c r="Y34" s="1">
        <v>32</v>
      </c>
      <c r="Z34" s="1">
        <v>27</v>
      </c>
      <c r="AA34" s="1">
        <v>14</v>
      </c>
      <c r="AB34" s="1">
        <v>15</v>
      </c>
      <c r="AC34" s="1">
        <v>89</v>
      </c>
      <c r="AD34" s="1">
        <v>32</v>
      </c>
      <c r="AE34" s="1">
        <v>42</v>
      </c>
      <c r="AF34" s="18">
        <f t="shared" si="0"/>
        <v>33.033333333333331</v>
      </c>
    </row>
    <row r="35" spans="1:32" x14ac:dyDescent="0.35">
      <c r="A35" s="1" t="s">
        <v>20</v>
      </c>
      <c r="B35" s="1">
        <v>116</v>
      </c>
      <c r="C35" s="1">
        <v>83</v>
      </c>
      <c r="D35" s="1">
        <v>104</v>
      </c>
      <c r="E35" s="1">
        <v>13</v>
      </c>
      <c r="F35" s="1">
        <v>23</v>
      </c>
      <c r="G35" s="1">
        <v>37</v>
      </c>
      <c r="H35" s="1">
        <v>34</v>
      </c>
      <c r="I35" s="1">
        <v>48</v>
      </c>
      <c r="J35" s="1">
        <v>15</v>
      </c>
      <c r="K35" s="1">
        <v>23</v>
      </c>
      <c r="L35" s="1">
        <v>46</v>
      </c>
      <c r="M35" s="1">
        <v>96</v>
      </c>
      <c r="N35" s="1">
        <v>23</v>
      </c>
      <c r="O35" s="1">
        <v>68</v>
      </c>
      <c r="P35" s="1">
        <v>95</v>
      </c>
      <c r="Q35" s="1">
        <v>65</v>
      </c>
      <c r="R35" s="1">
        <v>68</v>
      </c>
      <c r="S35" s="1">
        <v>54</v>
      </c>
      <c r="T35" s="1">
        <v>107</v>
      </c>
      <c r="U35" s="1">
        <v>183</v>
      </c>
      <c r="V35" s="1">
        <v>24</v>
      </c>
      <c r="W35" s="1">
        <v>86</v>
      </c>
      <c r="X35" s="1">
        <v>117</v>
      </c>
      <c r="Y35" s="1">
        <v>58</v>
      </c>
      <c r="Z35" s="1">
        <v>18</v>
      </c>
      <c r="AA35" s="1">
        <v>62</v>
      </c>
      <c r="AB35" s="1">
        <v>34</v>
      </c>
      <c r="AC35" s="1">
        <v>49</v>
      </c>
      <c r="AD35" s="1">
        <v>19</v>
      </c>
      <c r="AE35" s="1">
        <v>29</v>
      </c>
      <c r="AF35" s="18">
        <f t="shared" si="0"/>
        <v>59.9</v>
      </c>
    </row>
    <row r="36" spans="1:32" x14ac:dyDescent="0.35">
      <c r="A36" s="1" t="s">
        <v>21</v>
      </c>
      <c r="B36" s="1">
        <v>39</v>
      </c>
      <c r="C36" s="1">
        <v>44</v>
      </c>
      <c r="D36" s="1">
        <v>13</v>
      </c>
      <c r="E36" s="1">
        <v>88</v>
      </c>
      <c r="F36" s="1">
        <v>129</v>
      </c>
      <c r="G36" s="1">
        <v>24</v>
      </c>
      <c r="H36" s="1">
        <v>110</v>
      </c>
      <c r="I36" s="1">
        <v>25</v>
      </c>
      <c r="J36" s="1">
        <v>39</v>
      </c>
      <c r="K36" s="1">
        <v>17</v>
      </c>
      <c r="L36" s="1">
        <v>14</v>
      </c>
      <c r="M36" s="1">
        <v>44</v>
      </c>
      <c r="N36" s="1">
        <v>68</v>
      </c>
      <c r="O36" s="1">
        <v>87</v>
      </c>
      <c r="P36" s="1">
        <v>18</v>
      </c>
      <c r="Q36" s="1">
        <v>26</v>
      </c>
      <c r="R36" s="1">
        <v>54</v>
      </c>
      <c r="S36" s="1">
        <v>20</v>
      </c>
      <c r="T36" s="1">
        <v>13</v>
      </c>
      <c r="U36" s="1">
        <v>77</v>
      </c>
      <c r="V36" s="1">
        <v>67</v>
      </c>
      <c r="W36" s="1">
        <v>29</v>
      </c>
      <c r="X36" s="1">
        <v>21</v>
      </c>
      <c r="Y36" s="1">
        <v>140</v>
      </c>
      <c r="Z36" s="1">
        <v>30</v>
      </c>
      <c r="AA36" s="1">
        <v>50</v>
      </c>
      <c r="AB36" s="1">
        <v>24</v>
      </c>
      <c r="AC36" s="1">
        <v>25</v>
      </c>
      <c r="AD36" s="1">
        <v>21</v>
      </c>
      <c r="AE36" s="1">
        <v>45</v>
      </c>
      <c r="AF36" s="18">
        <f t="shared" si="0"/>
        <v>46.7</v>
      </c>
    </row>
    <row r="37" spans="1:32" x14ac:dyDescent="0.35">
      <c r="A37" s="1" t="s">
        <v>22</v>
      </c>
      <c r="B37" s="1">
        <v>38</v>
      </c>
      <c r="C37" s="1">
        <v>131</v>
      </c>
      <c r="D37" s="1">
        <v>23</v>
      </c>
      <c r="E37" s="1">
        <v>29</v>
      </c>
      <c r="F37" s="1">
        <v>23</v>
      </c>
      <c r="G37" s="1">
        <v>71</v>
      </c>
      <c r="H37" s="1">
        <v>24</v>
      </c>
      <c r="I37" s="1">
        <v>76</v>
      </c>
      <c r="J37" s="1">
        <v>14</v>
      </c>
      <c r="K37" s="1">
        <v>57</v>
      </c>
      <c r="L37" s="1">
        <v>42</v>
      </c>
      <c r="M37" s="1">
        <v>20</v>
      </c>
      <c r="N37" s="1">
        <v>60</v>
      </c>
      <c r="O37" s="1">
        <v>82</v>
      </c>
      <c r="P37" s="1">
        <v>76</v>
      </c>
      <c r="Q37" s="1">
        <v>86</v>
      </c>
      <c r="R37" s="1">
        <v>32</v>
      </c>
      <c r="S37" s="1">
        <v>39</v>
      </c>
      <c r="T37" s="1">
        <v>43</v>
      </c>
      <c r="U37" s="1">
        <v>59</v>
      </c>
      <c r="V37" s="1">
        <v>51</v>
      </c>
      <c r="W37" s="1">
        <v>73</v>
      </c>
      <c r="X37" s="1">
        <v>23</v>
      </c>
      <c r="Y37" s="1">
        <v>57</v>
      </c>
      <c r="Z37" s="1">
        <v>19</v>
      </c>
      <c r="AA37" s="1">
        <v>161</v>
      </c>
      <c r="AB37" s="1">
        <v>62</v>
      </c>
      <c r="AC37" s="1">
        <v>84</v>
      </c>
      <c r="AD37" s="1">
        <v>16</v>
      </c>
      <c r="AE37" s="1">
        <v>61</v>
      </c>
      <c r="AF37" s="18">
        <f t="shared" si="0"/>
        <v>54.4</v>
      </c>
    </row>
    <row r="38" spans="1:32" x14ac:dyDescent="0.35">
      <c r="A38" s="1" t="s">
        <v>23</v>
      </c>
      <c r="B38" s="1">
        <v>36</v>
      </c>
      <c r="C38" s="1">
        <v>74</v>
      </c>
      <c r="D38" s="1">
        <v>88</v>
      </c>
      <c r="E38" s="1">
        <v>118</v>
      </c>
      <c r="F38" s="1">
        <v>108</v>
      </c>
      <c r="G38" s="1">
        <v>32</v>
      </c>
      <c r="H38" s="1">
        <v>15</v>
      </c>
      <c r="I38" s="1">
        <v>52</v>
      </c>
      <c r="J38" s="1">
        <v>37</v>
      </c>
      <c r="K38" s="1">
        <v>20</v>
      </c>
      <c r="L38" s="1">
        <v>14</v>
      </c>
      <c r="M38" s="1">
        <v>134</v>
      </c>
      <c r="N38" s="1">
        <v>94</v>
      </c>
      <c r="O38" s="1">
        <v>31</v>
      </c>
      <c r="P38" s="1">
        <v>40</v>
      </c>
      <c r="Q38" s="1">
        <v>58</v>
      </c>
      <c r="R38" s="1">
        <v>54</v>
      </c>
      <c r="S38" s="1">
        <v>23</v>
      </c>
      <c r="T38" s="1">
        <v>25</v>
      </c>
      <c r="U38" s="1">
        <v>32</v>
      </c>
      <c r="V38" s="1">
        <v>19</v>
      </c>
      <c r="W38" s="1">
        <v>83</v>
      </c>
      <c r="X38" s="1">
        <v>12</v>
      </c>
      <c r="Y38" s="1">
        <v>27</v>
      </c>
      <c r="Z38" s="1">
        <v>32</v>
      </c>
      <c r="AA38" s="1">
        <v>57</v>
      </c>
      <c r="AB38" s="1">
        <v>141</v>
      </c>
      <c r="AC38" s="1">
        <v>31</v>
      </c>
      <c r="AD38" s="1">
        <v>46</v>
      </c>
      <c r="AE38" s="1">
        <v>20</v>
      </c>
      <c r="AF38" s="18">
        <f t="shared" si="0"/>
        <v>51.766666666666666</v>
      </c>
    </row>
    <row r="39" spans="1:32" x14ac:dyDescent="0.35">
      <c r="A39" s="1" t="s">
        <v>24</v>
      </c>
      <c r="B39" s="1">
        <v>67</v>
      </c>
      <c r="C39" s="1">
        <v>27</v>
      </c>
      <c r="D39" s="1">
        <v>17</v>
      </c>
      <c r="E39" s="1">
        <v>21</v>
      </c>
      <c r="F39" s="1">
        <v>44</v>
      </c>
      <c r="G39" s="1">
        <v>29</v>
      </c>
      <c r="H39" s="1">
        <v>187</v>
      </c>
      <c r="I39" s="1">
        <v>17</v>
      </c>
      <c r="J39" s="1">
        <v>109</v>
      </c>
      <c r="K39" s="1">
        <v>22</v>
      </c>
      <c r="L39" s="1">
        <v>17</v>
      </c>
      <c r="M39" s="1">
        <v>24</v>
      </c>
      <c r="N39" s="1">
        <v>45</v>
      </c>
      <c r="O39" s="1">
        <v>46</v>
      </c>
      <c r="P39" s="1">
        <v>22</v>
      </c>
      <c r="Q39" s="1">
        <v>36</v>
      </c>
      <c r="R39" s="1">
        <v>21</v>
      </c>
      <c r="S39" s="1">
        <v>18</v>
      </c>
      <c r="T39" s="1">
        <v>61</v>
      </c>
      <c r="U39" s="1">
        <v>20</v>
      </c>
      <c r="V39" s="1">
        <v>27</v>
      </c>
      <c r="W39" s="1">
        <v>14</v>
      </c>
      <c r="X39" s="1">
        <v>25</v>
      </c>
      <c r="Y39" s="1">
        <v>65</v>
      </c>
      <c r="Z39" s="1">
        <v>25</v>
      </c>
      <c r="AA39" s="1">
        <v>42</v>
      </c>
      <c r="AB39" s="1">
        <v>79</v>
      </c>
      <c r="AC39" s="1">
        <v>14</v>
      </c>
      <c r="AD39" s="1">
        <v>48</v>
      </c>
      <c r="AE39" s="1">
        <v>22</v>
      </c>
      <c r="AF39" s="18">
        <f t="shared" si="0"/>
        <v>40.366666666666667</v>
      </c>
    </row>
    <row r="40" spans="1:32" x14ac:dyDescent="0.35">
      <c r="A40" s="1" t="s">
        <v>25</v>
      </c>
      <c r="B40" s="1">
        <v>52</v>
      </c>
      <c r="C40" s="1">
        <v>21</v>
      </c>
      <c r="D40" s="1">
        <v>14</v>
      </c>
      <c r="E40" s="1">
        <v>197</v>
      </c>
      <c r="F40" s="1">
        <v>85</v>
      </c>
      <c r="G40" s="1">
        <v>82</v>
      </c>
      <c r="H40" s="1">
        <v>148</v>
      </c>
      <c r="I40" s="1">
        <v>38</v>
      </c>
      <c r="J40" s="1">
        <v>111</v>
      </c>
      <c r="K40" s="1">
        <v>43</v>
      </c>
      <c r="L40" s="1">
        <v>48</v>
      </c>
      <c r="M40" s="1">
        <v>105</v>
      </c>
      <c r="N40" s="1">
        <v>156</v>
      </c>
      <c r="O40" s="1">
        <v>71</v>
      </c>
      <c r="P40" s="1">
        <v>19</v>
      </c>
      <c r="Q40" s="1">
        <v>41</v>
      </c>
      <c r="R40" s="1">
        <v>13</v>
      </c>
      <c r="S40" s="1">
        <v>12</v>
      </c>
      <c r="T40" s="1">
        <v>24</v>
      </c>
      <c r="U40" s="1">
        <v>15</v>
      </c>
      <c r="V40" s="1">
        <v>25</v>
      </c>
      <c r="W40" s="1">
        <v>56</v>
      </c>
      <c r="X40" s="1">
        <v>28</v>
      </c>
      <c r="Y40" s="1">
        <v>63</v>
      </c>
      <c r="Z40" s="1">
        <v>15</v>
      </c>
      <c r="AA40" s="1">
        <v>35</v>
      </c>
      <c r="AB40" s="1">
        <v>212</v>
      </c>
      <c r="AC40" s="1">
        <v>37</v>
      </c>
      <c r="AD40" s="1">
        <v>136</v>
      </c>
      <c r="AE40" s="1">
        <v>166</v>
      </c>
      <c r="AF40" s="18">
        <f t="shared" si="0"/>
        <v>68.933333333333337</v>
      </c>
    </row>
    <row r="41" spans="1:32" x14ac:dyDescent="0.35">
      <c r="A41" s="1" t="s">
        <v>26</v>
      </c>
      <c r="B41" s="1">
        <v>109</v>
      </c>
      <c r="C41" s="1">
        <v>248</v>
      </c>
      <c r="D41" s="1">
        <v>48</v>
      </c>
      <c r="E41" s="1">
        <v>13</v>
      </c>
      <c r="F41" s="1">
        <v>39</v>
      </c>
      <c r="G41" s="1">
        <v>54</v>
      </c>
      <c r="H41" s="1">
        <v>15</v>
      </c>
      <c r="I41" s="1">
        <v>40</v>
      </c>
      <c r="J41" s="1">
        <v>28</v>
      </c>
      <c r="K41" s="1">
        <v>216</v>
      </c>
      <c r="L41" s="1">
        <v>36</v>
      </c>
      <c r="M41" s="1">
        <v>28</v>
      </c>
      <c r="N41" s="1">
        <v>51</v>
      </c>
      <c r="O41" s="1">
        <v>39</v>
      </c>
      <c r="P41" s="1">
        <v>82</v>
      </c>
      <c r="Q41" s="1">
        <v>16</v>
      </c>
      <c r="R41" s="1">
        <v>81</v>
      </c>
      <c r="S41" s="1">
        <v>40</v>
      </c>
      <c r="T41" s="1">
        <v>62</v>
      </c>
      <c r="U41" s="1">
        <v>40</v>
      </c>
      <c r="V41" s="1">
        <v>12</v>
      </c>
      <c r="W41" s="1">
        <v>83</v>
      </c>
      <c r="X41" s="1">
        <v>104</v>
      </c>
      <c r="Y41" s="1">
        <v>32</v>
      </c>
      <c r="Z41" s="1">
        <v>68</v>
      </c>
      <c r="AA41" s="1">
        <v>50</v>
      </c>
      <c r="AB41" s="1">
        <v>12</v>
      </c>
      <c r="AC41" s="1">
        <v>69</v>
      </c>
      <c r="AD41" s="1">
        <v>13</v>
      </c>
      <c r="AE41" s="1">
        <v>62</v>
      </c>
      <c r="AF41" s="18">
        <f t="shared" si="0"/>
        <v>59.666666666666664</v>
      </c>
    </row>
    <row r="42" spans="1:32" x14ac:dyDescent="0.35">
      <c r="A42" s="1" t="s">
        <v>27</v>
      </c>
      <c r="B42" s="1">
        <v>23</v>
      </c>
      <c r="C42" s="1">
        <v>40</v>
      </c>
      <c r="D42" s="1">
        <v>47</v>
      </c>
      <c r="E42" s="1">
        <v>25</v>
      </c>
      <c r="F42" s="1">
        <v>12</v>
      </c>
      <c r="G42" s="1">
        <v>74</v>
      </c>
      <c r="H42" s="1">
        <v>46</v>
      </c>
      <c r="I42" s="1">
        <v>45</v>
      </c>
      <c r="J42" s="1">
        <v>14</v>
      </c>
      <c r="K42" s="1">
        <v>24</v>
      </c>
      <c r="L42" s="1">
        <v>30</v>
      </c>
      <c r="M42" s="1">
        <v>13</v>
      </c>
      <c r="N42" s="1">
        <v>29</v>
      </c>
      <c r="O42" s="1">
        <v>30</v>
      </c>
      <c r="P42" s="1">
        <v>19</v>
      </c>
      <c r="Q42" s="1">
        <v>45</v>
      </c>
      <c r="R42" s="1">
        <v>30</v>
      </c>
      <c r="S42" s="1">
        <v>34</v>
      </c>
      <c r="T42" s="1">
        <v>39</v>
      </c>
      <c r="U42" s="1">
        <v>13</v>
      </c>
      <c r="V42" s="1">
        <v>16</v>
      </c>
      <c r="W42" s="1">
        <v>25</v>
      </c>
      <c r="X42" s="1">
        <v>22</v>
      </c>
      <c r="Y42" s="1">
        <v>27</v>
      </c>
      <c r="Z42" s="1">
        <v>50</v>
      </c>
      <c r="AA42" s="1">
        <v>105</v>
      </c>
      <c r="AB42" s="1">
        <v>159</v>
      </c>
      <c r="AC42" s="1">
        <v>58</v>
      </c>
      <c r="AD42" s="1">
        <v>26</v>
      </c>
      <c r="AE42" s="1">
        <v>13</v>
      </c>
      <c r="AF42" s="18">
        <f t="shared" si="0"/>
        <v>37.766666666666666</v>
      </c>
    </row>
    <row r="43" spans="1:32" x14ac:dyDescent="0.35">
      <c r="A43" s="1" t="s">
        <v>164</v>
      </c>
      <c r="B43" s="1">
        <v>20</v>
      </c>
      <c r="C43" s="1">
        <v>15</v>
      </c>
      <c r="D43" s="1">
        <v>37</v>
      </c>
      <c r="E43" s="1">
        <v>31</v>
      </c>
      <c r="F43" s="1">
        <v>24</v>
      </c>
      <c r="G43" s="1">
        <v>115</v>
      </c>
      <c r="H43" s="1">
        <v>15</v>
      </c>
      <c r="I43" s="1">
        <v>42</v>
      </c>
      <c r="J43" s="1">
        <v>36</v>
      </c>
      <c r="K43" s="1">
        <v>36</v>
      </c>
      <c r="L43" s="1">
        <v>14</v>
      </c>
      <c r="M43" s="1">
        <v>37</v>
      </c>
      <c r="N43" s="1">
        <v>36</v>
      </c>
      <c r="O43" s="1">
        <v>42</v>
      </c>
      <c r="P43" s="1">
        <v>12</v>
      </c>
      <c r="Q43" s="1">
        <v>13</v>
      </c>
      <c r="R43" s="1">
        <v>12</v>
      </c>
      <c r="S43" s="1">
        <v>27</v>
      </c>
      <c r="T43" s="1">
        <v>31</v>
      </c>
      <c r="U43" s="1">
        <v>32</v>
      </c>
      <c r="V43" s="1">
        <v>12</v>
      </c>
      <c r="W43" s="1">
        <v>16</v>
      </c>
      <c r="X43" s="1">
        <v>42</v>
      </c>
      <c r="Y43" s="1">
        <v>19</v>
      </c>
      <c r="Z43" s="1">
        <v>55</v>
      </c>
      <c r="AA43" s="1">
        <v>17</v>
      </c>
      <c r="AB43" s="1">
        <v>13</v>
      </c>
      <c r="AC43" s="1">
        <v>34</v>
      </c>
      <c r="AD43" s="1">
        <v>12</v>
      </c>
      <c r="AE43" s="1">
        <v>31</v>
      </c>
      <c r="AF43" s="18">
        <f t="shared" si="0"/>
        <v>29.266666666666666</v>
      </c>
    </row>
    <row r="44" spans="1:32" x14ac:dyDescent="0.35">
      <c r="A44" s="1" t="s">
        <v>28</v>
      </c>
      <c r="B44" s="1">
        <v>12</v>
      </c>
      <c r="C44" s="1">
        <v>31</v>
      </c>
      <c r="D44" s="1">
        <v>104</v>
      </c>
      <c r="E44" s="1">
        <v>130</v>
      </c>
      <c r="F44" s="1">
        <v>34</v>
      </c>
      <c r="G44" s="1">
        <v>32</v>
      </c>
      <c r="H44" s="1">
        <v>29</v>
      </c>
      <c r="I44" s="1">
        <v>13</v>
      </c>
      <c r="J44" s="1">
        <v>66</v>
      </c>
      <c r="K44" s="1">
        <v>20</v>
      </c>
      <c r="L44" s="1">
        <v>29</v>
      </c>
      <c r="M44" s="1">
        <v>26</v>
      </c>
      <c r="N44" s="1">
        <v>38</v>
      </c>
      <c r="O44" s="1">
        <v>56</v>
      </c>
      <c r="P44" s="1">
        <v>33</v>
      </c>
      <c r="Q44" s="1">
        <v>19</v>
      </c>
      <c r="R44" s="1">
        <v>57</v>
      </c>
      <c r="S44" s="1">
        <v>80</v>
      </c>
      <c r="T44" s="1">
        <v>42</v>
      </c>
      <c r="U44" s="1">
        <v>12</v>
      </c>
      <c r="V44" s="1">
        <v>12</v>
      </c>
      <c r="W44" s="1">
        <v>24</v>
      </c>
      <c r="X44" s="1">
        <v>71</v>
      </c>
      <c r="Y44" s="1">
        <v>70</v>
      </c>
      <c r="Z44" s="1">
        <v>12</v>
      </c>
      <c r="AA44" s="1">
        <v>17</v>
      </c>
      <c r="AB44" s="1">
        <v>12</v>
      </c>
      <c r="AC44" s="1">
        <v>20</v>
      </c>
      <c r="AD44" s="1">
        <v>15</v>
      </c>
      <c r="AE44" s="1">
        <v>43</v>
      </c>
      <c r="AF44" s="18">
        <f t="shared" si="0"/>
        <v>38.633333333333333</v>
      </c>
    </row>
    <row r="45" spans="1:32" x14ac:dyDescent="0.35">
      <c r="A45" s="1" t="s">
        <v>29</v>
      </c>
      <c r="B45" s="1">
        <v>146</v>
      </c>
      <c r="C45" s="1">
        <v>16</v>
      </c>
      <c r="D45" s="1">
        <v>36</v>
      </c>
      <c r="E45" s="1">
        <v>44</v>
      </c>
      <c r="F45" s="1">
        <v>55</v>
      </c>
      <c r="G45" s="1">
        <v>46</v>
      </c>
      <c r="H45" s="1">
        <v>24</v>
      </c>
      <c r="I45" s="1">
        <v>28</v>
      </c>
      <c r="J45" s="1">
        <v>97</v>
      </c>
      <c r="K45" s="1">
        <v>27</v>
      </c>
      <c r="L45" s="1">
        <v>161</v>
      </c>
      <c r="M45" s="1">
        <v>146</v>
      </c>
      <c r="N45" s="1">
        <v>38</v>
      </c>
      <c r="O45" s="1">
        <v>30</v>
      </c>
      <c r="P45" s="1">
        <v>39</v>
      </c>
      <c r="Q45" s="1">
        <v>36</v>
      </c>
      <c r="R45" s="1">
        <v>16</v>
      </c>
      <c r="S45" s="1">
        <v>27</v>
      </c>
      <c r="T45" s="1">
        <v>60</v>
      </c>
      <c r="U45" s="1">
        <v>51</v>
      </c>
      <c r="V45" s="1">
        <v>46</v>
      </c>
      <c r="W45" s="1">
        <v>92</v>
      </c>
      <c r="X45" s="1">
        <v>35</v>
      </c>
      <c r="Y45" s="1">
        <v>15</v>
      </c>
      <c r="Z45" s="1">
        <v>72</v>
      </c>
      <c r="AA45" s="1">
        <v>32</v>
      </c>
      <c r="AB45" s="1">
        <v>28</v>
      </c>
      <c r="AC45" s="1">
        <v>187</v>
      </c>
      <c r="AD45" s="1">
        <v>30</v>
      </c>
      <c r="AE45" s="1">
        <v>15</v>
      </c>
      <c r="AF45" s="18">
        <f t="shared" si="0"/>
        <v>55.833333333333336</v>
      </c>
    </row>
    <row r="46" spans="1:32" x14ac:dyDescent="0.35">
      <c r="A46" s="1" t="s">
        <v>30</v>
      </c>
      <c r="B46" s="1">
        <v>30</v>
      </c>
      <c r="C46" s="1">
        <v>72</v>
      </c>
      <c r="D46" s="1">
        <v>92</v>
      </c>
      <c r="E46" s="1">
        <v>66</v>
      </c>
      <c r="F46" s="1">
        <v>25</v>
      </c>
      <c r="G46" s="1">
        <v>167</v>
      </c>
      <c r="H46" s="1">
        <v>51</v>
      </c>
      <c r="I46" s="1">
        <v>82</v>
      </c>
      <c r="J46" s="1">
        <v>15</v>
      </c>
      <c r="K46" s="1">
        <v>198</v>
      </c>
      <c r="L46" s="1">
        <v>78</v>
      </c>
      <c r="M46" s="1">
        <v>56</v>
      </c>
      <c r="N46" s="1">
        <v>43</v>
      </c>
      <c r="O46" s="1">
        <v>24</v>
      </c>
      <c r="P46" s="1">
        <v>67</v>
      </c>
      <c r="Q46" s="1">
        <v>16</v>
      </c>
      <c r="R46" s="1">
        <v>90</v>
      </c>
      <c r="S46" s="1">
        <v>75</v>
      </c>
      <c r="T46" s="1">
        <v>15</v>
      </c>
      <c r="U46" s="1">
        <v>12</v>
      </c>
      <c r="V46" s="1">
        <v>38</v>
      </c>
      <c r="W46" s="1">
        <v>100</v>
      </c>
      <c r="X46" s="1">
        <v>54</v>
      </c>
      <c r="Y46" s="1">
        <v>38</v>
      </c>
      <c r="Z46" s="1">
        <v>18</v>
      </c>
      <c r="AA46" s="1">
        <v>16</v>
      </c>
      <c r="AB46" s="1">
        <v>31</v>
      </c>
      <c r="AC46" s="1">
        <v>27</v>
      </c>
      <c r="AD46" s="1">
        <v>57</v>
      </c>
      <c r="AE46" s="1">
        <v>18</v>
      </c>
      <c r="AF46" s="18">
        <f t="shared" si="0"/>
        <v>55.7</v>
      </c>
    </row>
    <row r="47" spans="1:32" x14ac:dyDescent="0.35">
      <c r="A47" s="1" t="s">
        <v>175</v>
      </c>
      <c r="B47" s="1">
        <v>25</v>
      </c>
      <c r="C47" s="1">
        <v>65</v>
      </c>
      <c r="D47" s="1">
        <v>141</v>
      </c>
      <c r="E47" s="1">
        <v>45</v>
      </c>
      <c r="F47" s="1">
        <v>43</v>
      </c>
      <c r="G47" s="1">
        <v>140</v>
      </c>
      <c r="H47" s="1">
        <v>66</v>
      </c>
      <c r="I47" s="1">
        <v>22</v>
      </c>
      <c r="J47" s="1">
        <v>34</v>
      </c>
      <c r="K47" s="1">
        <v>19</v>
      </c>
      <c r="L47" s="1">
        <v>155</v>
      </c>
      <c r="M47" s="1">
        <v>42</v>
      </c>
      <c r="N47" s="1">
        <v>38</v>
      </c>
      <c r="O47" s="1">
        <v>14</v>
      </c>
      <c r="P47" s="1">
        <v>16</v>
      </c>
      <c r="Q47" s="1">
        <v>38</v>
      </c>
      <c r="R47" s="1">
        <v>125</v>
      </c>
      <c r="S47" s="1">
        <v>34</v>
      </c>
      <c r="T47" s="1">
        <v>18</v>
      </c>
      <c r="U47" s="1">
        <v>38</v>
      </c>
      <c r="V47" s="1">
        <v>18</v>
      </c>
      <c r="W47" s="1">
        <v>23</v>
      </c>
      <c r="X47" s="1">
        <v>16</v>
      </c>
      <c r="Y47" s="1">
        <v>125</v>
      </c>
      <c r="Z47" s="1">
        <v>73</v>
      </c>
      <c r="AA47" s="1">
        <v>63</v>
      </c>
      <c r="AB47" s="1">
        <v>16</v>
      </c>
      <c r="AC47" s="1">
        <v>112</v>
      </c>
      <c r="AD47" s="1">
        <v>68</v>
      </c>
      <c r="AE47" s="1">
        <v>26</v>
      </c>
      <c r="AF47" s="18">
        <f t="shared" si="0"/>
        <v>55.266666666666666</v>
      </c>
    </row>
    <row r="48" spans="1:32" x14ac:dyDescent="0.35">
      <c r="A48" s="1" t="s">
        <v>31</v>
      </c>
      <c r="B48" s="1">
        <v>105</v>
      </c>
      <c r="C48" s="1">
        <v>105</v>
      </c>
      <c r="D48" s="1">
        <v>35</v>
      </c>
      <c r="E48" s="1">
        <v>64</v>
      </c>
      <c r="F48" s="1">
        <v>27</v>
      </c>
      <c r="G48" s="1">
        <v>102</v>
      </c>
      <c r="H48" s="1">
        <v>46</v>
      </c>
      <c r="I48" s="1">
        <v>30</v>
      </c>
      <c r="J48" s="1">
        <v>236</v>
      </c>
      <c r="K48" s="1">
        <v>84</v>
      </c>
      <c r="L48" s="1">
        <v>329</v>
      </c>
      <c r="M48" s="1">
        <v>94</v>
      </c>
      <c r="N48" s="1">
        <v>75</v>
      </c>
      <c r="O48" s="1">
        <v>21</v>
      </c>
      <c r="P48" s="1">
        <v>13</v>
      </c>
      <c r="Q48" s="1">
        <v>39</v>
      </c>
      <c r="R48" s="1">
        <v>29</v>
      </c>
      <c r="S48" s="1">
        <v>259</v>
      </c>
      <c r="T48" s="1">
        <v>84</v>
      </c>
      <c r="U48" s="1">
        <v>31</v>
      </c>
      <c r="V48" s="1">
        <v>76</v>
      </c>
      <c r="W48" s="1">
        <v>148</v>
      </c>
      <c r="X48" s="1">
        <v>62</v>
      </c>
      <c r="Y48" s="1">
        <v>106</v>
      </c>
      <c r="Z48" s="1">
        <v>17</v>
      </c>
      <c r="AA48" s="1">
        <v>16</v>
      </c>
      <c r="AB48" s="1">
        <v>78</v>
      </c>
      <c r="AC48" s="1">
        <v>64</v>
      </c>
      <c r="AD48" s="1">
        <v>62</v>
      </c>
      <c r="AE48" s="1">
        <v>14</v>
      </c>
      <c r="AF48" s="18">
        <f t="shared" si="0"/>
        <v>81.7</v>
      </c>
    </row>
    <row r="49" spans="1:32" x14ac:dyDescent="0.35">
      <c r="A49" s="1" t="s">
        <v>32</v>
      </c>
      <c r="B49" s="1">
        <v>14</v>
      </c>
      <c r="C49" s="1">
        <v>22</v>
      </c>
      <c r="D49" s="1">
        <v>72</v>
      </c>
      <c r="E49" s="1">
        <v>69</v>
      </c>
      <c r="F49" s="1">
        <v>94</v>
      </c>
      <c r="G49" s="1">
        <v>77</v>
      </c>
      <c r="H49" s="1">
        <v>80</v>
      </c>
      <c r="I49" s="1">
        <v>18</v>
      </c>
      <c r="J49" s="1">
        <v>38</v>
      </c>
      <c r="K49" s="1">
        <v>39</v>
      </c>
      <c r="L49" s="1">
        <v>38</v>
      </c>
      <c r="M49" s="1">
        <v>209</v>
      </c>
      <c r="N49" s="1">
        <v>13</v>
      </c>
      <c r="O49" s="1">
        <v>24</v>
      </c>
      <c r="P49" s="1">
        <v>90</v>
      </c>
      <c r="Q49" s="1">
        <v>17</v>
      </c>
      <c r="R49" s="1">
        <v>54</v>
      </c>
      <c r="S49" s="1">
        <v>25</v>
      </c>
      <c r="T49" s="1">
        <v>50</v>
      </c>
      <c r="U49" s="1">
        <v>165</v>
      </c>
      <c r="V49" s="1">
        <v>261</v>
      </c>
      <c r="W49" s="1">
        <v>196</v>
      </c>
      <c r="X49" s="1">
        <v>22</v>
      </c>
      <c r="Y49" s="1">
        <v>54</v>
      </c>
      <c r="Z49" s="1">
        <v>30</v>
      </c>
      <c r="AA49" s="1">
        <v>116</v>
      </c>
      <c r="AB49" s="1">
        <v>111</v>
      </c>
      <c r="AC49" s="1">
        <v>84</v>
      </c>
      <c r="AD49" s="1">
        <v>119</v>
      </c>
      <c r="AE49" s="1">
        <v>210</v>
      </c>
      <c r="AF49" s="18">
        <f t="shared" si="0"/>
        <v>80.36666666666666</v>
      </c>
    </row>
    <row r="50" spans="1:32" x14ac:dyDescent="0.35">
      <c r="A50" s="1" t="s">
        <v>33</v>
      </c>
      <c r="B50" s="1">
        <v>130</v>
      </c>
      <c r="C50" s="1">
        <v>86</v>
      </c>
      <c r="D50" s="1">
        <v>27</v>
      </c>
      <c r="E50" s="1">
        <v>79</v>
      </c>
      <c r="F50" s="1">
        <v>41</v>
      </c>
      <c r="G50" s="1">
        <v>57</v>
      </c>
      <c r="H50" s="1">
        <v>47</v>
      </c>
      <c r="I50" s="1">
        <v>83</v>
      </c>
      <c r="J50" s="1">
        <v>99</v>
      </c>
      <c r="K50" s="1">
        <v>27</v>
      </c>
      <c r="L50" s="1">
        <v>302</v>
      </c>
      <c r="M50" s="1">
        <v>12</v>
      </c>
      <c r="N50" s="1">
        <v>43</v>
      </c>
      <c r="O50" s="1">
        <v>13</v>
      </c>
      <c r="P50" s="1">
        <v>25</v>
      </c>
      <c r="Q50" s="1">
        <v>119</v>
      </c>
      <c r="R50" s="1">
        <v>25</v>
      </c>
      <c r="S50" s="1">
        <v>17</v>
      </c>
      <c r="T50" s="1">
        <v>191</v>
      </c>
      <c r="U50" s="1">
        <v>36</v>
      </c>
      <c r="V50" s="1">
        <v>12</v>
      </c>
      <c r="W50" s="1">
        <v>36</v>
      </c>
      <c r="X50" s="1">
        <v>17</v>
      </c>
      <c r="Y50" s="1">
        <v>68</v>
      </c>
      <c r="Z50" s="1">
        <v>50</v>
      </c>
      <c r="AA50" s="1">
        <v>158</v>
      </c>
      <c r="AB50" s="1">
        <v>20</v>
      </c>
      <c r="AC50" s="1">
        <v>40</v>
      </c>
      <c r="AD50" s="1">
        <v>91</v>
      </c>
      <c r="AE50" s="1">
        <v>42</v>
      </c>
      <c r="AF50" s="18">
        <f t="shared" si="0"/>
        <v>66.433333333333337</v>
      </c>
    </row>
    <row r="51" spans="1:32" x14ac:dyDescent="0.35">
      <c r="A51" s="1" t="s">
        <v>34</v>
      </c>
      <c r="B51" s="1">
        <v>17</v>
      </c>
      <c r="C51" s="1">
        <v>13</v>
      </c>
      <c r="D51" s="1">
        <v>44</v>
      </c>
      <c r="E51" s="1">
        <v>46</v>
      </c>
      <c r="F51" s="1">
        <v>29</v>
      </c>
      <c r="G51" s="1">
        <v>37</v>
      </c>
      <c r="H51" s="1">
        <v>246</v>
      </c>
      <c r="I51" s="1">
        <v>31</v>
      </c>
      <c r="J51" s="1">
        <v>78</v>
      </c>
      <c r="K51" s="1">
        <v>135</v>
      </c>
      <c r="L51" s="1">
        <v>33</v>
      </c>
      <c r="M51" s="1">
        <v>43</v>
      </c>
      <c r="N51" s="1">
        <v>137</v>
      </c>
      <c r="O51" s="1">
        <v>118</v>
      </c>
      <c r="P51" s="1">
        <v>144</v>
      </c>
      <c r="Q51" s="1">
        <v>92</v>
      </c>
      <c r="R51" s="1">
        <v>55</v>
      </c>
      <c r="S51" s="1">
        <v>31</v>
      </c>
      <c r="T51" s="1">
        <v>42</v>
      </c>
      <c r="U51" s="1">
        <v>31</v>
      </c>
      <c r="V51" s="1">
        <v>67</v>
      </c>
      <c r="W51" s="1">
        <v>58</v>
      </c>
      <c r="X51" s="1">
        <v>82</v>
      </c>
      <c r="Y51" s="1">
        <v>65</v>
      </c>
      <c r="Z51" s="1">
        <v>194</v>
      </c>
      <c r="AA51" s="1">
        <v>233</v>
      </c>
      <c r="AB51" s="1">
        <v>25</v>
      </c>
      <c r="AC51" s="1">
        <v>41</v>
      </c>
      <c r="AD51" s="1">
        <v>168</v>
      </c>
      <c r="AE51" s="1">
        <v>52</v>
      </c>
      <c r="AF51" s="18">
        <f t="shared" si="0"/>
        <v>79.566666666666663</v>
      </c>
    </row>
    <row r="52" spans="1:32" x14ac:dyDescent="0.35">
      <c r="A52" s="1" t="s">
        <v>35</v>
      </c>
      <c r="B52" s="1">
        <v>12</v>
      </c>
      <c r="C52" s="1">
        <v>20</v>
      </c>
      <c r="D52" s="1">
        <v>13</v>
      </c>
      <c r="E52" s="1">
        <v>78</v>
      </c>
      <c r="F52" s="1">
        <v>15</v>
      </c>
      <c r="G52" s="1">
        <v>89</v>
      </c>
      <c r="H52" s="1">
        <v>76</v>
      </c>
      <c r="I52" s="1">
        <v>12</v>
      </c>
      <c r="J52" s="1">
        <v>193</v>
      </c>
      <c r="K52" s="1">
        <v>28</v>
      </c>
      <c r="L52" s="1">
        <v>65</v>
      </c>
      <c r="M52" s="1">
        <v>46</v>
      </c>
      <c r="N52" s="1">
        <v>12</v>
      </c>
      <c r="O52" s="1">
        <v>93</v>
      </c>
      <c r="P52" s="1">
        <v>126</v>
      </c>
      <c r="Q52" s="1">
        <v>43</v>
      </c>
      <c r="R52" s="1">
        <v>147</v>
      </c>
      <c r="S52" s="1">
        <v>107</v>
      </c>
      <c r="T52" s="1">
        <v>32</v>
      </c>
      <c r="U52" s="1">
        <v>18</v>
      </c>
      <c r="V52" s="1">
        <v>154</v>
      </c>
      <c r="W52" s="1">
        <v>58</v>
      </c>
      <c r="X52" s="1">
        <v>30</v>
      </c>
      <c r="Y52" s="1">
        <v>18</v>
      </c>
      <c r="Z52" s="1">
        <v>18</v>
      </c>
      <c r="AA52" s="1">
        <v>188</v>
      </c>
      <c r="AB52" s="1">
        <v>12</v>
      </c>
      <c r="AC52" s="1">
        <v>99</v>
      </c>
      <c r="AD52" s="1">
        <v>16</v>
      </c>
      <c r="AE52" s="1">
        <v>147</v>
      </c>
      <c r="AF52" s="18">
        <f t="shared" si="0"/>
        <v>65.5</v>
      </c>
    </row>
    <row r="53" spans="1:32" x14ac:dyDescent="0.35">
      <c r="A53" s="1" t="s">
        <v>36</v>
      </c>
      <c r="B53" s="1">
        <v>35</v>
      </c>
      <c r="C53" s="1">
        <v>78</v>
      </c>
      <c r="D53" s="1">
        <v>40</v>
      </c>
      <c r="E53" s="1">
        <v>51</v>
      </c>
      <c r="F53" s="1">
        <v>107</v>
      </c>
      <c r="G53" s="1">
        <v>34</v>
      </c>
      <c r="H53" s="1">
        <v>194</v>
      </c>
      <c r="I53" s="1">
        <v>45</v>
      </c>
      <c r="J53" s="1">
        <v>108</v>
      </c>
      <c r="K53" s="1">
        <v>99</v>
      </c>
      <c r="L53" s="1">
        <v>75</v>
      </c>
      <c r="M53" s="1">
        <v>23</v>
      </c>
      <c r="N53" s="1">
        <v>21</v>
      </c>
      <c r="O53" s="1">
        <v>21</v>
      </c>
      <c r="P53" s="1">
        <v>19</v>
      </c>
      <c r="Q53" s="1">
        <v>102</v>
      </c>
      <c r="R53" s="1">
        <v>19</v>
      </c>
      <c r="S53" s="1">
        <v>17</v>
      </c>
      <c r="T53" s="1">
        <v>17</v>
      </c>
      <c r="U53" s="1">
        <v>138</v>
      </c>
      <c r="V53" s="1">
        <v>63</v>
      </c>
      <c r="W53" s="1">
        <v>57</v>
      </c>
      <c r="X53" s="1">
        <v>100</v>
      </c>
      <c r="Y53" s="1">
        <v>67</v>
      </c>
      <c r="Z53" s="1">
        <v>153</v>
      </c>
      <c r="AA53" s="1">
        <v>66</v>
      </c>
      <c r="AB53" s="1">
        <v>24</v>
      </c>
      <c r="AC53" s="1">
        <v>70</v>
      </c>
      <c r="AD53" s="1">
        <v>37</v>
      </c>
      <c r="AE53" s="1">
        <v>21</v>
      </c>
      <c r="AF53" s="18">
        <f t="shared" si="0"/>
        <v>63.366666666666667</v>
      </c>
    </row>
    <row r="54" spans="1:32" x14ac:dyDescent="0.35">
      <c r="A54" s="1" t="s">
        <v>37</v>
      </c>
      <c r="B54" s="1">
        <v>64</v>
      </c>
      <c r="C54" s="1">
        <v>40</v>
      </c>
      <c r="D54" s="1">
        <v>93</v>
      </c>
      <c r="E54" s="1">
        <v>49</v>
      </c>
      <c r="F54" s="1">
        <v>83</v>
      </c>
      <c r="G54" s="1">
        <v>44</v>
      </c>
      <c r="H54" s="1">
        <v>102</v>
      </c>
      <c r="I54" s="1">
        <v>25</v>
      </c>
      <c r="J54" s="1">
        <v>52</v>
      </c>
      <c r="K54" s="1">
        <v>14</v>
      </c>
      <c r="L54" s="1">
        <v>42</v>
      </c>
      <c r="M54" s="1">
        <v>49</v>
      </c>
      <c r="N54" s="1">
        <v>66</v>
      </c>
      <c r="O54" s="1">
        <v>264</v>
      </c>
      <c r="P54" s="1">
        <v>19</v>
      </c>
      <c r="Q54" s="1">
        <v>30</v>
      </c>
      <c r="R54" s="1">
        <v>38</v>
      </c>
      <c r="S54" s="1">
        <v>41</v>
      </c>
      <c r="T54" s="1">
        <v>127</v>
      </c>
      <c r="U54" s="1">
        <v>57</v>
      </c>
      <c r="V54" s="1">
        <v>174</v>
      </c>
      <c r="W54" s="1">
        <v>99</v>
      </c>
      <c r="X54" s="1">
        <v>85</v>
      </c>
      <c r="Y54" s="1">
        <v>21</v>
      </c>
      <c r="Z54" s="1">
        <v>45</v>
      </c>
      <c r="AA54" s="1">
        <v>35</v>
      </c>
      <c r="AB54" s="1">
        <v>70</v>
      </c>
      <c r="AC54" s="1">
        <v>62</v>
      </c>
      <c r="AD54" s="1">
        <v>94</v>
      </c>
      <c r="AE54" s="1">
        <v>56</v>
      </c>
      <c r="AF54" s="18">
        <f t="shared" si="0"/>
        <v>68</v>
      </c>
    </row>
    <row r="55" spans="1:32" x14ac:dyDescent="0.35">
      <c r="A55" s="1" t="s">
        <v>38</v>
      </c>
      <c r="B55" s="1">
        <v>36</v>
      </c>
      <c r="C55" s="1">
        <v>69</v>
      </c>
      <c r="D55" s="1">
        <v>211</v>
      </c>
      <c r="E55" s="1">
        <v>83</v>
      </c>
      <c r="F55" s="1">
        <v>146</v>
      </c>
      <c r="G55" s="1">
        <v>87</v>
      </c>
      <c r="H55" s="1">
        <v>33</v>
      </c>
      <c r="I55" s="1">
        <v>19</v>
      </c>
      <c r="J55" s="1">
        <v>78</v>
      </c>
      <c r="K55" s="1">
        <v>12</v>
      </c>
      <c r="L55" s="1">
        <v>40</v>
      </c>
      <c r="M55" s="1">
        <v>35</v>
      </c>
      <c r="N55" s="1">
        <v>82</v>
      </c>
      <c r="O55" s="1">
        <v>21</v>
      </c>
      <c r="P55" s="1">
        <v>13</v>
      </c>
      <c r="Q55" s="1">
        <v>17</v>
      </c>
      <c r="R55" s="1">
        <v>133</v>
      </c>
      <c r="S55" s="1">
        <v>53</v>
      </c>
      <c r="T55" s="1">
        <v>86</v>
      </c>
      <c r="U55" s="1">
        <v>30</v>
      </c>
      <c r="V55" s="1">
        <v>20</v>
      </c>
      <c r="W55" s="1">
        <v>37</v>
      </c>
      <c r="X55" s="1">
        <v>132</v>
      </c>
      <c r="Y55" s="1">
        <v>30</v>
      </c>
      <c r="Z55" s="1">
        <v>101</v>
      </c>
      <c r="AA55" s="1">
        <v>28</v>
      </c>
      <c r="AB55" s="1">
        <v>12</v>
      </c>
      <c r="AC55" s="1">
        <v>52</v>
      </c>
      <c r="AD55" s="1">
        <v>48</v>
      </c>
      <c r="AE55" s="1">
        <v>26</v>
      </c>
      <c r="AF55" s="18">
        <f t="shared" si="0"/>
        <v>59</v>
      </c>
    </row>
    <row r="56" spans="1:32" x14ac:dyDescent="0.35">
      <c r="A56" s="1" t="s">
        <v>39</v>
      </c>
      <c r="B56" s="1">
        <v>58</v>
      </c>
      <c r="C56" s="1">
        <v>19</v>
      </c>
      <c r="D56" s="1">
        <v>39</v>
      </c>
      <c r="E56" s="1">
        <v>67</v>
      </c>
      <c r="F56" s="1">
        <v>97</v>
      </c>
      <c r="G56" s="1">
        <v>15</v>
      </c>
      <c r="H56" s="1">
        <v>61</v>
      </c>
      <c r="I56" s="1">
        <v>94</v>
      </c>
      <c r="J56" s="1">
        <v>52</v>
      </c>
      <c r="K56" s="1">
        <v>20</v>
      </c>
      <c r="L56" s="1">
        <v>107</v>
      </c>
      <c r="M56" s="1">
        <v>68</v>
      </c>
      <c r="N56" s="1">
        <v>20</v>
      </c>
      <c r="O56" s="1">
        <v>35</v>
      </c>
      <c r="P56" s="1">
        <v>91</v>
      </c>
      <c r="Q56" s="1">
        <v>37</v>
      </c>
      <c r="R56" s="1">
        <v>14</v>
      </c>
      <c r="S56" s="1">
        <v>64</v>
      </c>
      <c r="T56" s="1">
        <v>37</v>
      </c>
      <c r="U56" s="1">
        <v>86</v>
      </c>
      <c r="V56" s="1">
        <v>17</v>
      </c>
      <c r="W56" s="1">
        <v>14</v>
      </c>
      <c r="X56" s="1">
        <v>166</v>
      </c>
      <c r="Y56" s="1">
        <v>27</v>
      </c>
      <c r="Z56" s="1">
        <v>74</v>
      </c>
      <c r="AA56" s="1">
        <v>161</v>
      </c>
      <c r="AB56" s="1">
        <v>36</v>
      </c>
      <c r="AC56" s="1">
        <v>210</v>
      </c>
      <c r="AD56" s="1">
        <v>101</v>
      </c>
      <c r="AE56" s="1">
        <v>53</v>
      </c>
      <c r="AF56" s="18">
        <f t="shared" si="0"/>
        <v>64.666666666666671</v>
      </c>
    </row>
    <row r="57" spans="1:32" x14ac:dyDescent="0.35">
      <c r="A57" s="1" t="s">
        <v>176</v>
      </c>
      <c r="B57" s="1">
        <v>58</v>
      </c>
      <c r="C57" s="1">
        <v>65</v>
      </c>
      <c r="D57" s="1">
        <v>25</v>
      </c>
      <c r="E57" s="1">
        <v>39</v>
      </c>
      <c r="F57" s="1">
        <v>34</v>
      </c>
      <c r="G57" s="1">
        <v>68</v>
      </c>
      <c r="H57" s="1">
        <v>39</v>
      </c>
      <c r="I57" s="1">
        <v>31</v>
      </c>
      <c r="J57" s="1">
        <v>45</v>
      </c>
      <c r="K57" s="1">
        <v>40</v>
      </c>
      <c r="L57" s="1">
        <v>183</v>
      </c>
      <c r="M57" s="1">
        <v>44</v>
      </c>
      <c r="N57" s="1">
        <v>62</v>
      </c>
      <c r="O57" s="1">
        <v>25</v>
      </c>
      <c r="P57" s="1">
        <v>35</v>
      </c>
      <c r="Q57" s="1">
        <v>269</v>
      </c>
      <c r="R57" s="1">
        <v>79</v>
      </c>
      <c r="S57" s="1">
        <v>279</v>
      </c>
      <c r="T57" s="1">
        <v>46</v>
      </c>
      <c r="U57" s="1">
        <v>45</v>
      </c>
      <c r="V57" s="1">
        <v>17</v>
      </c>
      <c r="W57" s="1">
        <v>26</v>
      </c>
      <c r="X57" s="1">
        <v>98</v>
      </c>
      <c r="Y57" s="1">
        <v>16</v>
      </c>
      <c r="Z57" s="1">
        <v>20</v>
      </c>
      <c r="AA57" s="1">
        <v>116</v>
      </c>
      <c r="AB57" s="1">
        <v>30</v>
      </c>
      <c r="AC57" s="1">
        <v>21</v>
      </c>
      <c r="AD57" s="1">
        <v>90</v>
      </c>
      <c r="AE57" s="1">
        <v>25</v>
      </c>
      <c r="AF57" s="18">
        <f t="shared" si="0"/>
        <v>65.666666666666671</v>
      </c>
    </row>
    <row r="58" spans="1:32" x14ac:dyDescent="0.35">
      <c r="A58" s="1" t="s">
        <v>40</v>
      </c>
      <c r="B58" s="1">
        <v>135</v>
      </c>
      <c r="C58" s="1">
        <v>77</v>
      </c>
      <c r="D58" s="1">
        <v>126</v>
      </c>
      <c r="E58" s="1">
        <v>72</v>
      </c>
      <c r="F58" s="1">
        <v>57</v>
      </c>
      <c r="G58" s="1">
        <v>35</v>
      </c>
      <c r="H58" s="1">
        <v>29</v>
      </c>
      <c r="I58" s="1">
        <v>32</v>
      </c>
      <c r="J58" s="1">
        <v>97</v>
      </c>
      <c r="K58" s="1">
        <v>173</v>
      </c>
      <c r="L58" s="1">
        <v>120</v>
      </c>
      <c r="M58" s="1">
        <v>62</v>
      </c>
      <c r="N58" s="1">
        <v>49</v>
      </c>
      <c r="O58" s="1">
        <v>37</v>
      </c>
      <c r="P58" s="1">
        <v>119</v>
      </c>
      <c r="Q58" s="1">
        <v>36</v>
      </c>
      <c r="R58" s="1">
        <v>67</v>
      </c>
      <c r="S58" s="1">
        <v>110</v>
      </c>
      <c r="T58" s="1">
        <v>113</v>
      </c>
      <c r="U58" s="1">
        <v>19</v>
      </c>
      <c r="V58" s="1">
        <v>34</v>
      </c>
      <c r="W58" s="1">
        <v>76</v>
      </c>
      <c r="X58" s="1">
        <v>21</v>
      </c>
      <c r="Y58" s="1">
        <v>59</v>
      </c>
      <c r="Z58" s="1">
        <v>59</v>
      </c>
      <c r="AA58" s="1">
        <v>15</v>
      </c>
      <c r="AB58" s="1">
        <v>20</v>
      </c>
      <c r="AC58" s="1">
        <v>54</v>
      </c>
      <c r="AD58" s="1">
        <v>117</v>
      </c>
      <c r="AE58" s="1">
        <v>77</v>
      </c>
      <c r="AF58" s="18">
        <f t="shared" si="0"/>
        <v>69.900000000000006</v>
      </c>
    </row>
    <row r="59" spans="1:32" x14ac:dyDescent="0.35">
      <c r="A59" s="1" t="s">
        <v>41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8">
        <f t="shared" si="0"/>
        <v>0</v>
      </c>
    </row>
    <row r="60" spans="1:32" x14ac:dyDescent="0.35">
      <c r="A60" s="1" t="s">
        <v>42</v>
      </c>
      <c r="B60" s="1">
        <v>16</v>
      </c>
      <c r="C60" s="1">
        <v>15</v>
      </c>
      <c r="D60" s="1">
        <v>18</v>
      </c>
      <c r="E60" s="1">
        <v>33</v>
      </c>
      <c r="F60" s="1">
        <v>27</v>
      </c>
      <c r="G60" s="1">
        <v>79</v>
      </c>
      <c r="H60" s="1">
        <v>76</v>
      </c>
      <c r="I60" s="1">
        <v>30</v>
      </c>
      <c r="J60" s="1">
        <v>30</v>
      </c>
      <c r="K60" s="1">
        <v>36</v>
      </c>
      <c r="L60" s="1">
        <v>147</v>
      </c>
      <c r="M60" s="1">
        <v>86</v>
      </c>
      <c r="N60" s="1">
        <v>30</v>
      </c>
      <c r="O60" s="1">
        <v>48</v>
      </c>
      <c r="P60" s="1">
        <v>45</v>
      </c>
      <c r="Q60" s="1">
        <v>20</v>
      </c>
      <c r="R60" s="1">
        <v>35</v>
      </c>
      <c r="S60" s="1">
        <v>109</v>
      </c>
      <c r="T60" s="1">
        <v>26</v>
      </c>
      <c r="U60" s="1">
        <v>52</v>
      </c>
      <c r="V60" s="1">
        <v>23</v>
      </c>
      <c r="W60" s="1">
        <v>15</v>
      </c>
      <c r="X60" s="1">
        <v>27</v>
      </c>
      <c r="Y60" s="1">
        <v>112</v>
      </c>
      <c r="Z60" s="1">
        <v>32</v>
      </c>
      <c r="AA60" s="1">
        <v>17</v>
      </c>
      <c r="AB60" s="1">
        <v>139</v>
      </c>
      <c r="AC60" s="1">
        <v>17</v>
      </c>
      <c r="AD60" s="1">
        <v>39</v>
      </c>
      <c r="AE60" s="1">
        <v>36</v>
      </c>
      <c r="AF60" s="18">
        <f t="shared" si="0"/>
        <v>47.166666666666664</v>
      </c>
    </row>
    <row r="61" spans="1:32" x14ac:dyDescent="0.35">
      <c r="A61" s="1" t="s">
        <v>43</v>
      </c>
      <c r="B61" s="1">
        <v>60</v>
      </c>
      <c r="C61" s="1">
        <v>77</v>
      </c>
      <c r="D61" s="1">
        <v>157</v>
      </c>
      <c r="E61" s="1">
        <v>141</v>
      </c>
      <c r="F61" s="1">
        <v>77</v>
      </c>
      <c r="G61" s="1">
        <v>55</v>
      </c>
      <c r="H61" s="1">
        <v>295</v>
      </c>
      <c r="I61" s="1">
        <v>141</v>
      </c>
      <c r="J61" s="1">
        <v>155</v>
      </c>
      <c r="K61" s="1">
        <v>160</v>
      </c>
      <c r="L61" s="1">
        <v>17</v>
      </c>
      <c r="M61" s="1">
        <v>48</v>
      </c>
      <c r="N61" s="1">
        <v>125</v>
      </c>
      <c r="O61" s="1">
        <v>48</v>
      </c>
      <c r="P61" s="1">
        <v>76</v>
      </c>
      <c r="Q61" s="1">
        <v>19</v>
      </c>
      <c r="R61" s="1">
        <v>50</v>
      </c>
      <c r="S61" s="1">
        <v>58</v>
      </c>
      <c r="T61" s="1">
        <v>64</v>
      </c>
      <c r="U61" s="1">
        <v>18</v>
      </c>
      <c r="V61" s="1">
        <v>120</v>
      </c>
      <c r="W61" s="1">
        <v>70</v>
      </c>
      <c r="X61" s="1">
        <v>89</v>
      </c>
      <c r="Y61" s="1">
        <v>47</v>
      </c>
      <c r="Z61" s="1">
        <v>27</v>
      </c>
      <c r="AA61" s="1">
        <v>19</v>
      </c>
      <c r="AB61" s="1">
        <v>91</v>
      </c>
      <c r="AC61" s="1">
        <v>27</v>
      </c>
      <c r="AD61" s="1">
        <v>80</v>
      </c>
      <c r="AE61" s="1">
        <v>78</v>
      </c>
      <c r="AF61" s="18">
        <f t="shared" si="0"/>
        <v>82.966666666666669</v>
      </c>
    </row>
    <row r="62" spans="1:32" x14ac:dyDescent="0.35">
      <c r="A62" s="1" t="s">
        <v>44</v>
      </c>
      <c r="B62" s="1">
        <v>12</v>
      </c>
      <c r="C62" s="1">
        <v>36</v>
      </c>
      <c r="D62" s="1">
        <v>49</v>
      </c>
      <c r="E62" s="1">
        <v>13</v>
      </c>
      <c r="F62" s="1">
        <v>80</v>
      </c>
      <c r="G62" s="1">
        <v>61</v>
      </c>
      <c r="H62" s="1">
        <v>26</v>
      </c>
      <c r="I62" s="1">
        <v>39</v>
      </c>
      <c r="J62" s="1">
        <v>27</v>
      </c>
      <c r="K62" s="1">
        <v>13</v>
      </c>
      <c r="L62" s="1">
        <v>92</v>
      </c>
      <c r="M62" s="1">
        <v>15</v>
      </c>
      <c r="N62" s="1">
        <v>48</v>
      </c>
      <c r="O62" s="1">
        <v>13</v>
      </c>
      <c r="P62" s="1">
        <v>23</v>
      </c>
      <c r="Q62" s="1">
        <v>23</v>
      </c>
      <c r="R62" s="1">
        <v>15</v>
      </c>
      <c r="S62" s="1">
        <v>31</v>
      </c>
      <c r="T62" s="1">
        <v>17</v>
      </c>
      <c r="U62" s="1">
        <v>39</v>
      </c>
      <c r="V62" s="1">
        <v>15</v>
      </c>
      <c r="W62" s="1">
        <v>46</v>
      </c>
      <c r="X62" s="1">
        <v>13</v>
      </c>
      <c r="Y62" s="1">
        <v>49</v>
      </c>
      <c r="Z62" s="1">
        <v>27</v>
      </c>
      <c r="AA62" s="1">
        <v>49</v>
      </c>
      <c r="AB62" s="1">
        <v>46</v>
      </c>
      <c r="AC62" s="1">
        <v>50</v>
      </c>
      <c r="AD62" s="1">
        <v>42</v>
      </c>
      <c r="AE62" s="1">
        <v>27</v>
      </c>
      <c r="AF62" s="18">
        <f t="shared" si="0"/>
        <v>34.533333333333331</v>
      </c>
    </row>
    <row r="63" spans="1:32" x14ac:dyDescent="0.35">
      <c r="A63" s="1" t="s">
        <v>177</v>
      </c>
      <c r="B63" s="1">
        <v>25</v>
      </c>
      <c r="C63" s="1">
        <v>94</v>
      </c>
      <c r="D63" s="1">
        <v>59</v>
      </c>
      <c r="E63" s="1">
        <v>29</v>
      </c>
      <c r="F63" s="1">
        <v>12</v>
      </c>
      <c r="G63" s="1">
        <v>16</v>
      </c>
      <c r="H63" s="1">
        <v>109</v>
      </c>
      <c r="I63" s="1">
        <v>37</v>
      </c>
      <c r="J63" s="1">
        <v>15</v>
      </c>
      <c r="K63" s="1">
        <v>28</v>
      </c>
      <c r="L63" s="1">
        <v>54</v>
      </c>
      <c r="M63" s="1">
        <v>28</v>
      </c>
      <c r="N63" s="1">
        <v>47</v>
      </c>
      <c r="O63" s="1">
        <v>30</v>
      </c>
      <c r="P63" s="1">
        <v>23</v>
      </c>
      <c r="Q63" s="1">
        <v>55</v>
      </c>
      <c r="R63" s="1">
        <v>25</v>
      </c>
      <c r="S63" s="1">
        <v>36</v>
      </c>
      <c r="T63" s="1">
        <v>16</v>
      </c>
      <c r="U63" s="1">
        <v>51</v>
      </c>
      <c r="V63" s="1">
        <v>105</v>
      </c>
      <c r="W63" s="1">
        <v>37</v>
      </c>
      <c r="X63" s="1">
        <v>151</v>
      </c>
      <c r="Y63" s="1">
        <v>38</v>
      </c>
      <c r="Z63" s="1">
        <v>52</v>
      </c>
      <c r="AA63" s="1">
        <v>94</v>
      </c>
      <c r="AB63" s="1">
        <v>34</v>
      </c>
      <c r="AC63" s="1">
        <v>111</v>
      </c>
      <c r="AD63" s="1">
        <v>40</v>
      </c>
      <c r="AE63" s="1">
        <v>51</v>
      </c>
      <c r="AF63" s="18">
        <f t="shared" si="0"/>
        <v>50.06666666666667</v>
      </c>
    </row>
    <row r="64" spans="1:32" x14ac:dyDescent="0.35">
      <c r="A64" s="1" t="s">
        <v>178</v>
      </c>
      <c r="B64" s="1">
        <v>48</v>
      </c>
      <c r="C64" s="1">
        <v>79</v>
      </c>
      <c r="D64" s="1">
        <v>19</v>
      </c>
      <c r="E64" s="1">
        <v>25</v>
      </c>
      <c r="F64" s="1">
        <v>64</v>
      </c>
      <c r="G64" s="1">
        <v>25</v>
      </c>
      <c r="H64" s="1">
        <v>148</v>
      </c>
      <c r="I64" s="1">
        <v>23</v>
      </c>
      <c r="J64" s="1">
        <v>12</v>
      </c>
      <c r="K64" s="1">
        <v>27</v>
      </c>
      <c r="L64" s="1">
        <v>45</v>
      </c>
      <c r="M64" s="1">
        <v>50</v>
      </c>
      <c r="N64" s="1">
        <v>56</v>
      </c>
      <c r="O64" s="1">
        <v>36</v>
      </c>
      <c r="P64" s="1">
        <v>24</v>
      </c>
      <c r="Q64" s="1">
        <v>24</v>
      </c>
      <c r="R64" s="1">
        <v>55</v>
      </c>
      <c r="S64" s="1">
        <v>49</v>
      </c>
      <c r="T64" s="1">
        <v>43</v>
      </c>
      <c r="U64" s="1">
        <v>18</v>
      </c>
      <c r="V64" s="1">
        <v>61</v>
      </c>
      <c r="W64" s="1">
        <v>43</v>
      </c>
      <c r="X64" s="1">
        <v>63</v>
      </c>
      <c r="Y64" s="1">
        <v>66</v>
      </c>
      <c r="Z64" s="1">
        <v>12</v>
      </c>
      <c r="AA64" s="1">
        <v>13</v>
      </c>
      <c r="AB64" s="1">
        <v>113</v>
      </c>
      <c r="AC64" s="1">
        <v>15</v>
      </c>
      <c r="AD64" s="1">
        <v>22</v>
      </c>
      <c r="AE64" s="1">
        <v>37</v>
      </c>
      <c r="AF64" s="18">
        <f t="shared" si="0"/>
        <v>43.833333333333336</v>
      </c>
    </row>
    <row r="65" spans="1:32" x14ac:dyDescent="0.35">
      <c r="A65" s="1" t="s">
        <v>45</v>
      </c>
      <c r="B65" s="1">
        <v>18</v>
      </c>
      <c r="C65" s="1">
        <v>19</v>
      </c>
      <c r="D65" s="1">
        <v>28</v>
      </c>
      <c r="E65" s="1">
        <v>23</v>
      </c>
      <c r="F65" s="1">
        <v>17</v>
      </c>
      <c r="G65" s="1">
        <v>18</v>
      </c>
      <c r="H65" s="1">
        <v>12</v>
      </c>
      <c r="I65" s="1">
        <v>12</v>
      </c>
      <c r="J65" s="1">
        <v>17</v>
      </c>
      <c r="K65" s="1">
        <v>14</v>
      </c>
      <c r="L65" s="1">
        <v>16</v>
      </c>
      <c r="M65" s="1">
        <v>25</v>
      </c>
      <c r="N65" s="1">
        <v>18</v>
      </c>
      <c r="O65" s="1">
        <v>67</v>
      </c>
      <c r="P65" s="1">
        <v>23</v>
      </c>
      <c r="Q65" s="1">
        <v>18</v>
      </c>
      <c r="R65" s="1">
        <v>28</v>
      </c>
      <c r="S65" s="1">
        <v>32</v>
      </c>
      <c r="T65" s="1">
        <v>46</v>
      </c>
      <c r="U65" s="1">
        <v>15</v>
      </c>
      <c r="V65" s="1">
        <v>37</v>
      </c>
      <c r="W65" s="1">
        <v>17</v>
      </c>
      <c r="X65" s="1">
        <v>13</v>
      </c>
      <c r="Y65" s="1">
        <v>19</v>
      </c>
      <c r="Z65" s="1">
        <v>31</v>
      </c>
      <c r="AA65" s="1">
        <v>42</v>
      </c>
      <c r="AB65" s="1">
        <v>70</v>
      </c>
      <c r="AC65" s="1">
        <v>29</v>
      </c>
      <c r="AD65" s="1">
        <v>13</v>
      </c>
      <c r="AE65" s="1">
        <v>23</v>
      </c>
      <c r="AF65" s="18">
        <f t="shared" si="0"/>
        <v>25.333333333333332</v>
      </c>
    </row>
    <row r="66" spans="1:32" x14ac:dyDescent="0.35">
      <c r="A66" s="1" t="s">
        <v>46</v>
      </c>
      <c r="B66" s="1">
        <v>33</v>
      </c>
      <c r="C66" s="1">
        <v>115</v>
      </c>
      <c r="D66" s="1">
        <v>175</v>
      </c>
      <c r="E66" s="1">
        <v>14</v>
      </c>
      <c r="F66" s="1">
        <v>25</v>
      </c>
      <c r="G66" s="1">
        <v>70</v>
      </c>
      <c r="H66" s="1">
        <v>12</v>
      </c>
      <c r="I66" s="1">
        <v>32</v>
      </c>
      <c r="J66" s="1">
        <v>47</v>
      </c>
      <c r="K66" s="1">
        <v>25</v>
      </c>
      <c r="L66" s="1">
        <v>43</v>
      </c>
      <c r="M66" s="1">
        <v>30</v>
      </c>
      <c r="N66" s="1">
        <v>33</v>
      </c>
      <c r="O66" s="1">
        <v>102</v>
      </c>
      <c r="P66" s="1">
        <v>41</v>
      </c>
      <c r="Q66" s="1">
        <v>24</v>
      </c>
      <c r="R66" s="1">
        <v>143</v>
      </c>
      <c r="S66" s="1">
        <v>101</v>
      </c>
      <c r="T66" s="1">
        <v>35</v>
      </c>
      <c r="U66" s="1">
        <v>68</v>
      </c>
      <c r="V66" s="1">
        <v>31</v>
      </c>
      <c r="W66" s="1">
        <v>38</v>
      </c>
      <c r="X66" s="1">
        <v>88</v>
      </c>
      <c r="Y66" s="1">
        <v>99</v>
      </c>
      <c r="Z66" s="1">
        <v>61</v>
      </c>
      <c r="AA66" s="1">
        <v>111</v>
      </c>
      <c r="AB66" s="1">
        <v>75</v>
      </c>
      <c r="AC66" s="1">
        <v>20</v>
      </c>
      <c r="AD66" s="1">
        <v>57</v>
      </c>
      <c r="AE66" s="1">
        <v>50</v>
      </c>
      <c r="AF66" s="18">
        <f t="shared" si="0"/>
        <v>59.93333333333333</v>
      </c>
    </row>
    <row r="67" spans="1:32" x14ac:dyDescent="0.35">
      <c r="A67" s="1" t="s">
        <v>47</v>
      </c>
      <c r="B67" s="1">
        <v>99</v>
      </c>
      <c r="C67" s="1">
        <v>46</v>
      </c>
      <c r="D67" s="1">
        <v>47</v>
      </c>
      <c r="E67" s="1">
        <v>80</v>
      </c>
      <c r="F67" s="1">
        <v>15</v>
      </c>
      <c r="G67" s="1">
        <v>107</v>
      </c>
      <c r="H67" s="1">
        <v>56</v>
      </c>
      <c r="I67" s="1">
        <v>33</v>
      </c>
      <c r="J67" s="1">
        <v>51</v>
      </c>
      <c r="K67" s="1">
        <v>17</v>
      </c>
      <c r="L67" s="1">
        <v>120</v>
      </c>
      <c r="M67" s="1">
        <v>77</v>
      </c>
      <c r="N67" s="1">
        <v>41</v>
      </c>
      <c r="O67" s="1">
        <v>15</v>
      </c>
      <c r="P67" s="1">
        <v>73</v>
      </c>
      <c r="Q67" s="1">
        <v>162</v>
      </c>
      <c r="R67" s="1">
        <v>90</v>
      </c>
      <c r="S67" s="1">
        <v>82</v>
      </c>
      <c r="T67" s="1">
        <v>21</v>
      </c>
      <c r="U67" s="1">
        <v>160</v>
      </c>
      <c r="V67" s="1">
        <v>235</v>
      </c>
      <c r="W67" s="1">
        <v>12</v>
      </c>
      <c r="X67" s="1">
        <v>18</v>
      </c>
      <c r="Y67" s="1">
        <v>40</v>
      </c>
      <c r="Z67" s="1">
        <v>36</v>
      </c>
      <c r="AA67" s="1">
        <v>13</v>
      </c>
      <c r="AB67" s="1">
        <v>66</v>
      </c>
      <c r="AC67" s="1">
        <v>16</v>
      </c>
      <c r="AD67" s="1">
        <v>46</v>
      </c>
      <c r="AE67" s="1">
        <v>23</v>
      </c>
      <c r="AF67" s="18">
        <f t="shared" si="0"/>
        <v>63.233333333333334</v>
      </c>
    </row>
    <row r="68" spans="1:32" x14ac:dyDescent="0.35">
      <c r="A68" s="1" t="s">
        <v>48</v>
      </c>
      <c r="B68" s="1">
        <v>37</v>
      </c>
      <c r="C68" s="1">
        <v>18</v>
      </c>
      <c r="D68" s="1">
        <v>14</v>
      </c>
      <c r="E68" s="1">
        <v>45</v>
      </c>
      <c r="F68" s="1">
        <v>15</v>
      </c>
      <c r="G68" s="1">
        <v>61</v>
      </c>
      <c r="H68" s="1">
        <v>76</v>
      </c>
      <c r="I68" s="1">
        <v>37</v>
      </c>
      <c r="J68" s="1">
        <v>49</v>
      </c>
      <c r="K68" s="1">
        <v>51</v>
      </c>
      <c r="L68" s="1">
        <v>29</v>
      </c>
      <c r="M68" s="1">
        <v>40</v>
      </c>
      <c r="N68" s="1">
        <v>26</v>
      </c>
      <c r="O68" s="1">
        <v>23</v>
      </c>
      <c r="P68" s="1">
        <v>42</v>
      </c>
      <c r="Q68" s="1">
        <v>12</v>
      </c>
      <c r="R68" s="1">
        <v>14</v>
      </c>
      <c r="S68" s="1">
        <v>19</v>
      </c>
      <c r="T68" s="1">
        <v>16</v>
      </c>
      <c r="U68" s="1">
        <v>23</v>
      </c>
      <c r="V68" s="1">
        <v>72</v>
      </c>
      <c r="W68" s="1">
        <v>19</v>
      </c>
      <c r="X68" s="1">
        <v>50</v>
      </c>
      <c r="Y68" s="1">
        <v>14</v>
      </c>
      <c r="Z68" s="1">
        <v>38</v>
      </c>
      <c r="AA68" s="1">
        <v>27</v>
      </c>
      <c r="AB68" s="1">
        <v>20</v>
      </c>
      <c r="AC68" s="1">
        <v>30</v>
      </c>
      <c r="AD68" s="1">
        <v>56</v>
      </c>
      <c r="AE68" s="1">
        <v>32</v>
      </c>
      <c r="AF68" s="18">
        <f t="shared" ref="AF68:AF131" si="1">AVERAGE(B68:AE68)</f>
        <v>33.5</v>
      </c>
    </row>
    <row r="69" spans="1:32" x14ac:dyDescent="0.35">
      <c r="A69" s="1" t="s">
        <v>179</v>
      </c>
      <c r="B69" s="1">
        <v>99</v>
      </c>
      <c r="C69" s="1">
        <v>49</v>
      </c>
      <c r="D69" s="1">
        <v>37</v>
      </c>
      <c r="E69" s="1">
        <v>55</v>
      </c>
      <c r="F69" s="1">
        <v>14</v>
      </c>
      <c r="G69" s="1">
        <v>101</v>
      </c>
      <c r="H69" s="1">
        <v>42</v>
      </c>
      <c r="I69" s="1">
        <v>40</v>
      </c>
      <c r="J69" s="1">
        <v>18</v>
      </c>
      <c r="K69" s="1">
        <v>32</v>
      </c>
      <c r="L69" s="1">
        <v>34</v>
      </c>
      <c r="M69" s="1">
        <v>14</v>
      </c>
      <c r="N69" s="1">
        <v>80</v>
      </c>
      <c r="O69" s="1">
        <v>31</v>
      </c>
      <c r="P69" s="1">
        <v>18</v>
      </c>
      <c r="Q69" s="1">
        <v>75</v>
      </c>
      <c r="R69" s="1">
        <v>23</v>
      </c>
      <c r="S69" s="1">
        <v>56</v>
      </c>
      <c r="T69" s="1">
        <v>39</v>
      </c>
      <c r="U69" s="1">
        <v>228</v>
      </c>
      <c r="V69" s="1">
        <v>24</v>
      </c>
      <c r="W69" s="1">
        <v>32</v>
      </c>
      <c r="X69" s="1">
        <v>17</v>
      </c>
      <c r="Y69" s="1">
        <v>52</v>
      </c>
      <c r="Z69" s="1">
        <v>113</v>
      </c>
      <c r="AA69" s="1">
        <v>70</v>
      </c>
      <c r="AB69" s="1">
        <v>70</v>
      </c>
      <c r="AC69" s="1">
        <v>31</v>
      </c>
      <c r="AD69" s="1">
        <v>48</v>
      </c>
      <c r="AE69" s="1">
        <v>27</v>
      </c>
      <c r="AF69" s="18">
        <f t="shared" si="1"/>
        <v>52.3</v>
      </c>
    </row>
    <row r="70" spans="1:32" x14ac:dyDescent="0.35">
      <c r="A70" s="1" t="s">
        <v>49</v>
      </c>
      <c r="B70" s="1">
        <v>48</v>
      </c>
      <c r="C70" s="1">
        <v>16</v>
      </c>
      <c r="D70" s="1">
        <v>33</v>
      </c>
      <c r="E70" s="1">
        <v>18</v>
      </c>
      <c r="F70" s="1">
        <v>33</v>
      </c>
      <c r="G70" s="1">
        <v>40</v>
      </c>
      <c r="H70" s="1">
        <v>52</v>
      </c>
      <c r="I70" s="1">
        <v>56</v>
      </c>
      <c r="J70" s="1">
        <v>41</v>
      </c>
      <c r="K70" s="1">
        <v>33</v>
      </c>
      <c r="L70" s="1">
        <v>16</v>
      </c>
      <c r="M70" s="1">
        <v>45</v>
      </c>
      <c r="N70" s="1">
        <v>40</v>
      </c>
      <c r="O70" s="1">
        <v>24</v>
      </c>
      <c r="P70" s="1">
        <v>37</v>
      </c>
      <c r="Q70" s="1">
        <v>15</v>
      </c>
      <c r="R70" s="1">
        <v>16</v>
      </c>
      <c r="S70" s="1">
        <v>88</v>
      </c>
      <c r="T70" s="1">
        <v>61</v>
      </c>
      <c r="U70" s="1">
        <v>35</v>
      </c>
      <c r="V70" s="1">
        <v>72</v>
      </c>
      <c r="W70" s="1">
        <v>44</v>
      </c>
      <c r="X70" s="1">
        <v>44</v>
      </c>
      <c r="Y70" s="1">
        <v>43</v>
      </c>
      <c r="Z70" s="1">
        <v>22</v>
      </c>
      <c r="AA70" s="1">
        <v>64</v>
      </c>
      <c r="AB70" s="1">
        <v>12</v>
      </c>
      <c r="AC70" s="1">
        <v>23</v>
      </c>
      <c r="AD70" s="1">
        <v>54</v>
      </c>
      <c r="AE70" s="1">
        <v>22</v>
      </c>
      <c r="AF70" s="18">
        <f t="shared" si="1"/>
        <v>38.233333333333334</v>
      </c>
    </row>
    <row r="71" spans="1:32" x14ac:dyDescent="0.35">
      <c r="A71" s="1" t="s">
        <v>50</v>
      </c>
      <c r="B71" s="1">
        <v>15</v>
      </c>
      <c r="C71" s="1">
        <v>181</v>
      </c>
      <c r="D71" s="1">
        <v>55</v>
      </c>
      <c r="E71" s="1">
        <v>43</v>
      </c>
      <c r="F71" s="1">
        <v>170</v>
      </c>
      <c r="G71" s="1">
        <v>47</v>
      </c>
      <c r="H71" s="1">
        <v>20</v>
      </c>
      <c r="I71" s="1">
        <v>144</v>
      </c>
      <c r="J71" s="1">
        <v>30</v>
      </c>
      <c r="K71" s="1">
        <v>13</v>
      </c>
      <c r="L71" s="1">
        <v>58</v>
      </c>
      <c r="M71" s="1">
        <v>36</v>
      </c>
      <c r="N71" s="1">
        <v>38</v>
      </c>
      <c r="O71" s="1">
        <v>264</v>
      </c>
      <c r="P71" s="1">
        <v>150</v>
      </c>
      <c r="Q71" s="1">
        <v>38</v>
      </c>
      <c r="R71" s="1">
        <v>169</v>
      </c>
      <c r="S71" s="1">
        <v>57</v>
      </c>
      <c r="T71" s="1">
        <v>30</v>
      </c>
      <c r="U71" s="1">
        <v>17</v>
      </c>
      <c r="V71" s="1">
        <v>162</v>
      </c>
      <c r="W71" s="1">
        <v>141</v>
      </c>
      <c r="X71" s="1">
        <v>113</v>
      </c>
      <c r="Y71" s="1">
        <v>155</v>
      </c>
      <c r="Z71" s="1">
        <v>75</v>
      </c>
      <c r="AA71" s="1">
        <v>163</v>
      </c>
      <c r="AB71" s="1">
        <v>52</v>
      </c>
      <c r="AC71" s="1">
        <v>43</v>
      </c>
      <c r="AD71" s="1">
        <v>103</v>
      </c>
      <c r="AE71" s="1">
        <v>26</v>
      </c>
      <c r="AF71" s="18">
        <f t="shared" si="1"/>
        <v>86.933333333333337</v>
      </c>
    </row>
    <row r="72" spans="1:32" x14ac:dyDescent="0.35">
      <c r="A72" s="1" t="s">
        <v>51</v>
      </c>
      <c r="B72" s="1">
        <v>46</v>
      </c>
      <c r="C72" s="1">
        <v>43</v>
      </c>
      <c r="D72" s="1">
        <v>44</v>
      </c>
      <c r="E72" s="1">
        <v>89</v>
      </c>
      <c r="F72" s="1">
        <v>60</v>
      </c>
      <c r="G72" s="1">
        <v>98</v>
      </c>
      <c r="H72" s="1">
        <v>17</v>
      </c>
      <c r="I72" s="1">
        <v>78</v>
      </c>
      <c r="J72" s="1">
        <v>49</v>
      </c>
      <c r="K72" s="1">
        <v>29</v>
      </c>
      <c r="L72" s="1">
        <v>46</v>
      </c>
      <c r="M72" s="1">
        <v>14</v>
      </c>
      <c r="N72" s="1">
        <v>25</v>
      </c>
      <c r="O72" s="1">
        <v>18</v>
      </c>
      <c r="P72" s="1">
        <v>17</v>
      </c>
      <c r="Q72" s="1">
        <v>24</v>
      </c>
      <c r="R72" s="1">
        <v>65</v>
      </c>
      <c r="S72" s="1">
        <v>71</v>
      </c>
      <c r="T72" s="1">
        <v>23</v>
      </c>
      <c r="U72" s="1">
        <v>59</v>
      </c>
      <c r="V72" s="1">
        <v>28</v>
      </c>
      <c r="W72" s="1">
        <v>77</v>
      </c>
      <c r="X72" s="1">
        <v>102</v>
      </c>
      <c r="Y72" s="1">
        <v>144</v>
      </c>
      <c r="Z72" s="1">
        <v>13</v>
      </c>
      <c r="AA72" s="1">
        <v>94</v>
      </c>
      <c r="AB72" s="1">
        <v>17</v>
      </c>
      <c r="AC72" s="1">
        <v>73</v>
      </c>
      <c r="AD72" s="1">
        <v>15</v>
      </c>
      <c r="AE72" s="1">
        <v>30</v>
      </c>
      <c r="AF72" s="18">
        <f t="shared" si="1"/>
        <v>50.266666666666666</v>
      </c>
    </row>
    <row r="73" spans="1:32" x14ac:dyDescent="0.35">
      <c r="A73" s="1" t="s">
        <v>52</v>
      </c>
      <c r="B73" s="1">
        <v>16</v>
      </c>
      <c r="C73" s="1">
        <v>15</v>
      </c>
      <c r="D73" s="1">
        <v>34</v>
      </c>
      <c r="E73" s="1">
        <v>36</v>
      </c>
      <c r="F73" s="1">
        <v>37</v>
      </c>
      <c r="G73" s="1">
        <v>27</v>
      </c>
      <c r="H73" s="1">
        <v>28</v>
      </c>
      <c r="I73" s="1">
        <v>20</v>
      </c>
      <c r="J73" s="1">
        <v>15</v>
      </c>
      <c r="K73" s="1">
        <v>20</v>
      </c>
      <c r="L73" s="1">
        <v>45</v>
      </c>
      <c r="M73" s="1">
        <v>38</v>
      </c>
      <c r="N73" s="1">
        <v>17</v>
      </c>
      <c r="O73" s="1">
        <v>41</v>
      </c>
      <c r="P73" s="1">
        <v>15</v>
      </c>
      <c r="Q73" s="1">
        <v>37</v>
      </c>
      <c r="R73" s="1">
        <v>32</v>
      </c>
      <c r="S73" s="1">
        <v>30</v>
      </c>
      <c r="T73" s="1">
        <v>30</v>
      </c>
      <c r="U73" s="1">
        <v>28</v>
      </c>
      <c r="V73" s="1">
        <v>21</v>
      </c>
      <c r="W73" s="1">
        <v>26</v>
      </c>
      <c r="X73" s="1">
        <v>41</v>
      </c>
      <c r="Y73" s="1">
        <v>37</v>
      </c>
      <c r="Z73" s="1">
        <v>34</v>
      </c>
      <c r="AA73" s="1">
        <v>16</v>
      </c>
      <c r="AB73" s="1">
        <v>40</v>
      </c>
      <c r="AC73" s="1">
        <v>63</v>
      </c>
      <c r="AD73" s="1">
        <v>15</v>
      </c>
      <c r="AE73" s="1">
        <v>25</v>
      </c>
      <c r="AF73" s="18">
        <f t="shared" si="1"/>
        <v>29.3</v>
      </c>
    </row>
    <row r="74" spans="1:32" x14ac:dyDescent="0.35">
      <c r="A74" s="1" t="s">
        <v>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8">
        <f t="shared" si="1"/>
        <v>0</v>
      </c>
    </row>
    <row r="75" spans="1:32" x14ac:dyDescent="0.35">
      <c r="A75" s="1" t="s">
        <v>54</v>
      </c>
      <c r="B75" s="1">
        <v>62</v>
      </c>
      <c r="C75" s="1">
        <v>15</v>
      </c>
      <c r="D75" s="1">
        <v>37</v>
      </c>
      <c r="E75" s="1">
        <v>35</v>
      </c>
      <c r="F75" s="1">
        <v>17</v>
      </c>
      <c r="G75" s="1">
        <v>24</v>
      </c>
      <c r="H75" s="1">
        <v>12</v>
      </c>
      <c r="I75" s="1">
        <v>34</v>
      </c>
      <c r="J75" s="1">
        <v>26</v>
      </c>
      <c r="K75" s="1">
        <v>70</v>
      </c>
      <c r="L75" s="1">
        <v>143</v>
      </c>
      <c r="M75" s="1">
        <v>65</v>
      </c>
      <c r="N75" s="1">
        <v>41</v>
      </c>
      <c r="O75" s="1">
        <v>72</v>
      </c>
      <c r="P75" s="1">
        <v>95</v>
      </c>
      <c r="Q75" s="1">
        <v>136</v>
      </c>
      <c r="R75" s="1">
        <v>25</v>
      </c>
      <c r="S75" s="1">
        <v>39</v>
      </c>
      <c r="T75" s="1">
        <v>80</v>
      </c>
      <c r="U75" s="1">
        <v>35</v>
      </c>
      <c r="V75" s="1">
        <v>106</v>
      </c>
      <c r="W75" s="1">
        <v>43</v>
      </c>
      <c r="X75" s="1">
        <v>94</v>
      </c>
      <c r="Y75" s="1">
        <v>112</v>
      </c>
      <c r="Z75" s="1">
        <v>13</v>
      </c>
      <c r="AA75" s="1">
        <v>13</v>
      </c>
      <c r="AB75" s="1">
        <v>50</v>
      </c>
      <c r="AC75" s="1">
        <v>14</v>
      </c>
      <c r="AD75" s="1">
        <v>76</v>
      </c>
      <c r="AE75" s="1">
        <v>25</v>
      </c>
      <c r="AF75" s="18">
        <f t="shared" si="1"/>
        <v>53.633333333333333</v>
      </c>
    </row>
    <row r="76" spans="1:32" x14ac:dyDescent="0.35">
      <c r="A76" s="1" t="s">
        <v>180</v>
      </c>
      <c r="B76" s="1">
        <v>97</v>
      </c>
      <c r="C76" s="1">
        <v>14</v>
      </c>
      <c r="D76" s="1">
        <v>36</v>
      </c>
      <c r="E76" s="1">
        <v>32</v>
      </c>
      <c r="F76" s="1">
        <v>64</v>
      </c>
      <c r="G76" s="1">
        <v>21</v>
      </c>
      <c r="H76" s="1">
        <v>21</v>
      </c>
      <c r="I76" s="1">
        <v>13</v>
      </c>
      <c r="J76" s="1">
        <v>75</v>
      </c>
      <c r="K76" s="1">
        <v>19</v>
      </c>
      <c r="L76" s="1">
        <v>23</v>
      </c>
      <c r="M76" s="1">
        <v>15</v>
      </c>
      <c r="N76" s="1">
        <v>15</v>
      </c>
      <c r="O76" s="1">
        <v>18</v>
      </c>
      <c r="P76" s="1">
        <v>13</v>
      </c>
      <c r="Q76" s="1">
        <v>18</v>
      </c>
      <c r="R76" s="1">
        <v>31</v>
      </c>
      <c r="S76" s="1">
        <v>18</v>
      </c>
      <c r="T76" s="1">
        <v>27</v>
      </c>
      <c r="U76" s="1">
        <v>40</v>
      </c>
      <c r="V76" s="1">
        <v>16</v>
      </c>
      <c r="W76" s="1">
        <v>14</v>
      </c>
      <c r="X76" s="1">
        <v>22</v>
      </c>
      <c r="Y76" s="1">
        <v>83</v>
      </c>
      <c r="Z76" s="1">
        <v>63</v>
      </c>
      <c r="AA76" s="1">
        <v>29</v>
      </c>
      <c r="AB76" s="1">
        <v>47</v>
      </c>
      <c r="AC76" s="1">
        <v>13</v>
      </c>
      <c r="AD76" s="1">
        <v>30</v>
      </c>
      <c r="AE76" s="1">
        <v>45</v>
      </c>
      <c r="AF76" s="18">
        <f t="shared" si="1"/>
        <v>32.4</v>
      </c>
    </row>
    <row r="77" spans="1:32" x14ac:dyDescent="0.35">
      <c r="A77" s="1" t="s">
        <v>55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8">
        <f t="shared" si="1"/>
        <v>0</v>
      </c>
    </row>
    <row r="78" spans="1:32" x14ac:dyDescent="0.35">
      <c r="A78" s="1" t="s">
        <v>56</v>
      </c>
      <c r="B78" s="1">
        <v>54</v>
      </c>
      <c r="C78" s="1">
        <v>21</v>
      </c>
      <c r="D78" s="1">
        <v>51</v>
      </c>
      <c r="E78" s="1">
        <v>29</v>
      </c>
      <c r="F78" s="1">
        <v>27</v>
      </c>
      <c r="G78" s="1">
        <v>20</v>
      </c>
      <c r="H78" s="1">
        <v>100</v>
      </c>
      <c r="I78" s="1">
        <v>54</v>
      </c>
      <c r="J78" s="1">
        <v>22</v>
      </c>
      <c r="K78" s="1">
        <v>21</v>
      </c>
      <c r="L78" s="1">
        <v>18</v>
      </c>
      <c r="M78" s="1">
        <v>40</v>
      </c>
      <c r="N78" s="1">
        <v>41</v>
      </c>
      <c r="O78" s="1">
        <v>12</v>
      </c>
      <c r="P78" s="1">
        <v>27</v>
      </c>
      <c r="Q78" s="1">
        <v>21</v>
      </c>
      <c r="R78" s="1">
        <v>13</v>
      </c>
      <c r="S78" s="1">
        <v>74</v>
      </c>
      <c r="T78" s="1">
        <v>38</v>
      </c>
      <c r="U78" s="1">
        <v>46</v>
      </c>
      <c r="V78" s="1">
        <v>47</v>
      </c>
      <c r="W78" s="1">
        <v>32</v>
      </c>
      <c r="X78" s="1">
        <v>13</v>
      </c>
      <c r="Y78" s="1">
        <v>47</v>
      </c>
      <c r="Z78" s="1">
        <v>23</v>
      </c>
      <c r="AA78" s="1">
        <v>26</v>
      </c>
      <c r="AB78" s="1">
        <v>18</v>
      </c>
      <c r="AC78" s="1">
        <v>33</v>
      </c>
      <c r="AD78" s="1">
        <v>12</v>
      </c>
      <c r="AE78" s="1">
        <v>13</v>
      </c>
      <c r="AF78" s="18">
        <f t="shared" si="1"/>
        <v>33.1</v>
      </c>
    </row>
    <row r="79" spans="1:32" x14ac:dyDescent="0.35">
      <c r="A79" s="1" t="s">
        <v>57</v>
      </c>
      <c r="B79" s="1">
        <v>43</v>
      </c>
      <c r="C79" s="1">
        <v>57</v>
      </c>
      <c r="D79" s="1">
        <v>12</v>
      </c>
      <c r="E79" s="1">
        <v>20</v>
      </c>
      <c r="F79" s="1">
        <v>22</v>
      </c>
      <c r="G79" s="1">
        <v>28</v>
      </c>
      <c r="H79" s="1">
        <v>22</v>
      </c>
      <c r="I79" s="1">
        <v>65</v>
      </c>
      <c r="J79" s="1">
        <v>66</v>
      </c>
      <c r="K79" s="1">
        <v>28</v>
      </c>
      <c r="L79" s="1">
        <v>29</v>
      </c>
      <c r="M79" s="1">
        <v>32</v>
      </c>
      <c r="N79" s="1">
        <v>18</v>
      </c>
      <c r="O79" s="1">
        <v>57</v>
      </c>
      <c r="P79" s="1">
        <v>13</v>
      </c>
      <c r="Q79" s="1">
        <v>77</v>
      </c>
      <c r="R79" s="1">
        <v>61</v>
      </c>
      <c r="S79" s="1">
        <v>32</v>
      </c>
      <c r="T79" s="1">
        <v>25</v>
      </c>
      <c r="U79" s="1">
        <v>79</v>
      </c>
      <c r="V79" s="1">
        <v>46</v>
      </c>
      <c r="W79" s="1">
        <v>31</v>
      </c>
      <c r="X79" s="1">
        <v>13</v>
      </c>
      <c r="Y79" s="1">
        <v>26</v>
      </c>
      <c r="Z79" s="1">
        <v>28</v>
      </c>
      <c r="AA79" s="1">
        <v>67</v>
      </c>
      <c r="AB79" s="1">
        <v>36</v>
      </c>
      <c r="AC79" s="1">
        <v>44</v>
      </c>
      <c r="AD79" s="1">
        <v>35</v>
      </c>
      <c r="AE79" s="1">
        <v>17</v>
      </c>
      <c r="AF79" s="18">
        <f t="shared" si="1"/>
        <v>37.633333333333333</v>
      </c>
    </row>
    <row r="80" spans="1:32" x14ac:dyDescent="0.35">
      <c r="A80" s="1" t="s">
        <v>58</v>
      </c>
      <c r="B80" s="1">
        <v>90</v>
      </c>
      <c r="C80" s="1">
        <v>92</v>
      </c>
      <c r="D80" s="1">
        <v>24</v>
      </c>
      <c r="E80" s="1">
        <v>37</v>
      </c>
      <c r="F80" s="1">
        <v>30</v>
      </c>
      <c r="G80" s="1">
        <v>49</v>
      </c>
      <c r="H80" s="1">
        <v>35</v>
      </c>
      <c r="I80" s="1">
        <v>27</v>
      </c>
      <c r="J80" s="1">
        <v>12</v>
      </c>
      <c r="K80" s="1">
        <v>22</v>
      </c>
      <c r="L80" s="1">
        <v>30</v>
      </c>
      <c r="M80" s="1">
        <v>26</v>
      </c>
      <c r="N80" s="1">
        <v>19</v>
      </c>
      <c r="O80" s="1">
        <v>67</v>
      </c>
      <c r="P80" s="1">
        <v>52</v>
      </c>
      <c r="Q80" s="1">
        <v>38</v>
      </c>
      <c r="R80" s="1">
        <v>56</v>
      </c>
      <c r="S80" s="1">
        <v>74</v>
      </c>
      <c r="T80" s="1">
        <v>19</v>
      </c>
      <c r="U80" s="1">
        <v>17</v>
      </c>
      <c r="V80" s="1">
        <v>17</v>
      </c>
      <c r="W80" s="1">
        <v>134</v>
      </c>
      <c r="X80" s="1">
        <v>18</v>
      </c>
      <c r="Y80" s="1">
        <v>74</v>
      </c>
      <c r="Z80" s="1">
        <v>50</v>
      </c>
      <c r="AA80" s="1">
        <v>30</v>
      </c>
      <c r="AB80" s="1">
        <v>126</v>
      </c>
      <c r="AC80" s="1">
        <v>23</v>
      </c>
      <c r="AD80" s="1">
        <v>47</v>
      </c>
      <c r="AE80" s="1">
        <v>70</v>
      </c>
      <c r="AF80" s="18">
        <f t="shared" si="1"/>
        <v>46.833333333333336</v>
      </c>
    </row>
    <row r="81" spans="1:32" x14ac:dyDescent="0.35">
      <c r="A81" s="1" t="s">
        <v>59</v>
      </c>
      <c r="B81" s="1">
        <v>39</v>
      </c>
      <c r="C81" s="1">
        <v>34</v>
      </c>
      <c r="D81" s="1">
        <v>26</v>
      </c>
      <c r="E81" s="1">
        <v>131</v>
      </c>
      <c r="F81" s="1">
        <v>23</v>
      </c>
      <c r="G81" s="1">
        <v>43</v>
      </c>
      <c r="H81" s="1">
        <v>166</v>
      </c>
      <c r="I81" s="1">
        <v>98</v>
      </c>
      <c r="J81" s="1">
        <v>111</v>
      </c>
      <c r="K81" s="1">
        <v>119</v>
      </c>
      <c r="L81" s="1">
        <v>30</v>
      </c>
      <c r="M81" s="1">
        <v>120</v>
      </c>
      <c r="N81" s="1">
        <v>27</v>
      </c>
      <c r="O81" s="1">
        <v>51</v>
      </c>
      <c r="P81" s="1">
        <v>18</v>
      </c>
      <c r="Q81" s="1">
        <v>235</v>
      </c>
      <c r="R81" s="1">
        <v>88</v>
      </c>
      <c r="S81" s="1">
        <v>80</v>
      </c>
      <c r="T81" s="1">
        <v>74</v>
      </c>
      <c r="U81" s="1">
        <v>15</v>
      </c>
      <c r="V81" s="1">
        <v>104</v>
      </c>
      <c r="W81" s="1">
        <v>121</v>
      </c>
      <c r="X81" s="1">
        <v>199</v>
      </c>
      <c r="Y81" s="1">
        <v>241</v>
      </c>
      <c r="Z81" s="1">
        <v>87</v>
      </c>
      <c r="AA81" s="1">
        <v>46</v>
      </c>
      <c r="AB81" s="1">
        <v>13</v>
      </c>
      <c r="AC81" s="1">
        <v>143</v>
      </c>
      <c r="AD81" s="1">
        <v>37</v>
      </c>
      <c r="AE81" s="1">
        <v>28</v>
      </c>
      <c r="AF81" s="18">
        <f t="shared" si="1"/>
        <v>84.9</v>
      </c>
    </row>
    <row r="82" spans="1:32" x14ac:dyDescent="0.35">
      <c r="A82" s="1" t="s">
        <v>181</v>
      </c>
      <c r="B82" s="1">
        <v>100</v>
      </c>
      <c r="C82" s="1">
        <v>58</v>
      </c>
      <c r="D82" s="1">
        <v>40</v>
      </c>
      <c r="E82" s="1">
        <v>169</v>
      </c>
      <c r="F82" s="1">
        <v>38</v>
      </c>
      <c r="G82" s="1">
        <v>30</v>
      </c>
      <c r="H82" s="1">
        <v>88</v>
      </c>
      <c r="I82" s="1">
        <v>28</v>
      </c>
      <c r="J82" s="1">
        <v>42</v>
      </c>
      <c r="K82" s="1">
        <v>199</v>
      </c>
      <c r="L82" s="1">
        <v>103</v>
      </c>
      <c r="M82" s="1">
        <v>52</v>
      </c>
      <c r="N82" s="1">
        <v>62</v>
      </c>
      <c r="O82" s="1">
        <v>53</v>
      </c>
      <c r="P82" s="1">
        <v>102</v>
      </c>
      <c r="Q82" s="1">
        <v>206</v>
      </c>
      <c r="R82" s="1">
        <v>61</v>
      </c>
      <c r="S82" s="1">
        <v>171</v>
      </c>
      <c r="T82" s="1">
        <v>147</v>
      </c>
      <c r="U82" s="1">
        <v>40</v>
      </c>
      <c r="V82" s="1">
        <v>139</v>
      </c>
      <c r="W82" s="1">
        <v>225</v>
      </c>
      <c r="X82" s="1">
        <v>48</v>
      </c>
      <c r="Y82" s="1">
        <v>23</v>
      </c>
      <c r="Z82" s="1">
        <v>63</v>
      </c>
      <c r="AA82" s="1">
        <v>44</v>
      </c>
      <c r="AB82" s="1">
        <v>118</v>
      </c>
      <c r="AC82" s="1">
        <v>113</v>
      </c>
      <c r="AD82" s="1">
        <v>90</v>
      </c>
      <c r="AE82" s="1">
        <v>118</v>
      </c>
      <c r="AF82" s="18">
        <f t="shared" si="1"/>
        <v>92.333333333333329</v>
      </c>
    </row>
    <row r="83" spans="1:32" x14ac:dyDescent="0.35">
      <c r="A83" s="1" t="s">
        <v>60</v>
      </c>
      <c r="B83" s="1">
        <v>37</v>
      </c>
      <c r="C83" s="1">
        <v>14</v>
      </c>
      <c r="D83" s="1">
        <v>22</v>
      </c>
      <c r="E83" s="1">
        <v>18</v>
      </c>
      <c r="F83" s="1">
        <v>20</v>
      </c>
      <c r="G83" s="1">
        <v>36</v>
      </c>
      <c r="H83" s="1">
        <v>17</v>
      </c>
      <c r="I83" s="1">
        <v>29</v>
      </c>
      <c r="J83" s="1">
        <v>82</v>
      </c>
      <c r="K83" s="1">
        <v>15</v>
      </c>
      <c r="L83" s="1">
        <v>15</v>
      </c>
      <c r="M83" s="1">
        <v>52</v>
      </c>
      <c r="N83" s="1">
        <v>13</v>
      </c>
      <c r="O83" s="1">
        <v>24</v>
      </c>
      <c r="P83" s="1">
        <v>30</v>
      </c>
      <c r="Q83" s="1">
        <v>15</v>
      </c>
      <c r="R83" s="1">
        <v>31</v>
      </c>
      <c r="S83" s="1">
        <v>48</v>
      </c>
      <c r="T83" s="1">
        <v>23</v>
      </c>
      <c r="U83" s="1">
        <v>34</v>
      </c>
      <c r="V83" s="1">
        <v>41</v>
      </c>
      <c r="W83" s="1">
        <v>14</v>
      </c>
      <c r="X83" s="1">
        <v>74</v>
      </c>
      <c r="Y83" s="1">
        <v>31</v>
      </c>
      <c r="Z83" s="1">
        <v>34</v>
      </c>
      <c r="AA83" s="1">
        <v>20</v>
      </c>
      <c r="AB83" s="1">
        <v>31</v>
      </c>
      <c r="AC83" s="1">
        <v>17</v>
      </c>
      <c r="AD83" s="1">
        <v>33</v>
      </c>
      <c r="AE83" s="1">
        <v>31</v>
      </c>
      <c r="AF83" s="18">
        <f t="shared" si="1"/>
        <v>30.033333333333335</v>
      </c>
    </row>
    <row r="84" spans="1:32" x14ac:dyDescent="0.35">
      <c r="A84" s="1" t="s">
        <v>61</v>
      </c>
      <c r="B84" s="1">
        <v>65</v>
      </c>
      <c r="C84" s="1">
        <v>31</v>
      </c>
      <c r="D84" s="1">
        <v>45</v>
      </c>
      <c r="E84" s="1">
        <v>39</v>
      </c>
      <c r="F84" s="1">
        <v>71</v>
      </c>
      <c r="G84" s="1">
        <v>49</v>
      </c>
      <c r="H84" s="1">
        <v>31</v>
      </c>
      <c r="I84" s="1">
        <v>38</v>
      </c>
      <c r="J84" s="1">
        <v>38</v>
      </c>
      <c r="K84" s="1">
        <v>20</v>
      </c>
      <c r="L84" s="1">
        <v>30</v>
      </c>
      <c r="M84" s="1">
        <v>21</v>
      </c>
      <c r="N84" s="1">
        <v>16</v>
      </c>
      <c r="O84" s="1">
        <v>28</v>
      </c>
      <c r="P84" s="1">
        <v>89</v>
      </c>
      <c r="Q84" s="1">
        <v>47</v>
      </c>
      <c r="R84" s="1">
        <v>36</v>
      </c>
      <c r="S84" s="1">
        <v>26</v>
      </c>
      <c r="T84" s="1">
        <v>61</v>
      </c>
      <c r="U84" s="1">
        <v>104</v>
      </c>
      <c r="V84" s="1">
        <v>12</v>
      </c>
      <c r="W84" s="1">
        <v>95</v>
      </c>
      <c r="X84" s="1">
        <v>22</v>
      </c>
      <c r="Y84" s="1">
        <v>13</v>
      </c>
      <c r="Z84" s="1">
        <v>130</v>
      </c>
      <c r="AA84" s="1">
        <v>54</v>
      </c>
      <c r="AB84" s="1">
        <v>15</v>
      </c>
      <c r="AC84" s="1">
        <v>42</v>
      </c>
      <c r="AD84" s="1">
        <v>56</v>
      </c>
      <c r="AE84" s="1">
        <v>23</v>
      </c>
      <c r="AF84" s="18">
        <f t="shared" si="1"/>
        <v>44.9</v>
      </c>
    </row>
    <row r="85" spans="1:32" x14ac:dyDescent="0.35">
      <c r="A85" s="1" t="s">
        <v>62</v>
      </c>
      <c r="B85" s="1">
        <v>17</v>
      </c>
      <c r="C85" s="1">
        <v>61</v>
      </c>
      <c r="D85" s="1">
        <v>47</v>
      </c>
      <c r="E85" s="1">
        <v>30</v>
      </c>
      <c r="F85" s="1">
        <v>18</v>
      </c>
      <c r="G85" s="1">
        <v>146</v>
      </c>
      <c r="H85" s="1">
        <v>15</v>
      </c>
      <c r="I85" s="1">
        <v>26</v>
      </c>
      <c r="J85" s="1">
        <v>34</v>
      </c>
      <c r="K85" s="1">
        <v>94</v>
      </c>
      <c r="L85" s="1">
        <v>71</v>
      </c>
      <c r="M85" s="1">
        <v>39</v>
      </c>
      <c r="N85" s="1">
        <v>21</v>
      </c>
      <c r="O85" s="1">
        <v>106</v>
      </c>
      <c r="P85" s="1">
        <v>32</v>
      </c>
      <c r="Q85" s="1">
        <v>25</v>
      </c>
      <c r="R85" s="1">
        <v>13</v>
      </c>
      <c r="S85" s="1">
        <v>73</v>
      </c>
      <c r="T85" s="1">
        <v>126</v>
      </c>
      <c r="U85" s="1">
        <v>153</v>
      </c>
      <c r="V85" s="1">
        <v>146</v>
      </c>
      <c r="W85" s="1">
        <v>44</v>
      </c>
      <c r="X85" s="1">
        <v>61</v>
      </c>
      <c r="Y85" s="1">
        <v>15</v>
      </c>
      <c r="Z85" s="1">
        <v>36</v>
      </c>
      <c r="AA85" s="1">
        <v>73</v>
      </c>
      <c r="AB85" s="1">
        <v>12</v>
      </c>
      <c r="AC85" s="1">
        <v>54</v>
      </c>
      <c r="AD85" s="1">
        <v>21</v>
      </c>
      <c r="AE85" s="1">
        <v>44</v>
      </c>
      <c r="AF85" s="18">
        <f t="shared" si="1"/>
        <v>55.1</v>
      </c>
    </row>
    <row r="86" spans="1:32" x14ac:dyDescent="0.35">
      <c r="A86" s="1" t="s">
        <v>63</v>
      </c>
      <c r="B86" s="1">
        <v>13</v>
      </c>
      <c r="C86" s="1">
        <v>21</v>
      </c>
      <c r="D86" s="1">
        <v>23</v>
      </c>
      <c r="E86" s="1">
        <v>29</v>
      </c>
      <c r="F86" s="1">
        <v>114</v>
      </c>
      <c r="G86" s="1">
        <v>24</v>
      </c>
      <c r="H86" s="1">
        <v>59</v>
      </c>
      <c r="I86" s="1">
        <v>54</v>
      </c>
      <c r="J86" s="1">
        <v>13</v>
      </c>
      <c r="K86" s="1">
        <v>18</v>
      </c>
      <c r="L86" s="1">
        <v>14</v>
      </c>
      <c r="M86" s="1">
        <v>38</v>
      </c>
      <c r="N86" s="1">
        <v>13</v>
      </c>
      <c r="O86" s="1">
        <v>57</v>
      </c>
      <c r="P86" s="1">
        <v>25</v>
      </c>
      <c r="Q86" s="1">
        <v>126</v>
      </c>
      <c r="R86" s="1">
        <v>18</v>
      </c>
      <c r="S86" s="1">
        <v>65</v>
      </c>
      <c r="T86" s="1">
        <v>44</v>
      </c>
      <c r="U86" s="1">
        <v>16</v>
      </c>
      <c r="V86" s="1">
        <v>46</v>
      </c>
      <c r="W86" s="1">
        <v>35</v>
      </c>
      <c r="X86" s="1">
        <v>20</v>
      </c>
      <c r="Y86" s="1">
        <v>21</v>
      </c>
      <c r="Z86" s="1">
        <v>12</v>
      </c>
      <c r="AA86" s="1">
        <v>102</v>
      </c>
      <c r="AB86" s="1">
        <v>16</v>
      </c>
      <c r="AC86" s="1">
        <v>24</v>
      </c>
      <c r="AD86" s="1">
        <v>40</v>
      </c>
      <c r="AE86" s="1">
        <v>39</v>
      </c>
      <c r="AF86" s="18">
        <f t="shared" si="1"/>
        <v>37.966666666666669</v>
      </c>
    </row>
    <row r="87" spans="1:32" x14ac:dyDescent="0.35">
      <c r="A87" s="1" t="s">
        <v>64</v>
      </c>
      <c r="B87" s="1">
        <v>102</v>
      </c>
      <c r="C87" s="1">
        <v>116</v>
      </c>
      <c r="D87" s="1">
        <v>12</v>
      </c>
      <c r="E87" s="1">
        <v>128</v>
      </c>
      <c r="F87" s="1">
        <v>203</v>
      </c>
      <c r="G87" s="1">
        <v>26</v>
      </c>
      <c r="H87" s="1">
        <v>14</v>
      </c>
      <c r="I87" s="1">
        <v>18</v>
      </c>
      <c r="J87" s="1">
        <v>13</v>
      </c>
      <c r="K87" s="1">
        <v>50</v>
      </c>
      <c r="L87" s="1">
        <v>14</v>
      </c>
      <c r="M87" s="1">
        <v>73</v>
      </c>
      <c r="N87" s="1">
        <v>31</v>
      </c>
      <c r="O87" s="1">
        <v>16</v>
      </c>
      <c r="P87" s="1">
        <v>35</v>
      </c>
      <c r="Q87" s="1">
        <v>30</v>
      </c>
      <c r="R87" s="1">
        <v>87</v>
      </c>
      <c r="S87" s="1">
        <v>42</v>
      </c>
      <c r="T87" s="1">
        <v>22</v>
      </c>
      <c r="U87" s="1">
        <v>88</v>
      </c>
      <c r="V87" s="1">
        <v>18</v>
      </c>
      <c r="W87" s="1">
        <v>71</v>
      </c>
      <c r="X87" s="1">
        <v>66</v>
      </c>
      <c r="Y87" s="1">
        <v>50</v>
      </c>
      <c r="Z87" s="1">
        <v>144</v>
      </c>
      <c r="AA87" s="1">
        <v>47</v>
      </c>
      <c r="AB87" s="1">
        <v>20</v>
      </c>
      <c r="AC87" s="1">
        <v>113</v>
      </c>
      <c r="AD87" s="1">
        <v>35</v>
      </c>
      <c r="AE87" s="1">
        <v>26</v>
      </c>
      <c r="AF87" s="18">
        <f t="shared" si="1"/>
        <v>57</v>
      </c>
    </row>
    <row r="88" spans="1:32" x14ac:dyDescent="0.35">
      <c r="A88" s="1" t="s">
        <v>182</v>
      </c>
      <c r="B88" s="1">
        <v>43</v>
      </c>
      <c r="C88" s="1">
        <v>53</v>
      </c>
      <c r="D88" s="1">
        <v>38</v>
      </c>
      <c r="E88" s="1">
        <v>13</v>
      </c>
      <c r="F88" s="1">
        <v>27</v>
      </c>
      <c r="G88" s="1">
        <v>16</v>
      </c>
      <c r="H88" s="1">
        <v>23</v>
      </c>
      <c r="I88" s="1">
        <v>43</v>
      </c>
      <c r="J88" s="1">
        <v>58</v>
      </c>
      <c r="K88" s="1">
        <v>42</v>
      </c>
      <c r="L88" s="1">
        <v>14</v>
      </c>
      <c r="M88" s="1">
        <v>98</v>
      </c>
      <c r="N88" s="1">
        <v>13</v>
      </c>
      <c r="O88" s="1">
        <v>74</v>
      </c>
      <c r="P88" s="1">
        <v>58</v>
      </c>
      <c r="Q88" s="1">
        <v>80</v>
      </c>
      <c r="R88" s="1">
        <v>32</v>
      </c>
      <c r="S88" s="1">
        <v>79</v>
      </c>
      <c r="T88" s="1">
        <v>16</v>
      </c>
      <c r="U88" s="1">
        <v>119</v>
      </c>
      <c r="V88" s="1">
        <v>13</v>
      </c>
      <c r="W88" s="1">
        <v>28</v>
      </c>
      <c r="X88" s="1">
        <v>69</v>
      </c>
      <c r="Y88" s="1">
        <v>24</v>
      </c>
      <c r="Z88" s="1">
        <v>24</v>
      </c>
      <c r="AA88" s="1">
        <v>45</v>
      </c>
      <c r="AB88" s="1">
        <v>49</v>
      </c>
      <c r="AC88" s="1">
        <v>21</v>
      </c>
      <c r="AD88" s="1">
        <v>29</v>
      </c>
      <c r="AE88" s="1">
        <v>13</v>
      </c>
      <c r="AF88" s="18">
        <f t="shared" si="1"/>
        <v>41.8</v>
      </c>
    </row>
    <row r="89" spans="1:32" x14ac:dyDescent="0.35">
      <c r="A89" s="1" t="s">
        <v>65</v>
      </c>
      <c r="B89" s="1">
        <v>105</v>
      </c>
      <c r="C89" s="1">
        <v>17</v>
      </c>
      <c r="D89" s="1">
        <v>97</v>
      </c>
      <c r="E89" s="1">
        <v>21</v>
      </c>
      <c r="F89" s="1">
        <v>35</v>
      </c>
      <c r="G89" s="1">
        <v>14</v>
      </c>
      <c r="H89" s="1">
        <v>73</v>
      </c>
      <c r="I89" s="1">
        <v>79</v>
      </c>
      <c r="J89" s="1">
        <v>37</v>
      </c>
      <c r="K89" s="1">
        <v>123</v>
      </c>
      <c r="L89" s="1">
        <v>28</v>
      </c>
      <c r="M89" s="1">
        <v>17</v>
      </c>
      <c r="N89" s="1">
        <v>54</v>
      </c>
      <c r="O89" s="1">
        <v>17</v>
      </c>
      <c r="P89" s="1">
        <v>70</v>
      </c>
      <c r="Q89" s="1">
        <v>47</v>
      </c>
      <c r="R89" s="1">
        <v>24</v>
      </c>
      <c r="S89" s="1">
        <v>23</v>
      </c>
      <c r="T89" s="1">
        <v>81</v>
      </c>
      <c r="U89" s="1">
        <v>37</v>
      </c>
      <c r="V89" s="1">
        <v>65</v>
      </c>
      <c r="W89" s="1">
        <v>15</v>
      </c>
      <c r="X89" s="1">
        <v>29</v>
      </c>
      <c r="Y89" s="1">
        <v>16</v>
      </c>
      <c r="Z89" s="1">
        <v>13</v>
      </c>
      <c r="AA89" s="1">
        <v>18</v>
      </c>
      <c r="AB89" s="1">
        <v>70</v>
      </c>
      <c r="AC89" s="1">
        <v>14</v>
      </c>
      <c r="AD89" s="1">
        <v>39</v>
      </c>
      <c r="AE89" s="1">
        <v>24</v>
      </c>
      <c r="AF89" s="18">
        <f t="shared" si="1"/>
        <v>43.4</v>
      </c>
    </row>
    <row r="90" spans="1:32" x14ac:dyDescent="0.35">
      <c r="A90" s="1" t="s">
        <v>66</v>
      </c>
      <c r="B90" s="1">
        <v>46</v>
      </c>
      <c r="C90" s="1">
        <v>35</v>
      </c>
      <c r="D90" s="1">
        <v>30</v>
      </c>
      <c r="E90" s="1">
        <v>42</v>
      </c>
      <c r="F90" s="1">
        <v>43</v>
      </c>
      <c r="G90" s="1">
        <v>72</v>
      </c>
      <c r="H90" s="1">
        <v>150</v>
      </c>
      <c r="I90" s="1">
        <v>23</v>
      </c>
      <c r="J90" s="1">
        <v>23</v>
      </c>
      <c r="K90" s="1">
        <v>64</v>
      </c>
      <c r="L90" s="1">
        <v>58</v>
      </c>
      <c r="M90" s="1">
        <v>132</v>
      </c>
      <c r="N90" s="1">
        <v>18</v>
      </c>
      <c r="O90" s="1">
        <v>13</v>
      </c>
      <c r="P90" s="1">
        <v>18</v>
      </c>
      <c r="Q90" s="1">
        <v>53</v>
      </c>
      <c r="R90" s="1">
        <v>21</v>
      </c>
      <c r="S90" s="1">
        <v>26</v>
      </c>
      <c r="T90" s="1">
        <v>57</v>
      </c>
      <c r="U90" s="1">
        <v>76</v>
      </c>
      <c r="V90" s="1">
        <v>53</v>
      </c>
      <c r="W90" s="1">
        <v>50</v>
      </c>
      <c r="X90" s="1">
        <v>41</v>
      </c>
      <c r="Y90" s="1">
        <v>27</v>
      </c>
      <c r="Z90" s="1">
        <v>40</v>
      </c>
      <c r="AA90" s="1">
        <v>66</v>
      </c>
      <c r="AB90" s="1">
        <v>32</v>
      </c>
      <c r="AC90" s="1">
        <v>23</v>
      </c>
      <c r="AD90" s="1">
        <v>40</v>
      </c>
      <c r="AE90" s="1">
        <v>14</v>
      </c>
      <c r="AF90" s="18">
        <f t="shared" si="1"/>
        <v>46.2</v>
      </c>
    </row>
    <row r="91" spans="1:32" x14ac:dyDescent="0.35">
      <c r="A91" s="1" t="s">
        <v>67</v>
      </c>
      <c r="B91" s="1">
        <v>17</v>
      </c>
      <c r="C91" s="1">
        <v>36</v>
      </c>
      <c r="D91" s="1">
        <v>21</v>
      </c>
      <c r="E91" s="1">
        <v>70</v>
      </c>
      <c r="F91" s="1">
        <v>47</v>
      </c>
      <c r="G91" s="1">
        <v>79</v>
      </c>
      <c r="H91" s="1">
        <v>41</v>
      </c>
      <c r="I91" s="1">
        <v>35</v>
      </c>
      <c r="J91" s="1">
        <v>27</v>
      </c>
      <c r="K91" s="1">
        <v>30</v>
      </c>
      <c r="L91" s="1">
        <v>64</v>
      </c>
      <c r="M91" s="1">
        <v>45</v>
      </c>
      <c r="N91" s="1">
        <v>22</v>
      </c>
      <c r="O91" s="1">
        <v>15</v>
      </c>
      <c r="P91" s="1">
        <v>26</v>
      </c>
      <c r="Q91" s="1">
        <v>25</v>
      </c>
      <c r="R91" s="1">
        <v>32</v>
      </c>
      <c r="S91" s="1">
        <v>38</v>
      </c>
      <c r="T91" s="1">
        <v>13</v>
      </c>
      <c r="U91" s="1">
        <v>53</v>
      </c>
      <c r="V91" s="1">
        <v>20</v>
      </c>
      <c r="W91" s="1">
        <v>89</v>
      </c>
      <c r="X91" s="1">
        <v>16</v>
      </c>
      <c r="Y91" s="1">
        <v>104</v>
      </c>
      <c r="Z91" s="1">
        <v>29</v>
      </c>
      <c r="AA91" s="1">
        <v>12</v>
      </c>
      <c r="AB91" s="1">
        <v>53</v>
      </c>
      <c r="AC91" s="1">
        <v>12</v>
      </c>
      <c r="AD91" s="1">
        <v>27</v>
      </c>
      <c r="AE91" s="1">
        <v>26</v>
      </c>
      <c r="AF91" s="18">
        <f t="shared" si="1"/>
        <v>37.466666666666669</v>
      </c>
    </row>
    <row r="92" spans="1:32" x14ac:dyDescent="0.35">
      <c r="A92" s="1" t="s">
        <v>68</v>
      </c>
      <c r="B92" s="1">
        <v>65</v>
      </c>
      <c r="C92" s="1">
        <v>157</v>
      </c>
      <c r="D92" s="1">
        <v>54</v>
      </c>
      <c r="E92" s="1">
        <v>29</v>
      </c>
      <c r="F92" s="1">
        <v>41</v>
      </c>
      <c r="G92" s="1">
        <v>79</v>
      </c>
      <c r="H92" s="1">
        <v>71</v>
      </c>
      <c r="I92" s="1">
        <v>25</v>
      </c>
      <c r="J92" s="1">
        <v>25</v>
      </c>
      <c r="K92" s="1">
        <v>34</v>
      </c>
      <c r="L92" s="1">
        <v>20</v>
      </c>
      <c r="M92" s="1">
        <v>15</v>
      </c>
      <c r="N92" s="1">
        <v>34</v>
      </c>
      <c r="O92" s="1">
        <v>54</v>
      </c>
      <c r="P92" s="1">
        <v>16</v>
      </c>
      <c r="Q92" s="1">
        <v>35</v>
      </c>
      <c r="R92" s="1">
        <v>14</v>
      </c>
      <c r="S92" s="1">
        <v>12</v>
      </c>
      <c r="T92" s="1">
        <v>31</v>
      </c>
      <c r="U92" s="1">
        <v>16</v>
      </c>
      <c r="V92" s="1">
        <v>45</v>
      </c>
      <c r="W92" s="1">
        <v>29</v>
      </c>
      <c r="X92" s="1">
        <v>68</v>
      </c>
      <c r="Y92" s="1">
        <v>21</v>
      </c>
      <c r="Z92" s="1">
        <v>56</v>
      </c>
      <c r="AA92" s="1">
        <v>49</v>
      </c>
      <c r="AB92" s="1">
        <v>61</v>
      </c>
      <c r="AC92" s="1">
        <v>14</v>
      </c>
      <c r="AD92" s="1">
        <v>15</v>
      </c>
      <c r="AE92" s="1">
        <v>15</v>
      </c>
      <c r="AF92" s="18">
        <f t="shared" si="1"/>
        <v>40</v>
      </c>
    </row>
    <row r="93" spans="1:32" x14ac:dyDescent="0.35">
      <c r="A93" s="1" t="s">
        <v>69</v>
      </c>
      <c r="B93" s="1">
        <v>36</v>
      </c>
      <c r="C93" s="1">
        <v>23</v>
      </c>
      <c r="D93" s="1">
        <v>78</v>
      </c>
      <c r="E93" s="1">
        <v>15</v>
      </c>
      <c r="F93" s="1">
        <v>23</v>
      </c>
      <c r="G93" s="1">
        <v>91</v>
      </c>
      <c r="H93" s="1">
        <v>38</v>
      </c>
      <c r="I93" s="1">
        <v>71</v>
      </c>
      <c r="J93" s="1">
        <v>46</v>
      </c>
      <c r="K93" s="1">
        <v>35</v>
      </c>
      <c r="L93" s="1">
        <v>47</v>
      </c>
      <c r="M93" s="1">
        <v>26</v>
      </c>
      <c r="N93" s="1">
        <v>144</v>
      </c>
      <c r="O93" s="1">
        <v>31</v>
      </c>
      <c r="P93" s="1">
        <v>53</v>
      </c>
      <c r="Q93" s="1">
        <v>33</v>
      </c>
      <c r="R93" s="1">
        <v>69</v>
      </c>
      <c r="S93" s="1">
        <v>144</v>
      </c>
      <c r="T93" s="1">
        <v>31</v>
      </c>
      <c r="U93" s="1">
        <v>20</v>
      </c>
      <c r="V93" s="1">
        <v>33</v>
      </c>
      <c r="W93" s="1">
        <v>21</v>
      </c>
      <c r="X93" s="1">
        <v>34</v>
      </c>
      <c r="Y93" s="1">
        <v>72</v>
      </c>
      <c r="Z93" s="1">
        <v>294</v>
      </c>
      <c r="AA93" s="1">
        <v>28</v>
      </c>
      <c r="AB93" s="1">
        <v>126</v>
      </c>
      <c r="AC93" s="1">
        <v>87</v>
      </c>
      <c r="AD93" s="1">
        <v>15</v>
      </c>
      <c r="AE93" s="1">
        <v>20</v>
      </c>
      <c r="AF93" s="18">
        <f t="shared" si="1"/>
        <v>59.466666666666669</v>
      </c>
    </row>
    <row r="94" spans="1:32" x14ac:dyDescent="0.35">
      <c r="A94" s="1" t="s">
        <v>70</v>
      </c>
      <c r="B94" s="1">
        <v>99</v>
      </c>
      <c r="C94" s="1">
        <v>50</v>
      </c>
      <c r="D94" s="1">
        <v>12</v>
      </c>
      <c r="E94" s="1">
        <v>106</v>
      </c>
      <c r="F94" s="1">
        <v>128</v>
      </c>
      <c r="G94" s="1">
        <v>12</v>
      </c>
      <c r="H94" s="1">
        <v>76</v>
      </c>
      <c r="I94" s="1">
        <v>22</v>
      </c>
      <c r="J94" s="1">
        <v>55</v>
      </c>
      <c r="K94" s="1">
        <v>90</v>
      </c>
      <c r="L94" s="1">
        <v>35</v>
      </c>
      <c r="M94" s="1">
        <v>75</v>
      </c>
      <c r="N94" s="1">
        <v>151</v>
      </c>
      <c r="O94" s="1">
        <v>41</v>
      </c>
      <c r="P94" s="1">
        <v>42</v>
      </c>
      <c r="Q94" s="1">
        <v>27</v>
      </c>
      <c r="R94" s="1">
        <v>18</v>
      </c>
      <c r="S94" s="1">
        <v>28</v>
      </c>
      <c r="T94" s="1">
        <v>94</v>
      </c>
      <c r="U94" s="1">
        <v>30</v>
      </c>
      <c r="V94" s="1">
        <v>19</v>
      </c>
      <c r="W94" s="1">
        <v>54</v>
      </c>
      <c r="X94" s="1">
        <v>67</v>
      </c>
      <c r="Y94" s="1">
        <v>109</v>
      </c>
      <c r="Z94" s="1">
        <v>38</v>
      </c>
      <c r="AA94" s="1">
        <v>21</v>
      </c>
      <c r="AB94" s="1">
        <v>105</v>
      </c>
      <c r="AC94" s="1">
        <v>12</v>
      </c>
      <c r="AD94" s="1">
        <v>40</v>
      </c>
      <c r="AE94" s="1">
        <v>128</v>
      </c>
      <c r="AF94" s="18">
        <f t="shared" si="1"/>
        <v>59.466666666666669</v>
      </c>
    </row>
    <row r="95" spans="1:32" x14ac:dyDescent="0.35">
      <c r="A95" s="1" t="s">
        <v>71</v>
      </c>
      <c r="B95" s="1">
        <v>58</v>
      </c>
      <c r="C95" s="1">
        <v>27</v>
      </c>
      <c r="D95" s="1">
        <v>24</v>
      </c>
      <c r="E95" s="1">
        <v>21</v>
      </c>
      <c r="F95" s="1">
        <v>31</v>
      </c>
      <c r="G95" s="1">
        <v>26</v>
      </c>
      <c r="H95" s="1">
        <v>18</v>
      </c>
      <c r="I95" s="1">
        <v>25</v>
      </c>
      <c r="J95" s="1">
        <v>32</v>
      </c>
      <c r="K95" s="1">
        <v>77</v>
      </c>
      <c r="L95" s="1">
        <v>80</v>
      </c>
      <c r="M95" s="1">
        <v>77</v>
      </c>
      <c r="N95" s="1">
        <v>28</v>
      </c>
      <c r="O95" s="1">
        <v>27</v>
      </c>
      <c r="P95" s="1">
        <v>16</v>
      </c>
      <c r="Q95" s="1">
        <v>35</v>
      </c>
      <c r="R95" s="1">
        <v>29</v>
      </c>
      <c r="S95" s="1">
        <v>54</v>
      </c>
      <c r="T95" s="1">
        <v>37</v>
      </c>
      <c r="U95" s="1">
        <v>72</v>
      </c>
      <c r="V95" s="1">
        <v>45</v>
      </c>
      <c r="W95" s="1">
        <v>39</v>
      </c>
      <c r="X95" s="1">
        <v>16</v>
      </c>
      <c r="Y95" s="1">
        <v>30</v>
      </c>
      <c r="Z95" s="1">
        <v>17</v>
      </c>
      <c r="AA95" s="1">
        <v>16</v>
      </c>
      <c r="AB95" s="1">
        <v>72</v>
      </c>
      <c r="AC95" s="1">
        <v>24</v>
      </c>
      <c r="AD95" s="1">
        <v>33</v>
      </c>
      <c r="AE95" s="1">
        <v>30</v>
      </c>
      <c r="AF95" s="18">
        <f t="shared" si="1"/>
        <v>37.200000000000003</v>
      </c>
    </row>
    <row r="96" spans="1:32" x14ac:dyDescent="0.35">
      <c r="A96" s="1" t="s">
        <v>72</v>
      </c>
      <c r="B96" s="1">
        <v>58</v>
      </c>
      <c r="C96" s="1">
        <v>98</v>
      </c>
      <c r="D96" s="1">
        <v>22</v>
      </c>
      <c r="E96" s="1">
        <v>12</v>
      </c>
      <c r="F96" s="1">
        <v>67</v>
      </c>
      <c r="G96" s="1">
        <v>32</v>
      </c>
      <c r="H96" s="1">
        <v>26</v>
      </c>
      <c r="I96" s="1">
        <v>23</v>
      </c>
      <c r="J96" s="1">
        <v>12</v>
      </c>
      <c r="K96" s="1">
        <v>76</v>
      </c>
      <c r="L96" s="1">
        <v>27</v>
      </c>
      <c r="M96" s="1">
        <v>59</v>
      </c>
      <c r="N96" s="1">
        <v>28</v>
      </c>
      <c r="O96" s="1">
        <v>37</v>
      </c>
      <c r="P96" s="1">
        <v>114</v>
      </c>
      <c r="Q96" s="1">
        <v>26</v>
      </c>
      <c r="R96" s="1">
        <v>50</v>
      </c>
      <c r="S96" s="1">
        <v>78</v>
      </c>
      <c r="T96" s="1">
        <v>27</v>
      </c>
      <c r="U96" s="1">
        <v>34</v>
      </c>
      <c r="V96" s="1">
        <v>46</v>
      </c>
      <c r="W96" s="1">
        <v>73</v>
      </c>
      <c r="X96" s="1">
        <v>68</v>
      </c>
      <c r="Y96" s="1">
        <v>82</v>
      </c>
      <c r="Z96" s="1">
        <v>107</v>
      </c>
      <c r="AA96" s="1">
        <v>29</v>
      </c>
      <c r="AB96" s="1">
        <v>37</v>
      </c>
      <c r="AC96" s="1">
        <v>40</v>
      </c>
      <c r="AD96" s="1">
        <v>12</v>
      </c>
      <c r="AE96" s="1">
        <v>32</v>
      </c>
      <c r="AF96" s="18">
        <f t="shared" si="1"/>
        <v>47.733333333333334</v>
      </c>
    </row>
    <row r="97" spans="1:32" x14ac:dyDescent="0.35">
      <c r="A97" s="1" t="s">
        <v>73</v>
      </c>
      <c r="B97" s="1">
        <v>51</v>
      </c>
      <c r="C97" s="1">
        <v>57</v>
      </c>
      <c r="D97" s="1">
        <v>48</v>
      </c>
      <c r="E97" s="1">
        <v>22</v>
      </c>
      <c r="F97" s="1">
        <v>60</v>
      </c>
      <c r="G97" s="1">
        <v>24</v>
      </c>
      <c r="H97" s="1">
        <v>87</v>
      </c>
      <c r="I97" s="1">
        <v>16</v>
      </c>
      <c r="J97" s="1">
        <v>55</v>
      </c>
      <c r="K97" s="1">
        <v>13</v>
      </c>
      <c r="L97" s="1">
        <v>93</v>
      </c>
      <c r="M97" s="1">
        <v>72</v>
      </c>
      <c r="N97" s="1">
        <v>18</v>
      </c>
      <c r="O97" s="1">
        <v>32</v>
      </c>
      <c r="P97" s="1">
        <v>63</v>
      </c>
      <c r="Q97" s="1">
        <v>57</v>
      </c>
      <c r="R97" s="1">
        <v>40</v>
      </c>
      <c r="S97" s="1">
        <v>105</v>
      </c>
      <c r="T97" s="1">
        <v>286</v>
      </c>
      <c r="U97" s="1">
        <v>24</v>
      </c>
      <c r="V97" s="1">
        <v>13</v>
      </c>
      <c r="W97" s="1">
        <v>32</v>
      </c>
      <c r="X97" s="1">
        <v>44</v>
      </c>
      <c r="Y97" s="1">
        <v>86</v>
      </c>
      <c r="Z97" s="1">
        <v>58</v>
      </c>
      <c r="AA97" s="1">
        <v>51</v>
      </c>
      <c r="AB97" s="1">
        <v>48</v>
      </c>
      <c r="AC97" s="1">
        <v>71</v>
      </c>
      <c r="AD97" s="1">
        <v>34</v>
      </c>
      <c r="AE97" s="1">
        <v>193</v>
      </c>
      <c r="AF97" s="18">
        <f t="shared" si="1"/>
        <v>61.766666666666666</v>
      </c>
    </row>
    <row r="98" spans="1:32" x14ac:dyDescent="0.35">
      <c r="A98" s="1" t="s">
        <v>74</v>
      </c>
      <c r="B98" s="1">
        <v>140</v>
      </c>
      <c r="C98" s="1">
        <v>79</v>
      </c>
      <c r="D98" s="1">
        <v>13</v>
      </c>
      <c r="E98" s="1">
        <v>19</v>
      </c>
      <c r="F98" s="1">
        <v>30</v>
      </c>
      <c r="G98" s="1">
        <v>22</v>
      </c>
      <c r="H98" s="1">
        <v>51</v>
      </c>
      <c r="I98" s="1">
        <v>59</v>
      </c>
      <c r="J98" s="1">
        <v>38</v>
      </c>
      <c r="K98" s="1">
        <v>18</v>
      </c>
      <c r="L98" s="1">
        <v>23</v>
      </c>
      <c r="M98" s="1">
        <v>237</v>
      </c>
      <c r="N98" s="1">
        <v>37</v>
      </c>
      <c r="O98" s="1">
        <v>64</v>
      </c>
      <c r="P98" s="1">
        <v>58</v>
      </c>
      <c r="Q98" s="1">
        <v>20</v>
      </c>
      <c r="R98" s="1">
        <v>52</v>
      </c>
      <c r="S98" s="1">
        <v>52</v>
      </c>
      <c r="T98" s="1">
        <v>124</v>
      </c>
      <c r="U98" s="1">
        <v>61</v>
      </c>
      <c r="V98" s="1">
        <v>14</v>
      </c>
      <c r="W98" s="1">
        <v>78</v>
      </c>
      <c r="X98" s="1">
        <v>24</v>
      </c>
      <c r="Y98" s="1">
        <v>16</v>
      </c>
      <c r="Z98" s="1">
        <v>99</v>
      </c>
      <c r="AA98" s="1">
        <v>23</v>
      </c>
      <c r="AB98" s="1">
        <v>47</v>
      </c>
      <c r="AC98" s="1">
        <v>14</v>
      </c>
      <c r="AD98" s="1">
        <v>109</v>
      </c>
      <c r="AE98" s="1">
        <v>15</v>
      </c>
      <c r="AF98" s="18">
        <f t="shared" si="1"/>
        <v>54.533333333333331</v>
      </c>
    </row>
    <row r="99" spans="1:32" x14ac:dyDescent="0.35">
      <c r="A99" s="1" t="s">
        <v>75</v>
      </c>
      <c r="B99" s="1">
        <v>28</v>
      </c>
      <c r="C99" s="1">
        <v>94</v>
      </c>
      <c r="D99" s="1">
        <v>47</v>
      </c>
      <c r="E99" s="1">
        <v>98</v>
      </c>
      <c r="F99" s="1">
        <v>39</v>
      </c>
      <c r="G99" s="1">
        <v>22</v>
      </c>
      <c r="H99" s="1">
        <v>75</v>
      </c>
      <c r="I99" s="1">
        <v>53</v>
      </c>
      <c r="J99" s="1">
        <v>14</v>
      </c>
      <c r="K99" s="1">
        <v>24</v>
      </c>
      <c r="L99" s="1">
        <v>13</v>
      </c>
      <c r="M99" s="1">
        <v>15</v>
      </c>
      <c r="N99" s="1">
        <v>37</v>
      </c>
      <c r="O99" s="1">
        <v>38</v>
      </c>
      <c r="P99" s="1">
        <v>36</v>
      </c>
      <c r="Q99" s="1">
        <v>16</v>
      </c>
      <c r="R99" s="1">
        <v>113</v>
      </c>
      <c r="S99" s="1">
        <v>25</v>
      </c>
      <c r="T99" s="1">
        <v>35</v>
      </c>
      <c r="U99" s="1">
        <v>59</v>
      </c>
      <c r="V99" s="1">
        <v>15</v>
      </c>
      <c r="W99" s="1">
        <v>30</v>
      </c>
      <c r="X99" s="1">
        <v>24</v>
      </c>
      <c r="Y99" s="1">
        <v>12</v>
      </c>
      <c r="Z99" s="1">
        <v>55</v>
      </c>
      <c r="AA99" s="1">
        <v>22</v>
      </c>
      <c r="AB99" s="1">
        <v>100</v>
      </c>
      <c r="AC99" s="1">
        <v>43</v>
      </c>
      <c r="AD99" s="1">
        <v>33</v>
      </c>
      <c r="AE99" s="1">
        <v>54</v>
      </c>
      <c r="AF99" s="18">
        <f t="shared" si="1"/>
        <v>42.3</v>
      </c>
    </row>
    <row r="100" spans="1:32" x14ac:dyDescent="0.35">
      <c r="A100" s="1" t="s">
        <v>76</v>
      </c>
      <c r="B100" s="1">
        <v>80</v>
      </c>
      <c r="C100" s="1">
        <v>31</v>
      </c>
      <c r="D100" s="1">
        <v>50</v>
      </c>
      <c r="E100" s="1">
        <v>44</v>
      </c>
      <c r="F100" s="1">
        <v>277</v>
      </c>
      <c r="G100" s="1">
        <v>72</v>
      </c>
      <c r="H100" s="1">
        <v>51</v>
      </c>
      <c r="I100" s="1">
        <v>16</v>
      </c>
      <c r="J100" s="1">
        <v>21</v>
      </c>
      <c r="K100" s="1">
        <v>218</v>
      </c>
      <c r="L100" s="1">
        <v>110</v>
      </c>
      <c r="M100" s="1">
        <v>70</v>
      </c>
      <c r="N100" s="1">
        <v>15</v>
      </c>
      <c r="O100" s="1">
        <v>18</v>
      </c>
      <c r="P100" s="1">
        <v>27</v>
      </c>
      <c r="Q100" s="1">
        <v>105</v>
      </c>
      <c r="R100" s="1">
        <v>51</v>
      </c>
      <c r="S100" s="1">
        <v>46</v>
      </c>
      <c r="T100" s="1">
        <v>85</v>
      </c>
      <c r="U100" s="1">
        <v>54</v>
      </c>
      <c r="V100" s="1">
        <v>16</v>
      </c>
      <c r="W100" s="1">
        <v>33</v>
      </c>
      <c r="X100" s="1">
        <v>130</v>
      </c>
      <c r="Y100" s="1">
        <v>40</v>
      </c>
      <c r="Z100" s="1">
        <v>27</v>
      </c>
      <c r="AA100" s="1">
        <v>48</v>
      </c>
      <c r="AB100" s="1">
        <v>237</v>
      </c>
      <c r="AC100" s="1">
        <v>45</v>
      </c>
      <c r="AD100" s="1">
        <v>23</v>
      </c>
      <c r="AE100" s="1">
        <v>16</v>
      </c>
      <c r="AF100" s="18">
        <f t="shared" si="1"/>
        <v>68.533333333333331</v>
      </c>
    </row>
    <row r="101" spans="1:32" x14ac:dyDescent="0.35">
      <c r="A101" s="1" t="s">
        <v>77</v>
      </c>
      <c r="B101" s="1">
        <v>42</v>
      </c>
      <c r="C101" s="1">
        <v>46</v>
      </c>
      <c r="D101" s="1">
        <v>33</v>
      </c>
      <c r="E101" s="1">
        <v>39</v>
      </c>
      <c r="F101" s="1">
        <v>20</v>
      </c>
      <c r="G101" s="1">
        <v>32</v>
      </c>
      <c r="H101" s="1">
        <v>12</v>
      </c>
      <c r="I101" s="1">
        <v>42</v>
      </c>
      <c r="J101" s="1">
        <v>45</v>
      </c>
      <c r="K101" s="1">
        <v>19</v>
      </c>
      <c r="L101" s="1">
        <v>56</v>
      </c>
      <c r="M101" s="1">
        <v>40</v>
      </c>
      <c r="N101" s="1">
        <v>20</v>
      </c>
      <c r="O101" s="1">
        <v>40</v>
      </c>
      <c r="P101" s="1">
        <v>32</v>
      </c>
      <c r="Q101" s="1">
        <v>13</v>
      </c>
      <c r="R101" s="1">
        <v>21</v>
      </c>
      <c r="S101" s="1">
        <v>55</v>
      </c>
      <c r="T101" s="1">
        <v>18</v>
      </c>
      <c r="U101" s="1">
        <v>25</v>
      </c>
      <c r="V101" s="1">
        <v>93</v>
      </c>
      <c r="W101" s="1">
        <v>77</v>
      </c>
      <c r="X101" s="1">
        <v>13</v>
      </c>
      <c r="Y101" s="1">
        <v>51</v>
      </c>
      <c r="Z101" s="1">
        <v>16</v>
      </c>
      <c r="AA101" s="1">
        <v>30</v>
      </c>
      <c r="AB101" s="1">
        <v>19</v>
      </c>
      <c r="AC101" s="1">
        <v>13</v>
      </c>
      <c r="AD101" s="1">
        <v>19</v>
      </c>
      <c r="AE101" s="1">
        <v>27</v>
      </c>
      <c r="AF101" s="18">
        <f t="shared" si="1"/>
        <v>33.6</v>
      </c>
    </row>
    <row r="102" spans="1:32" x14ac:dyDescent="0.35">
      <c r="A102" s="1" t="s">
        <v>78</v>
      </c>
      <c r="B102" s="1">
        <v>164</v>
      </c>
      <c r="C102" s="1">
        <v>27</v>
      </c>
      <c r="D102" s="1">
        <v>44</v>
      </c>
      <c r="E102" s="1">
        <v>36</v>
      </c>
      <c r="F102" s="1">
        <v>188</v>
      </c>
      <c r="G102" s="1">
        <v>15</v>
      </c>
      <c r="H102" s="1">
        <v>17</v>
      </c>
      <c r="I102" s="1">
        <v>29</v>
      </c>
      <c r="J102" s="1">
        <v>48</v>
      </c>
      <c r="K102" s="1">
        <v>141</v>
      </c>
      <c r="L102" s="1">
        <v>69</v>
      </c>
      <c r="M102" s="1">
        <v>18</v>
      </c>
      <c r="N102" s="1">
        <v>57</v>
      </c>
      <c r="O102" s="1">
        <v>79</v>
      </c>
      <c r="P102" s="1">
        <v>34</v>
      </c>
      <c r="Q102" s="1">
        <v>18</v>
      </c>
      <c r="R102" s="1">
        <v>39</v>
      </c>
      <c r="S102" s="1">
        <v>15</v>
      </c>
      <c r="T102" s="1">
        <v>35</v>
      </c>
      <c r="U102" s="1">
        <v>36</v>
      </c>
      <c r="V102" s="1">
        <v>27</v>
      </c>
      <c r="W102" s="1">
        <v>126</v>
      </c>
      <c r="X102" s="1">
        <v>168</v>
      </c>
      <c r="Y102" s="1">
        <v>37</v>
      </c>
      <c r="Z102" s="1">
        <v>74</v>
      </c>
      <c r="AA102" s="1">
        <v>15</v>
      </c>
      <c r="AB102" s="1">
        <v>156</v>
      </c>
      <c r="AC102" s="1">
        <v>74</v>
      </c>
      <c r="AD102" s="1">
        <v>30</v>
      </c>
      <c r="AE102" s="1">
        <v>42</v>
      </c>
      <c r="AF102" s="18">
        <f t="shared" si="1"/>
        <v>61.93333333333333</v>
      </c>
    </row>
    <row r="103" spans="1:32" x14ac:dyDescent="0.35">
      <c r="A103" s="1" t="s">
        <v>79</v>
      </c>
      <c r="B103" s="1">
        <v>42</v>
      </c>
      <c r="C103" s="1">
        <v>13</v>
      </c>
      <c r="D103" s="1">
        <v>106</v>
      </c>
      <c r="E103" s="1">
        <v>12</v>
      </c>
      <c r="F103" s="1">
        <v>18</v>
      </c>
      <c r="G103" s="1">
        <v>35</v>
      </c>
      <c r="H103" s="1">
        <v>13</v>
      </c>
      <c r="I103" s="1">
        <v>57</v>
      </c>
      <c r="J103" s="1">
        <v>30</v>
      </c>
      <c r="K103" s="1">
        <v>30</v>
      </c>
      <c r="L103" s="1">
        <v>93</v>
      </c>
      <c r="M103" s="1">
        <v>52</v>
      </c>
      <c r="N103" s="1">
        <v>45</v>
      </c>
      <c r="O103" s="1">
        <v>55</v>
      </c>
      <c r="P103" s="1">
        <v>48</v>
      </c>
      <c r="Q103" s="1">
        <v>17</v>
      </c>
      <c r="R103" s="1">
        <v>83</v>
      </c>
      <c r="S103" s="1">
        <v>39</v>
      </c>
      <c r="T103" s="1">
        <v>26</v>
      </c>
      <c r="U103" s="1">
        <v>114</v>
      </c>
      <c r="V103" s="1">
        <v>32</v>
      </c>
      <c r="W103" s="1">
        <v>64</v>
      </c>
      <c r="X103" s="1">
        <v>33</v>
      </c>
      <c r="Y103" s="1">
        <v>28</v>
      </c>
      <c r="Z103" s="1">
        <v>64</v>
      </c>
      <c r="AA103" s="1">
        <v>67</v>
      </c>
      <c r="AB103" s="1">
        <v>84</v>
      </c>
      <c r="AC103" s="1">
        <v>91</v>
      </c>
      <c r="AD103" s="1">
        <v>79</v>
      </c>
      <c r="AE103" s="1">
        <v>91</v>
      </c>
      <c r="AF103" s="18">
        <f t="shared" si="1"/>
        <v>52.033333333333331</v>
      </c>
    </row>
    <row r="104" spans="1:32" x14ac:dyDescent="0.35">
      <c r="A104" s="1" t="s">
        <v>183</v>
      </c>
      <c r="B104" s="1">
        <v>51</v>
      </c>
      <c r="C104" s="1">
        <v>72</v>
      </c>
      <c r="D104" s="1">
        <v>19</v>
      </c>
      <c r="E104" s="1">
        <v>62</v>
      </c>
      <c r="F104" s="1">
        <v>53</v>
      </c>
      <c r="G104" s="1">
        <v>18</v>
      </c>
      <c r="H104" s="1">
        <v>21</v>
      </c>
      <c r="I104" s="1">
        <v>64</v>
      </c>
      <c r="J104" s="1">
        <v>31</v>
      </c>
      <c r="K104" s="1">
        <v>26</v>
      </c>
      <c r="L104" s="1">
        <v>49</v>
      </c>
      <c r="M104" s="1">
        <v>20</v>
      </c>
      <c r="N104" s="1">
        <v>39</v>
      </c>
      <c r="O104" s="1">
        <v>56</v>
      </c>
      <c r="P104" s="1">
        <v>79</v>
      </c>
      <c r="Q104" s="1">
        <v>28</v>
      </c>
      <c r="R104" s="1">
        <v>26</v>
      </c>
      <c r="S104" s="1">
        <v>45</v>
      </c>
      <c r="T104" s="1">
        <v>17</v>
      </c>
      <c r="U104" s="1">
        <v>58</v>
      </c>
      <c r="V104" s="1">
        <v>17</v>
      </c>
      <c r="W104" s="1">
        <v>47</v>
      </c>
      <c r="X104" s="1">
        <v>15</v>
      </c>
      <c r="Y104" s="1">
        <v>72</v>
      </c>
      <c r="Z104" s="1">
        <v>12</v>
      </c>
      <c r="AA104" s="1">
        <v>31</v>
      </c>
      <c r="AB104" s="1">
        <v>79</v>
      </c>
      <c r="AC104" s="1">
        <v>110</v>
      </c>
      <c r="AD104" s="1">
        <v>65</v>
      </c>
      <c r="AE104" s="1">
        <v>17</v>
      </c>
      <c r="AF104" s="18">
        <f t="shared" si="1"/>
        <v>43.3</v>
      </c>
    </row>
    <row r="105" spans="1:32" x14ac:dyDescent="0.35">
      <c r="A105" s="1" t="s">
        <v>80</v>
      </c>
      <c r="B105" s="1">
        <v>59</v>
      </c>
      <c r="C105" s="1">
        <v>78</v>
      </c>
      <c r="D105" s="1">
        <v>23</v>
      </c>
      <c r="E105" s="1">
        <v>82</v>
      </c>
      <c r="F105" s="1">
        <v>71</v>
      </c>
      <c r="G105" s="1">
        <v>90</v>
      </c>
      <c r="H105" s="1">
        <v>30</v>
      </c>
      <c r="I105" s="1">
        <v>217</v>
      </c>
      <c r="J105" s="1">
        <v>45</v>
      </c>
      <c r="K105" s="1">
        <v>25</v>
      </c>
      <c r="L105" s="1">
        <v>30</v>
      </c>
      <c r="M105" s="1">
        <v>14</v>
      </c>
      <c r="N105" s="1">
        <v>43</v>
      </c>
      <c r="O105" s="1">
        <v>35</v>
      </c>
      <c r="P105" s="1">
        <v>38</v>
      </c>
      <c r="Q105" s="1">
        <v>28</v>
      </c>
      <c r="R105" s="1">
        <v>106</v>
      </c>
      <c r="S105" s="1">
        <v>28</v>
      </c>
      <c r="T105" s="1">
        <v>67</v>
      </c>
      <c r="U105" s="1">
        <v>29</v>
      </c>
      <c r="V105" s="1">
        <v>22</v>
      </c>
      <c r="W105" s="1">
        <v>62</v>
      </c>
      <c r="X105" s="1">
        <v>77</v>
      </c>
      <c r="Y105" s="1">
        <v>17</v>
      </c>
      <c r="Z105" s="1">
        <v>32</v>
      </c>
      <c r="AA105" s="1">
        <v>39</v>
      </c>
      <c r="AB105" s="1">
        <v>64</v>
      </c>
      <c r="AC105" s="1">
        <v>69</v>
      </c>
      <c r="AD105" s="1">
        <v>35</v>
      </c>
      <c r="AE105" s="1">
        <v>25</v>
      </c>
      <c r="AF105" s="18">
        <f t="shared" si="1"/>
        <v>52.666666666666664</v>
      </c>
    </row>
    <row r="106" spans="1:32" x14ac:dyDescent="0.35">
      <c r="A106" s="1" t="s">
        <v>81</v>
      </c>
      <c r="B106" s="1">
        <v>36</v>
      </c>
      <c r="C106" s="1">
        <v>41</v>
      </c>
      <c r="D106" s="1">
        <v>53</v>
      </c>
      <c r="E106" s="1">
        <v>25</v>
      </c>
      <c r="F106" s="1">
        <v>67</v>
      </c>
      <c r="G106" s="1">
        <v>130</v>
      </c>
      <c r="H106" s="1">
        <v>104</v>
      </c>
      <c r="I106" s="1">
        <v>48</v>
      </c>
      <c r="J106" s="1">
        <v>91</v>
      </c>
      <c r="K106" s="1">
        <v>72</v>
      </c>
      <c r="L106" s="1">
        <v>96</v>
      </c>
      <c r="M106" s="1">
        <v>34</v>
      </c>
      <c r="N106" s="1">
        <v>20</v>
      </c>
      <c r="O106" s="1">
        <v>22</v>
      </c>
      <c r="P106" s="1">
        <v>62</v>
      </c>
      <c r="Q106" s="1">
        <v>77</v>
      </c>
      <c r="R106" s="1">
        <v>177</v>
      </c>
      <c r="S106" s="1">
        <v>35</v>
      </c>
      <c r="T106" s="1">
        <v>79</v>
      </c>
      <c r="U106" s="1">
        <v>61</v>
      </c>
      <c r="V106" s="1">
        <v>17</v>
      </c>
      <c r="W106" s="1">
        <v>91</v>
      </c>
      <c r="X106" s="1">
        <v>37</v>
      </c>
      <c r="Y106" s="1">
        <v>74</v>
      </c>
      <c r="Z106" s="1">
        <v>220</v>
      </c>
      <c r="AA106" s="1">
        <v>29</v>
      </c>
      <c r="AB106" s="1">
        <v>47</v>
      </c>
      <c r="AC106" s="1">
        <v>15</v>
      </c>
      <c r="AD106" s="1">
        <v>97</v>
      </c>
      <c r="AE106" s="1">
        <v>24</v>
      </c>
      <c r="AF106" s="18">
        <f t="shared" si="1"/>
        <v>66.033333333333331</v>
      </c>
    </row>
    <row r="107" spans="1:32" x14ac:dyDescent="0.35">
      <c r="A107" s="1" t="s">
        <v>82</v>
      </c>
      <c r="B107" s="1">
        <v>21</v>
      </c>
      <c r="C107" s="1">
        <v>21</v>
      </c>
      <c r="D107" s="1">
        <v>40</v>
      </c>
      <c r="E107" s="1">
        <v>20</v>
      </c>
      <c r="F107" s="1">
        <v>24</v>
      </c>
      <c r="G107" s="1">
        <v>26</v>
      </c>
      <c r="H107" s="1">
        <v>27</v>
      </c>
      <c r="I107" s="1">
        <v>97</v>
      </c>
      <c r="J107" s="1">
        <v>53</v>
      </c>
      <c r="K107" s="1">
        <v>17</v>
      </c>
      <c r="L107" s="1">
        <v>39</v>
      </c>
      <c r="M107" s="1">
        <v>33</v>
      </c>
      <c r="N107" s="1">
        <v>69</v>
      </c>
      <c r="O107" s="1">
        <v>38</v>
      </c>
      <c r="P107" s="1">
        <v>23</v>
      </c>
      <c r="Q107" s="1">
        <v>24</v>
      </c>
      <c r="R107" s="1">
        <v>47</v>
      </c>
      <c r="S107" s="1">
        <v>26</v>
      </c>
      <c r="T107" s="1">
        <v>70</v>
      </c>
      <c r="U107" s="1">
        <v>15</v>
      </c>
      <c r="V107" s="1">
        <v>14</v>
      </c>
      <c r="W107" s="1">
        <v>17</v>
      </c>
      <c r="X107" s="1">
        <v>52</v>
      </c>
      <c r="Y107" s="1">
        <v>61</v>
      </c>
      <c r="Z107" s="1">
        <v>36</v>
      </c>
      <c r="AA107" s="1">
        <v>74</v>
      </c>
      <c r="AB107" s="1">
        <v>21</v>
      </c>
      <c r="AC107" s="1">
        <v>43</v>
      </c>
      <c r="AD107" s="1">
        <v>61</v>
      </c>
      <c r="AE107" s="1">
        <v>15</v>
      </c>
      <c r="AF107" s="18">
        <f t="shared" si="1"/>
        <v>37.466666666666669</v>
      </c>
    </row>
    <row r="108" spans="1:32" x14ac:dyDescent="0.35">
      <c r="A108" s="1" t="s">
        <v>83</v>
      </c>
      <c r="B108" s="1">
        <v>233</v>
      </c>
      <c r="C108" s="1">
        <v>14</v>
      </c>
      <c r="D108" s="1">
        <v>16</v>
      </c>
      <c r="E108" s="1">
        <v>49</v>
      </c>
      <c r="F108" s="1">
        <v>22</v>
      </c>
      <c r="G108" s="1">
        <v>138</v>
      </c>
      <c r="H108" s="1">
        <v>62</v>
      </c>
      <c r="I108" s="1">
        <v>98</v>
      </c>
      <c r="J108" s="1">
        <v>12</v>
      </c>
      <c r="K108" s="1">
        <v>73</v>
      </c>
      <c r="L108" s="1">
        <v>300</v>
      </c>
      <c r="M108" s="1">
        <v>17</v>
      </c>
      <c r="N108" s="1">
        <v>63</v>
      </c>
      <c r="O108" s="1">
        <v>106</v>
      </c>
      <c r="P108" s="1">
        <v>35</v>
      </c>
      <c r="Q108" s="1">
        <v>137</v>
      </c>
      <c r="R108" s="1">
        <v>243</v>
      </c>
      <c r="S108" s="1">
        <v>53</v>
      </c>
      <c r="T108" s="1">
        <v>100</v>
      </c>
      <c r="U108" s="1">
        <v>20</v>
      </c>
      <c r="V108" s="1">
        <v>55</v>
      </c>
      <c r="W108" s="1">
        <v>279</v>
      </c>
      <c r="X108" s="1">
        <v>89</v>
      </c>
      <c r="Y108" s="1">
        <v>42</v>
      </c>
      <c r="Z108" s="1">
        <v>14</v>
      </c>
      <c r="AA108" s="1">
        <v>186</v>
      </c>
      <c r="AB108" s="1">
        <v>62</v>
      </c>
      <c r="AC108" s="1">
        <v>38</v>
      </c>
      <c r="AD108" s="1">
        <v>48</v>
      </c>
      <c r="AE108" s="1">
        <v>68</v>
      </c>
      <c r="AF108" s="18">
        <f t="shared" si="1"/>
        <v>89.066666666666663</v>
      </c>
    </row>
    <row r="109" spans="1:32" x14ac:dyDescent="0.35">
      <c r="A109" s="1" t="s">
        <v>84</v>
      </c>
      <c r="B109" s="1">
        <v>47</v>
      </c>
      <c r="C109" s="1">
        <v>18</v>
      </c>
      <c r="D109" s="1">
        <v>215</v>
      </c>
      <c r="E109" s="1">
        <v>84</v>
      </c>
      <c r="F109" s="1">
        <v>31</v>
      </c>
      <c r="G109" s="1">
        <v>24</v>
      </c>
      <c r="H109" s="1">
        <v>42</v>
      </c>
      <c r="I109" s="1">
        <v>13</v>
      </c>
      <c r="J109" s="1">
        <v>34</v>
      </c>
      <c r="K109" s="1">
        <v>80</v>
      </c>
      <c r="L109" s="1">
        <v>61</v>
      </c>
      <c r="M109" s="1">
        <v>41</v>
      </c>
      <c r="N109" s="1">
        <v>91</v>
      </c>
      <c r="O109" s="1">
        <v>39</v>
      </c>
      <c r="P109" s="1">
        <v>13</v>
      </c>
      <c r="Q109" s="1">
        <v>34</v>
      </c>
      <c r="R109" s="1">
        <v>140</v>
      </c>
      <c r="S109" s="1">
        <v>68</v>
      </c>
      <c r="T109" s="1">
        <v>44</v>
      </c>
      <c r="U109" s="1">
        <v>15</v>
      </c>
      <c r="V109" s="1">
        <v>137</v>
      </c>
      <c r="W109" s="1">
        <v>12</v>
      </c>
      <c r="X109" s="1">
        <v>63</v>
      </c>
      <c r="Y109" s="1">
        <v>44</v>
      </c>
      <c r="Z109" s="1">
        <v>42</v>
      </c>
      <c r="AA109" s="1">
        <v>96</v>
      </c>
      <c r="AB109" s="1">
        <v>94</v>
      </c>
      <c r="AC109" s="1">
        <v>22</v>
      </c>
      <c r="AD109" s="1">
        <v>13</v>
      </c>
      <c r="AE109" s="1">
        <v>40</v>
      </c>
      <c r="AF109" s="18">
        <f t="shared" si="1"/>
        <v>56.56666666666667</v>
      </c>
    </row>
    <row r="110" spans="1:32" x14ac:dyDescent="0.35">
      <c r="A110" s="1" t="s">
        <v>85</v>
      </c>
      <c r="B110" s="1">
        <v>59</v>
      </c>
      <c r="C110" s="1">
        <v>12</v>
      </c>
      <c r="D110" s="1">
        <v>27</v>
      </c>
      <c r="E110" s="1">
        <v>94</v>
      </c>
      <c r="F110" s="1">
        <v>30</v>
      </c>
      <c r="G110" s="1">
        <v>27</v>
      </c>
      <c r="H110" s="1">
        <v>18</v>
      </c>
      <c r="I110" s="1">
        <v>80</v>
      </c>
      <c r="J110" s="1">
        <v>38</v>
      </c>
      <c r="K110" s="1">
        <v>60</v>
      </c>
      <c r="L110" s="1">
        <v>51</v>
      </c>
      <c r="M110" s="1">
        <v>13</v>
      </c>
      <c r="N110" s="1">
        <v>12</v>
      </c>
      <c r="O110" s="1">
        <v>20</v>
      </c>
      <c r="P110" s="1">
        <v>14</v>
      </c>
      <c r="Q110" s="1">
        <v>55</v>
      </c>
      <c r="R110" s="1">
        <v>73</v>
      </c>
      <c r="S110" s="1">
        <v>12</v>
      </c>
      <c r="T110" s="1">
        <v>24</v>
      </c>
      <c r="U110" s="1">
        <v>31</v>
      </c>
      <c r="V110" s="1">
        <v>35</v>
      </c>
      <c r="W110" s="1">
        <v>40</v>
      </c>
      <c r="X110" s="1">
        <v>28</v>
      </c>
      <c r="Y110" s="1">
        <v>12</v>
      </c>
      <c r="Z110" s="1">
        <v>16</v>
      </c>
      <c r="AA110" s="1">
        <v>61</v>
      </c>
      <c r="AB110" s="1">
        <v>12</v>
      </c>
      <c r="AC110" s="1">
        <v>16</v>
      </c>
      <c r="AD110" s="1">
        <v>38</v>
      </c>
      <c r="AE110" s="1">
        <v>29</v>
      </c>
      <c r="AF110" s="18">
        <f t="shared" si="1"/>
        <v>34.56666666666667</v>
      </c>
    </row>
    <row r="111" spans="1:32" x14ac:dyDescent="0.35">
      <c r="A111" s="1" t="s">
        <v>86</v>
      </c>
      <c r="B111" s="1">
        <v>20</v>
      </c>
      <c r="C111" s="1">
        <v>15</v>
      </c>
      <c r="D111" s="1">
        <v>12</v>
      </c>
      <c r="E111" s="1">
        <v>76</v>
      </c>
      <c r="F111" s="1">
        <v>70</v>
      </c>
      <c r="G111" s="1">
        <v>71</v>
      </c>
      <c r="H111" s="1">
        <v>23</v>
      </c>
      <c r="I111" s="1">
        <v>16</v>
      </c>
      <c r="J111" s="1">
        <v>70</v>
      </c>
      <c r="K111" s="1">
        <v>19</v>
      </c>
      <c r="L111" s="1">
        <v>40</v>
      </c>
      <c r="M111" s="1">
        <v>82</v>
      </c>
      <c r="N111" s="1">
        <v>27</v>
      </c>
      <c r="O111" s="1">
        <v>18</v>
      </c>
      <c r="P111" s="1">
        <v>82</v>
      </c>
      <c r="Q111" s="1">
        <v>15</v>
      </c>
      <c r="R111" s="1">
        <v>65</v>
      </c>
      <c r="S111" s="1">
        <v>31</v>
      </c>
      <c r="T111" s="1">
        <v>37</v>
      </c>
      <c r="U111" s="1">
        <v>47</v>
      </c>
      <c r="V111" s="1">
        <v>46</v>
      </c>
      <c r="W111" s="1">
        <v>78</v>
      </c>
      <c r="X111" s="1">
        <v>81</v>
      </c>
      <c r="Y111" s="1">
        <v>88</v>
      </c>
      <c r="Z111" s="1">
        <v>141</v>
      </c>
      <c r="AA111" s="1">
        <v>38</v>
      </c>
      <c r="AB111" s="1">
        <v>108</v>
      </c>
      <c r="AC111" s="1">
        <v>31</v>
      </c>
      <c r="AD111" s="1">
        <v>12</v>
      </c>
      <c r="AE111" s="1">
        <v>28</v>
      </c>
      <c r="AF111" s="18">
        <f t="shared" si="1"/>
        <v>49.56666666666667</v>
      </c>
    </row>
    <row r="112" spans="1:32" x14ac:dyDescent="0.35">
      <c r="A112" s="1" t="s">
        <v>87</v>
      </c>
      <c r="B112" s="1">
        <v>28</v>
      </c>
      <c r="C112" s="1">
        <v>46</v>
      </c>
      <c r="D112" s="1">
        <v>21</v>
      </c>
      <c r="E112" s="1">
        <v>27</v>
      </c>
      <c r="F112" s="1">
        <v>23</v>
      </c>
      <c r="G112" s="1">
        <v>117</v>
      </c>
      <c r="H112" s="1">
        <v>79</v>
      </c>
      <c r="I112" s="1">
        <v>17</v>
      </c>
      <c r="J112" s="1">
        <v>225</v>
      </c>
      <c r="K112" s="1">
        <v>31</v>
      </c>
      <c r="L112" s="1">
        <v>27</v>
      </c>
      <c r="M112" s="1">
        <v>26</v>
      </c>
      <c r="N112" s="1">
        <v>23</v>
      </c>
      <c r="O112" s="1">
        <v>43</v>
      </c>
      <c r="P112" s="1">
        <v>108</v>
      </c>
      <c r="Q112" s="1">
        <v>42</v>
      </c>
      <c r="R112" s="1">
        <v>44</v>
      </c>
      <c r="S112" s="1">
        <v>22</v>
      </c>
      <c r="T112" s="1">
        <v>45</v>
      </c>
      <c r="U112" s="1">
        <v>38</v>
      </c>
      <c r="V112" s="1">
        <v>89</v>
      </c>
      <c r="W112" s="1">
        <v>121</v>
      </c>
      <c r="X112" s="1">
        <v>50</v>
      </c>
      <c r="Y112" s="1">
        <v>84</v>
      </c>
      <c r="Z112" s="1">
        <v>19</v>
      </c>
      <c r="AA112" s="1">
        <v>56</v>
      </c>
      <c r="AB112" s="1">
        <v>24</v>
      </c>
      <c r="AC112" s="1">
        <v>46</v>
      </c>
      <c r="AD112" s="1">
        <v>70</v>
      </c>
      <c r="AE112" s="1">
        <v>12</v>
      </c>
      <c r="AF112" s="18">
        <f t="shared" si="1"/>
        <v>53.43333333333333</v>
      </c>
    </row>
    <row r="113" spans="1:32" x14ac:dyDescent="0.35">
      <c r="A113" s="1" t="s">
        <v>88</v>
      </c>
      <c r="B113" s="1">
        <v>86</v>
      </c>
      <c r="C113" s="1">
        <v>84</v>
      </c>
      <c r="D113" s="1">
        <v>45</v>
      </c>
      <c r="E113" s="1">
        <v>15</v>
      </c>
      <c r="F113" s="1">
        <v>97</v>
      </c>
      <c r="G113" s="1">
        <v>27</v>
      </c>
      <c r="H113" s="1">
        <v>51</v>
      </c>
      <c r="I113" s="1">
        <v>52</v>
      </c>
      <c r="J113" s="1">
        <v>24</v>
      </c>
      <c r="K113" s="1">
        <v>85</v>
      </c>
      <c r="L113" s="1">
        <v>63</v>
      </c>
      <c r="M113" s="1">
        <v>58</v>
      </c>
      <c r="N113" s="1">
        <v>14</v>
      </c>
      <c r="O113" s="1">
        <v>73</v>
      </c>
      <c r="P113" s="1">
        <v>28</v>
      </c>
      <c r="Q113" s="1">
        <v>64</v>
      </c>
      <c r="R113" s="1">
        <v>12</v>
      </c>
      <c r="S113" s="1">
        <v>21</v>
      </c>
      <c r="T113" s="1">
        <v>59</v>
      </c>
      <c r="U113" s="1">
        <v>47</v>
      </c>
      <c r="V113" s="1">
        <v>62</v>
      </c>
      <c r="W113" s="1">
        <v>16</v>
      </c>
      <c r="X113" s="1">
        <v>92</v>
      </c>
      <c r="Y113" s="1">
        <v>37</v>
      </c>
      <c r="Z113" s="1">
        <v>45</v>
      </c>
      <c r="AA113" s="1">
        <v>18</v>
      </c>
      <c r="AB113" s="1">
        <v>68</v>
      </c>
      <c r="AC113" s="1">
        <v>102</v>
      </c>
      <c r="AD113" s="1">
        <v>90</v>
      </c>
      <c r="AE113" s="1">
        <v>51</v>
      </c>
      <c r="AF113" s="18">
        <f t="shared" si="1"/>
        <v>52.866666666666667</v>
      </c>
    </row>
    <row r="114" spans="1:32" x14ac:dyDescent="0.35">
      <c r="A114" s="1" t="s">
        <v>89</v>
      </c>
      <c r="B114" s="1">
        <v>21</v>
      </c>
      <c r="C114" s="1">
        <v>52</v>
      </c>
      <c r="D114" s="1">
        <v>37</v>
      </c>
      <c r="E114" s="1">
        <v>59</v>
      </c>
      <c r="F114" s="1">
        <v>134</v>
      </c>
      <c r="G114" s="1">
        <v>39</v>
      </c>
      <c r="H114" s="1">
        <v>113</v>
      </c>
      <c r="I114" s="1">
        <v>70</v>
      </c>
      <c r="J114" s="1">
        <v>37</v>
      </c>
      <c r="K114" s="1">
        <v>125</v>
      </c>
      <c r="L114" s="1">
        <v>72</v>
      </c>
      <c r="M114" s="1">
        <v>55</v>
      </c>
      <c r="N114" s="1">
        <v>19</v>
      </c>
      <c r="O114" s="1">
        <v>38</v>
      </c>
      <c r="P114" s="1">
        <v>133</v>
      </c>
      <c r="Q114" s="1">
        <v>22</v>
      </c>
      <c r="R114" s="1">
        <v>70</v>
      </c>
      <c r="S114" s="1">
        <v>65</v>
      </c>
      <c r="T114" s="1">
        <v>65</v>
      </c>
      <c r="U114" s="1">
        <v>225</v>
      </c>
      <c r="V114" s="1">
        <v>25</v>
      </c>
      <c r="W114" s="1">
        <v>132</v>
      </c>
      <c r="X114" s="1">
        <v>110</v>
      </c>
      <c r="Y114" s="1">
        <v>110</v>
      </c>
      <c r="Z114" s="1">
        <v>88</v>
      </c>
      <c r="AA114" s="1">
        <v>100</v>
      </c>
      <c r="AB114" s="1">
        <v>41</v>
      </c>
      <c r="AC114" s="1">
        <v>43</v>
      </c>
      <c r="AD114" s="1">
        <v>46</v>
      </c>
      <c r="AE114" s="1">
        <v>101</v>
      </c>
      <c r="AF114" s="18">
        <f t="shared" si="1"/>
        <v>74.900000000000006</v>
      </c>
    </row>
    <row r="115" spans="1:32" x14ac:dyDescent="0.35">
      <c r="A115" s="1" t="s">
        <v>196</v>
      </c>
      <c r="B115" s="1">
        <v>64</v>
      </c>
      <c r="C115" s="1">
        <v>115</v>
      </c>
      <c r="D115" s="1">
        <v>52</v>
      </c>
      <c r="E115" s="1">
        <v>107</v>
      </c>
      <c r="F115" s="1">
        <v>72</v>
      </c>
      <c r="G115" s="1">
        <v>116</v>
      </c>
      <c r="H115" s="1">
        <v>99</v>
      </c>
      <c r="I115" s="1">
        <v>25</v>
      </c>
      <c r="J115" s="1">
        <v>50</v>
      </c>
      <c r="K115" s="1">
        <v>77</v>
      </c>
      <c r="L115" s="1">
        <v>87</v>
      </c>
      <c r="M115" s="1">
        <v>80</v>
      </c>
      <c r="N115" s="1">
        <v>52</v>
      </c>
      <c r="O115" s="1">
        <v>29</v>
      </c>
      <c r="P115" s="1">
        <v>22</v>
      </c>
      <c r="Q115" s="1">
        <v>140</v>
      </c>
      <c r="R115" s="1">
        <v>16</v>
      </c>
      <c r="S115" s="1">
        <v>72</v>
      </c>
      <c r="T115" s="1">
        <v>53</v>
      </c>
      <c r="U115" s="1">
        <v>55</v>
      </c>
      <c r="V115" s="1">
        <v>26</v>
      </c>
      <c r="W115" s="1">
        <v>131</v>
      </c>
      <c r="X115" s="1">
        <v>27</v>
      </c>
      <c r="Y115" s="1">
        <v>45</v>
      </c>
      <c r="Z115" s="1">
        <v>161</v>
      </c>
      <c r="AA115" s="1">
        <v>60</v>
      </c>
      <c r="AB115" s="1">
        <v>37</v>
      </c>
      <c r="AC115" s="1">
        <v>195</v>
      </c>
      <c r="AD115" s="1">
        <v>18</v>
      </c>
      <c r="AE115" s="1">
        <v>28</v>
      </c>
      <c r="AF115" s="18">
        <f t="shared" si="1"/>
        <v>70.36666666666666</v>
      </c>
    </row>
    <row r="116" spans="1:32" x14ac:dyDescent="0.35">
      <c r="A116" s="1" t="s">
        <v>90</v>
      </c>
      <c r="B116" s="1">
        <v>12</v>
      </c>
      <c r="C116" s="1">
        <v>60</v>
      </c>
      <c r="D116" s="1">
        <v>19</v>
      </c>
      <c r="E116" s="1">
        <v>62</v>
      </c>
      <c r="F116" s="1">
        <v>24</v>
      </c>
      <c r="G116" s="1">
        <v>31</v>
      </c>
      <c r="H116" s="1">
        <v>138</v>
      </c>
      <c r="I116" s="1">
        <v>71</v>
      </c>
      <c r="J116" s="1">
        <v>25</v>
      </c>
      <c r="K116" s="1">
        <v>43</v>
      </c>
      <c r="L116" s="1">
        <v>25</v>
      </c>
      <c r="M116" s="1">
        <v>14</v>
      </c>
      <c r="N116" s="1">
        <v>20</v>
      </c>
      <c r="O116" s="1">
        <v>44</v>
      </c>
      <c r="P116" s="1">
        <v>28</v>
      </c>
      <c r="Q116" s="1">
        <v>39</v>
      </c>
      <c r="R116" s="1">
        <v>15</v>
      </c>
      <c r="S116" s="1">
        <v>19</v>
      </c>
      <c r="T116" s="1">
        <v>15</v>
      </c>
      <c r="U116" s="1">
        <v>18</v>
      </c>
      <c r="V116" s="1">
        <v>62</v>
      </c>
      <c r="W116" s="1">
        <v>46</v>
      </c>
      <c r="X116" s="1">
        <v>42</v>
      </c>
      <c r="Y116" s="1">
        <v>27</v>
      </c>
      <c r="Z116" s="1">
        <v>26</v>
      </c>
      <c r="AA116" s="1">
        <v>16</v>
      </c>
      <c r="AB116" s="1">
        <v>43</v>
      </c>
      <c r="AC116" s="1">
        <v>20</v>
      </c>
      <c r="AD116" s="1">
        <v>67</v>
      </c>
      <c r="AE116" s="1">
        <v>13</v>
      </c>
      <c r="AF116" s="18">
        <f t="shared" si="1"/>
        <v>36.133333333333333</v>
      </c>
    </row>
    <row r="117" spans="1:32" x14ac:dyDescent="0.35">
      <c r="A117" s="1" t="s">
        <v>91</v>
      </c>
      <c r="B117" s="1">
        <v>85</v>
      </c>
      <c r="C117" s="1">
        <v>56</v>
      </c>
      <c r="D117" s="1">
        <v>96</v>
      </c>
      <c r="E117" s="1">
        <v>87</v>
      </c>
      <c r="F117" s="1">
        <v>105</v>
      </c>
      <c r="G117" s="1">
        <v>33</v>
      </c>
      <c r="H117" s="1">
        <v>64</v>
      </c>
      <c r="I117" s="1">
        <v>25</v>
      </c>
      <c r="J117" s="1">
        <v>110</v>
      </c>
      <c r="K117" s="1">
        <v>78</v>
      </c>
      <c r="L117" s="1">
        <v>16</v>
      </c>
      <c r="M117" s="1">
        <v>25</v>
      </c>
      <c r="N117" s="1">
        <v>32</v>
      </c>
      <c r="O117" s="1">
        <v>85</v>
      </c>
      <c r="P117" s="1">
        <v>53</v>
      </c>
      <c r="Q117" s="1">
        <v>73</v>
      </c>
      <c r="R117" s="1">
        <v>29</v>
      </c>
      <c r="S117" s="1">
        <v>42</v>
      </c>
      <c r="T117" s="1">
        <v>52</v>
      </c>
      <c r="U117" s="1">
        <v>24</v>
      </c>
      <c r="V117" s="1">
        <v>117</v>
      </c>
      <c r="W117" s="1">
        <v>55</v>
      </c>
      <c r="X117" s="1">
        <v>24</v>
      </c>
      <c r="Y117" s="1">
        <v>57</v>
      </c>
      <c r="Z117" s="1">
        <v>31</v>
      </c>
      <c r="AA117" s="1">
        <v>32</v>
      </c>
      <c r="AB117" s="1">
        <v>79</v>
      </c>
      <c r="AC117" s="1">
        <v>116</v>
      </c>
      <c r="AD117" s="1">
        <v>191</v>
      </c>
      <c r="AE117" s="1">
        <v>45</v>
      </c>
      <c r="AF117" s="18">
        <f t="shared" si="1"/>
        <v>63.9</v>
      </c>
    </row>
    <row r="118" spans="1:32" x14ac:dyDescent="0.35">
      <c r="A118" s="1" t="s">
        <v>92</v>
      </c>
      <c r="B118" s="1">
        <v>13</v>
      </c>
      <c r="C118" s="1">
        <v>56</v>
      </c>
      <c r="D118" s="1">
        <v>45</v>
      </c>
      <c r="E118" s="1">
        <v>66</v>
      </c>
      <c r="F118" s="1">
        <v>48</v>
      </c>
      <c r="G118" s="1">
        <v>22</v>
      </c>
      <c r="H118" s="1">
        <v>47</v>
      </c>
      <c r="I118" s="1">
        <v>12</v>
      </c>
      <c r="J118" s="1">
        <v>40</v>
      </c>
      <c r="K118" s="1">
        <v>72</v>
      </c>
      <c r="L118" s="1">
        <v>13</v>
      </c>
      <c r="M118" s="1">
        <v>18</v>
      </c>
      <c r="N118" s="1">
        <v>29</v>
      </c>
      <c r="O118" s="1">
        <v>76</v>
      </c>
      <c r="P118" s="1">
        <v>13</v>
      </c>
      <c r="Q118" s="1">
        <v>23</v>
      </c>
      <c r="R118" s="1">
        <v>19</v>
      </c>
      <c r="S118" s="1">
        <v>29</v>
      </c>
      <c r="T118" s="1">
        <v>38</v>
      </c>
      <c r="U118" s="1">
        <v>101</v>
      </c>
      <c r="V118" s="1">
        <v>64</v>
      </c>
      <c r="W118" s="1">
        <v>22</v>
      </c>
      <c r="X118" s="1">
        <v>119</v>
      </c>
      <c r="Y118" s="1">
        <v>56</v>
      </c>
      <c r="Z118" s="1">
        <v>110</v>
      </c>
      <c r="AA118" s="1">
        <v>24</v>
      </c>
      <c r="AB118" s="1">
        <v>53</v>
      </c>
      <c r="AC118" s="1">
        <v>23</v>
      </c>
      <c r="AD118" s="1">
        <v>71</v>
      </c>
      <c r="AE118" s="1">
        <v>28</v>
      </c>
      <c r="AF118" s="18">
        <f t="shared" si="1"/>
        <v>45</v>
      </c>
    </row>
    <row r="119" spans="1:32" x14ac:dyDescent="0.35">
      <c r="A119" s="1" t="s">
        <v>93</v>
      </c>
      <c r="B119" s="1">
        <v>73</v>
      </c>
      <c r="C119" s="1">
        <v>72</v>
      </c>
      <c r="D119" s="1">
        <v>37</v>
      </c>
      <c r="E119" s="1">
        <v>251</v>
      </c>
      <c r="F119" s="1">
        <v>37</v>
      </c>
      <c r="G119" s="1">
        <v>173</v>
      </c>
      <c r="H119" s="1">
        <v>54</v>
      </c>
      <c r="I119" s="1">
        <v>18</v>
      </c>
      <c r="J119" s="1">
        <v>179</v>
      </c>
      <c r="K119" s="1">
        <v>60</v>
      </c>
      <c r="L119" s="1">
        <v>50</v>
      </c>
      <c r="M119" s="1">
        <v>48</v>
      </c>
      <c r="N119" s="1">
        <v>46</v>
      </c>
      <c r="O119" s="1">
        <v>24</v>
      </c>
      <c r="P119" s="1">
        <v>105</v>
      </c>
      <c r="Q119" s="1">
        <v>46</v>
      </c>
      <c r="R119" s="1">
        <v>58</v>
      </c>
      <c r="S119" s="1">
        <v>57</v>
      </c>
      <c r="T119" s="1">
        <v>31</v>
      </c>
      <c r="U119" s="1">
        <v>100</v>
      </c>
      <c r="V119" s="1">
        <v>24</v>
      </c>
      <c r="W119" s="1">
        <v>47</v>
      </c>
      <c r="X119" s="1">
        <v>14</v>
      </c>
      <c r="Y119" s="1">
        <v>105</v>
      </c>
      <c r="Z119" s="1">
        <v>92</v>
      </c>
      <c r="AA119" s="1">
        <v>14</v>
      </c>
      <c r="AB119" s="1">
        <v>43</v>
      </c>
      <c r="AC119" s="1">
        <v>33</v>
      </c>
      <c r="AD119" s="1">
        <v>41</v>
      </c>
      <c r="AE119" s="1">
        <v>181</v>
      </c>
      <c r="AF119" s="18">
        <f t="shared" si="1"/>
        <v>70.433333333333337</v>
      </c>
    </row>
    <row r="120" spans="1:32" x14ac:dyDescent="0.35">
      <c r="A120" s="1" t="s">
        <v>94</v>
      </c>
      <c r="B120" s="1">
        <v>57</v>
      </c>
      <c r="C120" s="1">
        <v>41</v>
      </c>
      <c r="D120" s="1">
        <v>42</v>
      </c>
      <c r="E120" s="1">
        <v>39</v>
      </c>
      <c r="F120" s="1">
        <v>21</v>
      </c>
      <c r="G120" s="1">
        <v>81</v>
      </c>
      <c r="H120" s="1">
        <v>82</v>
      </c>
      <c r="I120" s="1">
        <v>65</v>
      </c>
      <c r="J120" s="1">
        <v>24</v>
      </c>
      <c r="K120" s="1">
        <v>22</v>
      </c>
      <c r="L120" s="1">
        <v>65</v>
      </c>
      <c r="M120" s="1">
        <v>43</v>
      </c>
      <c r="N120" s="1">
        <v>97</v>
      </c>
      <c r="O120" s="1">
        <v>125</v>
      </c>
      <c r="P120" s="1">
        <v>28</v>
      </c>
      <c r="Q120" s="1">
        <v>12</v>
      </c>
      <c r="R120" s="1">
        <v>28</v>
      </c>
      <c r="S120" s="1">
        <v>34</v>
      </c>
      <c r="T120" s="1">
        <v>20</v>
      </c>
      <c r="U120" s="1">
        <v>45</v>
      </c>
      <c r="V120" s="1">
        <v>72</v>
      </c>
      <c r="W120" s="1">
        <v>16</v>
      </c>
      <c r="X120" s="1">
        <v>62</v>
      </c>
      <c r="Y120" s="1">
        <v>30</v>
      </c>
      <c r="Z120" s="1">
        <v>16</v>
      </c>
      <c r="AA120" s="1">
        <v>74</v>
      </c>
      <c r="AB120" s="1">
        <v>23</v>
      </c>
      <c r="AC120" s="1">
        <v>29</v>
      </c>
      <c r="AD120" s="1">
        <v>39</v>
      </c>
      <c r="AE120" s="1">
        <v>15</v>
      </c>
      <c r="AF120" s="18">
        <f t="shared" si="1"/>
        <v>44.9</v>
      </c>
    </row>
    <row r="121" spans="1:32" x14ac:dyDescent="0.35">
      <c r="A121" s="1" t="s">
        <v>95</v>
      </c>
      <c r="B121" s="1">
        <v>129</v>
      </c>
      <c r="C121" s="1">
        <v>102</v>
      </c>
      <c r="D121" s="1">
        <v>34</v>
      </c>
      <c r="E121" s="1">
        <v>21</v>
      </c>
      <c r="F121" s="1">
        <v>168</v>
      </c>
      <c r="G121" s="1">
        <v>38</v>
      </c>
      <c r="H121" s="1">
        <v>18</v>
      </c>
      <c r="I121" s="1">
        <v>134</v>
      </c>
      <c r="J121" s="1">
        <v>87</v>
      </c>
      <c r="K121" s="1">
        <v>106</v>
      </c>
      <c r="L121" s="1">
        <v>86</v>
      </c>
      <c r="M121" s="1">
        <v>33</v>
      </c>
      <c r="N121" s="1">
        <v>38</v>
      </c>
      <c r="O121" s="1">
        <v>125</v>
      </c>
      <c r="P121" s="1">
        <v>333</v>
      </c>
      <c r="Q121" s="1">
        <v>80</v>
      </c>
      <c r="R121" s="1">
        <v>24</v>
      </c>
      <c r="S121" s="1">
        <v>36</v>
      </c>
      <c r="T121" s="1">
        <v>247</v>
      </c>
      <c r="U121" s="1">
        <v>40</v>
      </c>
      <c r="V121" s="1">
        <v>13</v>
      </c>
      <c r="W121" s="1">
        <v>143</v>
      </c>
      <c r="X121" s="1">
        <v>27</v>
      </c>
      <c r="Y121" s="1">
        <v>329</v>
      </c>
      <c r="Z121" s="1">
        <v>74</v>
      </c>
      <c r="AA121" s="1">
        <v>14</v>
      </c>
      <c r="AB121" s="1">
        <v>17</v>
      </c>
      <c r="AC121" s="1">
        <v>21</v>
      </c>
      <c r="AD121" s="1">
        <v>64</v>
      </c>
      <c r="AE121" s="1">
        <v>93</v>
      </c>
      <c r="AF121" s="18">
        <f t="shared" si="1"/>
        <v>89.13333333333334</v>
      </c>
    </row>
    <row r="122" spans="1:32" x14ac:dyDescent="0.35">
      <c r="A122" s="1" t="s">
        <v>96</v>
      </c>
      <c r="B122" s="1">
        <v>18</v>
      </c>
      <c r="C122" s="1">
        <v>57</v>
      </c>
      <c r="D122" s="1">
        <v>14</v>
      </c>
      <c r="E122" s="1">
        <v>85</v>
      </c>
      <c r="F122" s="1">
        <v>85</v>
      </c>
      <c r="G122" s="1">
        <v>26</v>
      </c>
      <c r="H122" s="1">
        <v>98</v>
      </c>
      <c r="I122" s="1">
        <v>23</v>
      </c>
      <c r="J122" s="1">
        <v>92</v>
      </c>
      <c r="K122" s="1">
        <v>59</v>
      </c>
      <c r="L122" s="1">
        <v>17</v>
      </c>
      <c r="M122" s="1">
        <v>44</v>
      </c>
      <c r="N122" s="1">
        <v>170</v>
      </c>
      <c r="O122" s="1">
        <v>174</v>
      </c>
      <c r="P122" s="1">
        <v>33</v>
      </c>
      <c r="Q122" s="1">
        <v>110</v>
      </c>
      <c r="R122" s="1">
        <v>31</v>
      </c>
      <c r="S122" s="1">
        <v>34</v>
      </c>
      <c r="T122" s="1">
        <v>47</v>
      </c>
      <c r="U122" s="1">
        <v>17</v>
      </c>
      <c r="V122" s="1">
        <v>22</v>
      </c>
      <c r="W122" s="1">
        <v>186</v>
      </c>
      <c r="X122" s="1">
        <v>34</v>
      </c>
      <c r="Y122" s="1">
        <v>20</v>
      </c>
      <c r="Z122" s="1">
        <v>66</v>
      </c>
      <c r="AA122" s="1">
        <v>93</v>
      </c>
      <c r="AB122" s="1">
        <v>73</v>
      </c>
      <c r="AC122" s="1">
        <v>47</v>
      </c>
      <c r="AD122" s="1">
        <v>36</v>
      </c>
      <c r="AE122" s="1">
        <v>63</v>
      </c>
      <c r="AF122" s="18">
        <f t="shared" si="1"/>
        <v>62.466666666666669</v>
      </c>
    </row>
    <row r="123" spans="1:32" x14ac:dyDescent="0.35">
      <c r="A123" s="1" t="s">
        <v>97</v>
      </c>
      <c r="B123" s="1">
        <v>18</v>
      </c>
      <c r="C123" s="1">
        <v>14</v>
      </c>
      <c r="D123" s="1">
        <v>42</v>
      </c>
      <c r="E123" s="1">
        <v>14</v>
      </c>
      <c r="F123" s="1">
        <v>14</v>
      </c>
      <c r="G123" s="1">
        <v>29</v>
      </c>
      <c r="H123" s="1">
        <v>78</v>
      </c>
      <c r="I123" s="1">
        <v>21</v>
      </c>
      <c r="J123" s="1">
        <v>21</v>
      </c>
      <c r="K123" s="1">
        <v>28</v>
      </c>
      <c r="L123" s="1">
        <v>36</v>
      </c>
      <c r="M123" s="1">
        <v>13</v>
      </c>
      <c r="N123" s="1">
        <v>36</v>
      </c>
      <c r="O123" s="1">
        <v>31</v>
      </c>
      <c r="P123" s="1">
        <v>33</v>
      </c>
      <c r="Q123" s="1">
        <v>26</v>
      </c>
      <c r="R123" s="1">
        <v>12</v>
      </c>
      <c r="S123" s="1">
        <v>24</v>
      </c>
      <c r="T123" s="1">
        <v>12</v>
      </c>
      <c r="U123" s="1">
        <v>20</v>
      </c>
      <c r="V123" s="1">
        <v>15</v>
      </c>
      <c r="W123" s="1">
        <v>43</v>
      </c>
      <c r="X123" s="1">
        <v>26</v>
      </c>
      <c r="Y123" s="1">
        <v>27</v>
      </c>
      <c r="Z123" s="1">
        <v>34</v>
      </c>
      <c r="AA123" s="1">
        <v>74</v>
      </c>
      <c r="AB123" s="1">
        <v>12</v>
      </c>
      <c r="AC123" s="1">
        <v>15</v>
      </c>
      <c r="AD123" s="1">
        <v>13</v>
      </c>
      <c r="AE123" s="1">
        <v>12</v>
      </c>
      <c r="AF123" s="18">
        <f t="shared" si="1"/>
        <v>26.433333333333334</v>
      </c>
    </row>
    <row r="124" spans="1:32" x14ac:dyDescent="0.35">
      <c r="A124" s="1" t="s">
        <v>98</v>
      </c>
      <c r="B124" s="1">
        <v>37</v>
      </c>
      <c r="C124" s="1">
        <v>39</v>
      </c>
      <c r="D124" s="1">
        <v>58</v>
      </c>
      <c r="E124" s="1">
        <v>14</v>
      </c>
      <c r="F124" s="1">
        <v>27</v>
      </c>
      <c r="G124" s="1">
        <v>14</v>
      </c>
      <c r="H124" s="1">
        <v>28</v>
      </c>
      <c r="I124" s="1">
        <v>41</v>
      </c>
      <c r="J124" s="1">
        <v>34</v>
      </c>
      <c r="K124" s="1">
        <v>19</v>
      </c>
      <c r="L124" s="1">
        <v>24</v>
      </c>
      <c r="M124" s="1">
        <v>13</v>
      </c>
      <c r="N124" s="1">
        <v>25</v>
      </c>
      <c r="O124" s="1">
        <v>254</v>
      </c>
      <c r="P124" s="1">
        <v>33</v>
      </c>
      <c r="Q124" s="1">
        <v>50</v>
      </c>
      <c r="R124" s="1">
        <v>156</v>
      </c>
      <c r="S124" s="1">
        <v>25</v>
      </c>
      <c r="T124" s="1">
        <v>20</v>
      </c>
      <c r="U124" s="1">
        <v>124</v>
      </c>
      <c r="V124" s="1">
        <v>21</v>
      </c>
      <c r="W124" s="1">
        <v>24</v>
      </c>
      <c r="X124" s="1">
        <v>69</v>
      </c>
      <c r="Y124" s="1">
        <v>166</v>
      </c>
      <c r="Z124" s="1">
        <v>26</v>
      </c>
      <c r="AA124" s="1">
        <v>70</v>
      </c>
      <c r="AB124" s="1">
        <v>68</v>
      </c>
      <c r="AC124" s="1">
        <v>15</v>
      </c>
      <c r="AD124" s="1">
        <v>24</v>
      </c>
      <c r="AE124" s="1">
        <v>65</v>
      </c>
      <c r="AF124" s="18">
        <f t="shared" si="1"/>
        <v>52.766666666666666</v>
      </c>
    </row>
    <row r="125" spans="1:32" x14ac:dyDescent="0.35">
      <c r="A125" s="1" t="s">
        <v>184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8">
        <f t="shared" si="1"/>
        <v>0</v>
      </c>
    </row>
    <row r="126" spans="1:32" x14ac:dyDescent="0.35">
      <c r="A126" s="1" t="s">
        <v>99</v>
      </c>
      <c r="B126" s="1">
        <v>110</v>
      </c>
      <c r="C126" s="1">
        <v>38</v>
      </c>
      <c r="D126" s="1">
        <v>247</v>
      </c>
      <c r="E126" s="1">
        <v>26</v>
      </c>
      <c r="F126" s="1">
        <v>76</v>
      </c>
      <c r="G126" s="1">
        <v>104</v>
      </c>
      <c r="H126" s="1">
        <v>50</v>
      </c>
      <c r="I126" s="1">
        <v>16</v>
      </c>
      <c r="J126" s="1">
        <v>52</v>
      </c>
      <c r="K126" s="1">
        <v>157</v>
      </c>
      <c r="L126" s="1">
        <v>23</v>
      </c>
      <c r="M126" s="1">
        <v>104</v>
      </c>
      <c r="N126" s="1">
        <v>47</v>
      </c>
      <c r="O126" s="1">
        <v>168</v>
      </c>
      <c r="P126" s="1">
        <v>47</v>
      </c>
      <c r="Q126" s="1">
        <v>77</v>
      </c>
      <c r="R126" s="1">
        <v>98</v>
      </c>
      <c r="S126" s="1">
        <v>37</v>
      </c>
      <c r="T126" s="1">
        <v>22</v>
      </c>
      <c r="U126" s="1">
        <v>37</v>
      </c>
      <c r="V126" s="1">
        <v>97</v>
      </c>
      <c r="W126" s="1">
        <v>176</v>
      </c>
      <c r="X126" s="1">
        <v>127</v>
      </c>
      <c r="Y126" s="1">
        <v>202</v>
      </c>
      <c r="Z126" s="1">
        <v>158</v>
      </c>
      <c r="AA126" s="1">
        <v>96</v>
      </c>
      <c r="AB126" s="1">
        <v>44</v>
      </c>
      <c r="AC126" s="1">
        <v>145</v>
      </c>
      <c r="AD126" s="1">
        <v>107</v>
      </c>
      <c r="AE126" s="1">
        <v>164</v>
      </c>
      <c r="AF126" s="18">
        <f t="shared" si="1"/>
        <v>95.066666666666663</v>
      </c>
    </row>
    <row r="127" spans="1:32" x14ac:dyDescent="0.35">
      <c r="A127" s="1" t="s">
        <v>100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8">
        <f t="shared" si="1"/>
        <v>0</v>
      </c>
    </row>
    <row r="128" spans="1:32" x14ac:dyDescent="0.35">
      <c r="A128" s="1" t="s">
        <v>101</v>
      </c>
      <c r="B128" s="1">
        <v>75</v>
      </c>
      <c r="C128" s="1">
        <v>40</v>
      </c>
      <c r="D128" s="1">
        <v>70</v>
      </c>
      <c r="E128" s="1">
        <v>84</v>
      </c>
      <c r="F128" s="1">
        <v>54</v>
      </c>
      <c r="G128" s="1">
        <v>48</v>
      </c>
      <c r="H128" s="1">
        <v>22</v>
      </c>
      <c r="I128" s="1">
        <v>175</v>
      </c>
      <c r="J128" s="1">
        <v>39</v>
      </c>
      <c r="K128" s="1">
        <v>101</v>
      </c>
      <c r="L128" s="1">
        <v>72</v>
      </c>
      <c r="M128" s="1">
        <v>54</v>
      </c>
      <c r="N128" s="1">
        <v>51</v>
      </c>
      <c r="O128" s="1">
        <v>66</v>
      </c>
      <c r="P128" s="1">
        <v>146</v>
      </c>
      <c r="Q128" s="1">
        <v>38</v>
      </c>
      <c r="R128" s="1">
        <v>38</v>
      </c>
      <c r="S128" s="1">
        <v>51</v>
      </c>
      <c r="T128" s="1">
        <v>65</v>
      </c>
      <c r="U128" s="1">
        <v>24</v>
      </c>
      <c r="V128" s="1">
        <v>16</v>
      </c>
      <c r="W128" s="1">
        <v>44</v>
      </c>
      <c r="X128" s="1">
        <v>25</v>
      </c>
      <c r="Y128" s="1">
        <v>13</v>
      </c>
      <c r="Z128" s="1">
        <v>30</v>
      </c>
      <c r="AA128" s="1">
        <v>126</v>
      </c>
      <c r="AB128" s="1">
        <v>231</v>
      </c>
      <c r="AC128" s="1">
        <v>31</v>
      </c>
      <c r="AD128" s="1">
        <v>42</v>
      </c>
      <c r="AE128" s="1">
        <v>52</v>
      </c>
      <c r="AF128" s="18">
        <f t="shared" si="1"/>
        <v>64.099999999999994</v>
      </c>
    </row>
    <row r="129" spans="1:32" x14ac:dyDescent="0.35">
      <c r="A129" s="1" t="s">
        <v>185</v>
      </c>
      <c r="B129" s="1">
        <v>26</v>
      </c>
      <c r="C129" s="1">
        <v>46</v>
      </c>
      <c r="D129" s="1">
        <v>13</v>
      </c>
      <c r="E129" s="1">
        <v>114</v>
      </c>
      <c r="F129" s="1">
        <v>49</v>
      </c>
      <c r="G129" s="1">
        <v>19</v>
      </c>
      <c r="H129" s="1">
        <v>77</v>
      </c>
      <c r="I129" s="1">
        <v>51</v>
      </c>
      <c r="J129" s="1">
        <v>33</v>
      </c>
      <c r="K129" s="1">
        <v>165</v>
      </c>
      <c r="L129" s="1">
        <v>45</v>
      </c>
      <c r="M129" s="1">
        <v>35</v>
      </c>
      <c r="N129" s="1">
        <v>192</v>
      </c>
      <c r="O129" s="1">
        <v>72</v>
      </c>
      <c r="P129" s="1">
        <v>74</v>
      </c>
      <c r="Q129" s="1">
        <v>19</v>
      </c>
      <c r="R129" s="1">
        <v>17</v>
      </c>
      <c r="S129" s="1">
        <v>204</v>
      </c>
      <c r="T129" s="1">
        <v>144</v>
      </c>
      <c r="U129" s="1">
        <v>55</v>
      </c>
      <c r="V129" s="1">
        <v>35</v>
      </c>
      <c r="W129" s="1">
        <v>29</v>
      </c>
      <c r="X129" s="1">
        <v>224</v>
      </c>
      <c r="Y129" s="1">
        <v>82</v>
      </c>
      <c r="Z129" s="1">
        <v>17</v>
      </c>
      <c r="AA129" s="1">
        <v>43</v>
      </c>
      <c r="AB129" s="1">
        <v>66</v>
      </c>
      <c r="AC129" s="1">
        <v>96</v>
      </c>
      <c r="AD129" s="1">
        <v>74</v>
      </c>
      <c r="AE129" s="1">
        <v>43</v>
      </c>
      <c r="AF129" s="18">
        <f t="shared" si="1"/>
        <v>71.966666666666669</v>
      </c>
    </row>
    <row r="130" spans="1:32" x14ac:dyDescent="0.35">
      <c r="A130" s="1" t="s">
        <v>102</v>
      </c>
      <c r="B130" s="1">
        <v>229</v>
      </c>
      <c r="C130" s="1">
        <v>47</v>
      </c>
      <c r="D130" s="1">
        <v>24</v>
      </c>
      <c r="E130" s="1">
        <v>87</v>
      </c>
      <c r="F130" s="1">
        <v>21</v>
      </c>
      <c r="G130" s="1">
        <v>59</v>
      </c>
      <c r="H130" s="1">
        <v>29</v>
      </c>
      <c r="I130" s="1">
        <v>34</v>
      </c>
      <c r="J130" s="1">
        <v>22</v>
      </c>
      <c r="K130" s="1">
        <v>13</v>
      </c>
      <c r="L130" s="1">
        <v>52</v>
      </c>
      <c r="M130" s="1">
        <v>54</v>
      </c>
      <c r="N130" s="1">
        <v>130</v>
      </c>
      <c r="O130" s="1">
        <v>86</v>
      </c>
      <c r="P130" s="1">
        <v>121</v>
      </c>
      <c r="Q130" s="1">
        <v>76</v>
      </c>
      <c r="R130" s="1">
        <v>75</v>
      </c>
      <c r="S130" s="1">
        <v>64</v>
      </c>
      <c r="T130" s="1">
        <v>134</v>
      </c>
      <c r="U130" s="1">
        <v>49</v>
      </c>
      <c r="V130" s="1">
        <v>16</v>
      </c>
      <c r="W130" s="1">
        <v>76</v>
      </c>
      <c r="X130" s="1">
        <v>25</v>
      </c>
      <c r="Y130" s="1">
        <v>286</v>
      </c>
      <c r="Z130" s="1">
        <v>50</v>
      </c>
      <c r="AA130" s="1">
        <v>40</v>
      </c>
      <c r="AB130" s="1">
        <v>47</v>
      </c>
      <c r="AC130" s="1">
        <v>240</v>
      </c>
      <c r="AD130" s="1">
        <v>130</v>
      </c>
      <c r="AE130" s="1">
        <v>23</v>
      </c>
      <c r="AF130" s="18">
        <f t="shared" si="1"/>
        <v>77.966666666666669</v>
      </c>
    </row>
    <row r="131" spans="1:32" x14ac:dyDescent="0.35">
      <c r="A131" s="1" t="s">
        <v>103</v>
      </c>
      <c r="B131" s="1">
        <v>40</v>
      </c>
      <c r="C131" s="1">
        <v>83</v>
      </c>
      <c r="D131" s="1">
        <v>37</v>
      </c>
      <c r="E131" s="1">
        <v>86</v>
      </c>
      <c r="F131" s="1">
        <v>78</v>
      </c>
      <c r="G131" s="1">
        <v>13</v>
      </c>
      <c r="H131" s="1">
        <v>16</v>
      </c>
      <c r="I131" s="1">
        <v>47</v>
      </c>
      <c r="J131" s="1">
        <v>60</v>
      </c>
      <c r="K131" s="1">
        <v>31</v>
      </c>
      <c r="L131" s="1">
        <v>40</v>
      </c>
      <c r="M131" s="1">
        <v>171</v>
      </c>
      <c r="N131" s="1">
        <v>59</v>
      </c>
      <c r="O131" s="1">
        <v>98</v>
      </c>
      <c r="P131" s="1">
        <v>69</v>
      </c>
      <c r="Q131" s="1">
        <v>51</v>
      </c>
      <c r="R131" s="1">
        <v>44</v>
      </c>
      <c r="S131" s="1">
        <v>114</v>
      </c>
      <c r="T131" s="1">
        <v>29</v>
      </c>
      <c r="U131" s="1">
        <v>45</v>
      </c>
      <c r="V131" s="1">
        <v>22</v>
      </c>
      <c r="W131" s="1">
        <v>80</v>
      </c>
      <c r="X131" s="1">
        <v>163</v>
      </c>
      <c r="Y131" s="1">
        <v>12</v>
      </c>
      <c r="Z131" s="1">
        <v>228</v>
      </c>
      <c r="AA131" s="1">
        <v>123</v>
      </c>
      <c r="AB131" s="1">
        <v>37</v>
      </c>
      <c r="AC131" s="1">
        <v>279</v>
      </c>
      <c r="AD131" s="1">
        <v>95</v>
      </c>
      <c r="AE131" s="1">
        <v>326</v>
      </c>
      <c r="AF131" s="18">
        <f t="shared" si="1"/>
        <v>85.86666666666666</v>
      </c>
    </row>
    <row r="132" spans="1:32" x14ac:dyDescent="0.35">
      <c r="A132" s="1" t="s">
        <v>186</v>
      </c>
      <c r="B132" s="1">
        <v>29</v>
      </c>
      <c r="C132" s="1">
        <v>28</v>
      </c>
      <c r="D132" s="1">
        <v>27</v>
      </c>
      <c r="E132" s="1">
        <v>21</v>
      </c>
      <c r="F132" s="1">
        <v>14</v>
      </c>
      <c r="G132" s="1">
        <v>22</v>
      </c>
      <c r="H132" s="1">
        <v>49</v>
      </c>
      <c r="I132" s="1">
        <v>22</v>
      </c>
      <c r="J132" s="1">
        <v>18</v>
      </c>
      <c r="K132" s="1">
        <v>61</v>
      </c>
      <c r="L132" s="1">
        <v>150</v>
      </c>
      <c r="M132" s="1">
        <v>76</v>
      </c>
      <c r="N132" s="1">
        <v>40</v>
      </c>
      <c r="O132" s="1">
        <v>21</v>
      </c>
      <c r="P132" s="1">
        <v>91</v>
      </c>
      <c r="Q132" s="1">
        <v>14</v>
      </c>
      <c r="R132" s="1">
        <v>18</v>
      </c>
      <c r="S132" s="1">
        <v>46</v>
      </c>
      <c r="T132" s="1">
        <v>38</v>
      </c>
      <c r="U132" s="1">
        <v>64</v>
      </c>
      <c r="V132" s="1">
        <v>36</v>
      </c>
      <c r="W132" s="1">
        <v>59</v>
      </c>
      <c r="X132" s="1">
        <v>23</v>
      </c>
      <c r="Y132" s="1">
        <v>29</v>
      </c>
      <c r="Z132" s="1">
        <v>38</v>
      </c>
      <c r="AA132" s="1">
        <v>26</v>
      </c>
      <c r="AB132" s="1">
        <v>15</v>
      </c>
      <c r="AC132" s="1">
        <v>37</v>
      </c>
      <c r="AD132" s="1">
        <v>31</v>
      </c>
      <c r="AE132" s="1">
        <v>76</v>
      </c>
      <c r="AF132" s="18">
        <f t="shared" ref="AF132:AF195" si="2">AVERAGE(B132:AE132)</f>
        <v>40.633333333333333</v>
      </c>
    </row>
    <row r="133" spans="1:32" x14ac:dyDescent="0.35">
      <c r="A133" s="1" t="s">
        <v>104</v>
      </c>
      <c r="B133" s="1">
        <v>66</v>
      </c>
      <c r="C133" s="1">
        <v>25</v>
      </c>
      <c r="D133" s="1">
        <v>49</v>
      </c>
      <c r="E133" s="1">
        <v>17</v>
      </c>
      <c r="F133" s="1">
        <v>25</v>
      </c>
      <c r="G133" s="1">
        <v>23</v>
      </c>
      <c r="H133" s="1">
        <v>28</v>
      </c>
      <c r="I133" s="1">
        <v>26</v>
      </c>
      <c r="J133" s="1">
        <v>35</v>
      </c>
      <c r="K133" s="1">
        <v>45</v>
      </c>
      <c r="L133" s="1">
        <v>49</v>
      </c>
      <c r="M133" s="1">
        <v>32</v>
      </c>
      <c r="N133" s="1">
        <v>71</v>
      </c>
      <c r="O133" s="1">
        <v>76</v>
      </c>
      <c r="P133" s="1">
        <v>26</v>
      </c>
      <c r="Q133" s="1">
        <v>19</v>
      </c>
      <c r="R133" s="1">
        <v>97</v>
      </c>
      <c r="S133" s="1">
        <v>13</v>
      </c>
      <c r="T133" s="1">
        <v>19</v>
      </c>
      <c r="U133" s="1">
        <v>81</v>
      </c>
      <c r="V133" s="1">
        <v>64</v>
      </c>
      <c r="W133" s="1">
        <v>12</v>
      </c>
      <c r="X133" s="1">
        <v>24</v>
      </c>
      <c r="Y133" s="1">
        <v>39</v>
      </c>
      <c r="Z133" s="1">
        <v>12</v>
      </c>
      <c r="AA133" s="1">
        <v>77</v>
      </c>
      <c r="AB133" s="1">
        <v>19</v>
      </c>
      <c r="AC133" s="1">
        <v>22</v>
      </c>
      <c r="AD133" s="1">
        <v>27</v>
      </c>
      <c r="AE133" s="1">
        <v>92</v>
      </c>
      <c r="AF133" s="18">
        <f t="shared" si="2"/>
        <v>40.333333333333336</v>
      </c>
    </row>
    <row r="134" spans="1:32" x14ac:dyDescent="0.35">
      <c r="A134" s="1" t="s">
        <v>187</v>
      </c>
      <c r="B134" s="1">
        <v>72</v>
      </c>
      <c r="C134" s="1">
        <v>107</v>
      </c>
      <c r="D134" s="1">
        <v>24</v>
      </c>
      <c r="E134" s="1">
        <v>20</v>
      </c>
      <c r="F134" s="1">
        <v>19</v>
      </c>
      <c r="G134" s="1">
        <v>55</v>
      </c>
      <c r="H134" s="1">
        <v>52</v>
      </c>
      <c r="I134" s="1">
        <v>30</v>
      </c>
      <c r="J134" s="1">
        <v>21</v>
      </c>
      <c r="K134" s="1">
        <v>27</v>
      </c>
      <c r="L134" s="1">
        <v>37</v>
      </c>
      <c r="M134" s="1">
        <v>237</v>
      </c>
      <c r="N134" s="1">
        <v>40</v>
      </c>
      <c r="O134" s="1">
        <v>83</v>
      </c>
      <c r="P134" s="1">
        <v>27</v>
      </c>
      <c r="Q134" s="1">
        <v>22</v>
      </c>
      <c r="R134" s="1">
        <v>80</v>
      </c>
      <c r="S134" s="1">
        <v>22</v>
      </c>
      <c r="T134" s="1">
        <v>167</v>
      </c>
      <c r="U134" s="1">
        <v>73</v>
      </c>
      <c r="V134" s="1">
        <v>37</v>
      </c>
      <c r="W134" s="1">
        <v>90</v>
      </c>
      <c r="X134" s="1">
        <v>116</v>
      </c>
      <c r="Y134" s="1">
        <v>82</v>
      </c>
      <c r="Z134" s="1">
        <v>28</v>
      </c>
      <c r="AA134" s="1">
        <v>217</v>
      </c>
      <c r="AB134" s="1">
        <v>49</v>
      </c>
      <c r="AC134" s="1">
        <v>62</v>
      </c>
      <c r="AD134" s="1">
        <v>16</v>
      </c>
      <c r="AE134" s="1">
        <v>198</v>
      </c>
      <c r="AF134" s="18">
        <f t="shared" si="2"/>
        <v>70.333333333333329</v>
      </c>
    </row>
    <row r="135" spans="1:32" x14ac:dyDescent="0.35">
      <c r="A135" s="1" t="s">
        <v>160</v>
      </c>
      <c r="B135" s="1">
        <v>23</v>
      </c>
      <c r="C135" s="1">
        <v>43</v>
      </c>
      <c r="D135" s="1">
        <v>17</v>
      </c>
      <c r="E135" s="1">
        <v>13</v>
      </c>
      <c r="F135" s="1">
        <v>46</v>
      </c>
      <c r="G135" s="1">
        <v>27</v>
      </c>
      <c r="H135" s="1">
        <v>33</v>
      </c>
      <c r="I135" s="1">
        <v>53</v>
      </c>
      <c r="J135" s="1">
        <v>26</v>
      </c>
      <c r="K135" s="1">
        <v>16</v>
      </c>
      <c r="L135" s="1">
        <v>89</v>
      </c>
      <c r="M135" s="1">
        <v>44</v>
      </c>
      <c r="N135" s="1">
        <v>31</v>
      </c>
      <c r="O135" s="1">
        <v>19</v>
      </c>
      <c r="P135" s="1">
        <v>28</v>
      </c>
      <c r="Q135" s="1">
        <v>277</v>
      </c>
      <c r="R135" s="1">
        <v>63</v>
      </c>
      <c r="S135" s="1">
        <v>81</v>
      </c>
      <c r="T135" s="1">
        <v>42</v>
      </c>
      <c r="U135" s="1">
        <v>44</v>
      </c>
      <c r="V135" s="1">
        <v>159</v>
      </c>
      <c r="W135" s="1">
        <v>16</v>
      </c>
      <c r="X135" s="1">
        <v>28</v>
      </c>
      <c r="Y135" s="1">
        <v>100</v>
      </c>
      <c r="Z135" s="1">
        <v>76</v>
      </c>
      <c r="AA135" s="1">
        <v>13</v>
      </c>
      <c r="AB135" s="1">
        <v>81</v>
      </c>
      <c r="AC135" s="1">
        <v>12</v>
      </c>
      <c r="AD135" s="1">
        <v>73</v>
      </c>
      <c r="AE135" s="1">
        <v>29</v>
      </c>
      <c r="AF135" s="18">
        <f t="shared" si="2"/>
        <v>53.4</v>
      </c>
    </row>
    <row r="136" spans="1:32" x14ac:dyDescent="0.35">
      <c r="A136" s="1" t="s">
        <v>105</v>
      </c>
      <c r="B136" s="1">
        <v>33</v>
      </c>
      <c r="C136" s="1">
        <v>22</v>
      </c>
      <c r="D136" s="1">
        <v>24</v>
      </c>
      <c r="E136" s="1">
        <v>31</v>
      </c>
      <c r="F136" s="1">
        <v>67</v>
      </c>
      <c r="G136" s="1">
        <v>137</v>
      </c>
      <c r="H136" s="1">
        <v>12</v>
      </c>
      <c r="I136" s="1">
        <v>49</v>
      </c>
      <c r="J136" s="1">
        <v>35</v>
      </c>
      <c r="K136" s="1">
        <v>36</v>
      </c>
      <c r="L136" s="1">
        <v>38</v>
      </c>
      <c r="M136" s="1">
        <v>121</v>
      </c>
      <c r="N136" s="1">
        <v>27</v>
      </c>
      <c r="O136" s="1">
        <v>17</v>
      </c>
      <c r="P136" s="1">
        <v>138</v>
      </c>
      <c r="Q136" s="1">
        <v>50</v>
      </c>
      <c r="R136" s="1">
        <v>23</v>
      </c>
      <c r="S136" s="1">
        <v>110</v>
      </c>
      <c r="T136" s="1">
        <v>24</v>
      </c>
      <c r="U136" s="1">
        <v>16</v>
      </c>
      <c r="V136" s="1">
        <v>14</v>
      </c>
      <c r="W136" s="1">
        <v>13</v>
      </c>
      <c r="X136" s="1">
        <v>28</v>
      </c>
      <c r="Y136" s="1">
        <v>103</v>
      </c>
      <c r="Z136" s="1">
        <v>113</v>
      </c>
      <c r="AA136" s="1">
        <v>87</v>
      </c>
      <c r="AB136" s="1">
        <v>164</v>
      </c>
      <c r="AC136" s="1">
        <v>45</v>
      </c>
      <c r="AD136" s="1">
        <v>19</v>
      </c>
      <c r="AE136" s="1">
        <v>19</v>
      </c>
      <c r="AF136" s="18">
        <f t="shared" si="2"/>
        <v>53.833333333333336</v>
      </c>
    </row>
    <row r="137" spans="1:32" x14ac:dyDescent="0.35">
      <c r="A137" s="1" t="s">
        <v>106</v>
      </c>
      <c r="B137" s="1">
        <v>17</v>
      </c>
      <c r="C137" s="1">
        <v>102</v>
      </c>
      <c r="D137" s="1">
        <v>129</v>
      </c>
      <c r="E137" s="1">
        <v>41</v>
      </c>
      <c r="F137" s="1">
        <v>19</v>
      </c>
      <c r="G137" s="1">
        <v>14</v>
      </c>
      <c r="H137" s="1">
        <v>76</v>
      </c>
      <c r="I137" s="1">
        <v>37</v>
      </c>
      <c r="J137" s="1">
        <v>81</v>
      </c>
      <c r="K137" s="1">
        <v>29</v>
      </c>
      <c r="L137" s="1">
        <v>21</v>
      </c>
      <c r="M137" s="1">
        <v>66</v>
      </c>
      <c r="N137" s="1">
        <v>32</v>
      </c>
      <c r="O137" s="1">
        <v>177</v>
      </c>
      <c r="P137" s="1">
        <v>17</v>
      </c>
      <c r="Q137" s="1">
        <v>21</v>
      </c>
      <c r="R137" s="1">
        <v>179</v>
      </c>
      <c r="S137" s="1">
        <v>15</v>
      </c>
      <c r="T137" s="1">
        <v>15</v>
      </c>
      <c r="U137" s="1">
        <v>35</v>
      </c>
      <c r="V137" s="1">
        <v>13</v>
      </c>
      <c r="W137" s="1">
        <v>204</v>
      </c>
      <c r="X137" s="1">
        <v>14</v>
      </c>
      <c r="Y137" s="1">
        <v>22</v>
      </c>
      <c r="Z137" s="1">
        <v>12</v>
      </c>
      <c r="AA137" s="1">
        <v>67</v>
      </c>
      <c r="AB137" s="1">
        <v>27</v>
      </c>
      <c r="AC137" s="1">
        <v>45</v>
      </c>
      <c r="AD137" s="1">
        <v>85</v>
      </c>
      <c r="AE137" s="1">
        <v>27</v>
      </c>
      <c r="AF137" s="18">
        <f t="shared" si="2"/>
        <v>54.633333333333333</v>
      </c>
    </row>
    <row r="138" spans="1:32" x14ac:dyDescent="0.35">
      <c r="A138" s="1" t="s">
        <v>188</v>
      </c>
      <c r="B138" s="1">
        <v>14</v>
      </c>
      <c r="C138" s="1">
        <v>34</v>
      </c>
      <c r="D138" s="1">
        <v>24</v>
      </c>
      <c r="E138" s="1">
        <v>18</v>
      </c>
      <c r="F138" s="1">
        <v>27</v>
      </c>
      <c r="G138" s="1">
        <v>16</v>
      </c>
      <c r="H138" s="1">
        <v>29</v>
      </c>
      <c r="I138" s="1">
        <v>22</v>
      </c>
      <c r="J138" s="1">
        <v>28</v>
      </c>
      <c r="K138" s="1">
        <v>12</v>
      </c>
      <c r="L138" s="1">
        <v>12</v>
      </c>
      <c r="M138" s="1">
        <v>19</v>
      </c>
      <c r="N138" s="1">
        <v>12</v>
      </c>
      <c r="O138" s="1">
        <v>14</v>
      </c>
      <c r="P138" s="1">
        <v>15</v>
      </c>
      <c r="Q138" s="1">
        <v>38</v>
      </c>
      <c r="R138" s="1">
        <v>31</v>
      </c>
      <c r="S138" s="1">
        <v>17</v>
      </c>
      <c r="T138" s="1">
        <v>64</v>
      </c>
      <c r="U138" s="1">
        <v>33</v>
      </c>
      <c r="V138" s="1">
        <v>28</v>
      </c>
      <c r="W138" s="1">
        <v>70</v>
      </c>
      <c r="X138" s="1">
        <v>41</v>
      </c>
      <c r="Y138" s="1">
        <v>15</v>
      </c>
      <c r="Z138" s="1">
        <v>17</v>
      </c>
      <c r="AA138" s="1">
        <v>23</v>
      </c>
      <c r="AB138" s="1">
        <v>14</v>
      </c>
      <c r="AC138" s="1">
        <v>30</v>
      </c>
      <c r="AD138" s="1">
        <v>99</v>
      </c>
      <c r="AE138" s="1">
        <v>34</v>
      </c>
      <c r="AF138" s="18">
        <f t="shared" si="2"/>
        <v>28.333333333333332</v>
      </c>
    </row>
    <row r="139" spans="1:32" x14ac:dyDescent="0.35">
      <c r="A139" s="1" t="s">
        <v>107</v>
      </c>
      <c r="B139" s="1">
        <v>77</v>
      </c>
      <c r="C139" s="1">
        <v>64</v>
      </c>
      <c r="D139" s="1">
        <v>56</v>
      </c>
      <c r="E139" s="1">
        <v>128</v>
      </c>
      <c r="F139" s="1">
        <v>63</v>
      </c>
      <c r="G139" s="1">
        <v>15</v>
      </c>
      <c r="H139" s="1">
        <v>82</v>
      </c>
      <c r="I139" s="1">
        <v>95</v>
      </c>
      <c r="J139" s="1">
        <v>30</v>
      </c>
      <c r="K139" s="1">
        <v>21</v>
      </c>
      <c r="L139" s="1">
        <v>267</v>
      </c>
      <c r="M139" s="1">
        <v>18</v>
      </c>
      <c r="N139" s="1">
        <v>29</v>
      </c>
      <c r="O139" s="1">
        <v>182</v>
      </c>
      <c r="P139" s="1">
        <v>51</v>
      </c>
      <c r="Q139" s="1">
        <v>16</v>
      </c>
      <c r="R139" s="1">
        <v>32</v>
      </c>
      <c r="S139" s="1">
        <v>17</v>
      </c>
      <c r="T139" s="1">
        <v>45</v>
      </c>
      <c r="U139" s="1">
        <v>29</v>
      </c>
      <c r="V139" s="1">
        <v>39</v>
      </c>
      <c r="W139" s="1">
        <v>163</v>
      </c>
      <c r="X139" s="1">
        <v>226</v>
      </c>
      <c r="Y139" s="1">
        <v>46</v>
      </c>
      <c r="Z139" s="1">
        <v>43</v>
      </c>
      <c r="AA139" s="1">
        <v>223</v>
      </c>
      <c r="AB139" s="1">
        <v>29</v>
      </c>
      <c r="AC139" s="1">
        <v>110</v>
      </c>
      <c r="AD139" s="1">
        <v>79</v>
      </c>
      <c r="AE139" s="1">
        <v>124</v>
      </c>
      <c r="AF139" s="18">
        <f t="shared" si="2"/>
        <v>79.966666666666669</v>
      </c>
    </row>
    <row r="140" spans="1:32" x14ac:dyDescent="0.35">
      <c r="A140" s="1" t="s">
        <v>108</v>
      </c>
      <c r="B140" s="1">
        <v>56</v>
      </c>
      <c r="C140" s="1">
        <v>14</v>
      </c>
      <c r="D140" s="1">
        <v>29</v>
      </c>
      <c r="E140" s="1">
        <v>33</v>
      </c>
      <c r="F140" s="1">
        <v>93</v>
      </c>
      <c r="G140" s="1">
        <v>31</v>
      </c>
      <c r="H140" s="1">
        <v>72</v>
      </c>
      <c r="I140" s="1">
        <v>56</v>
      </c>
      <c r="J140" s="1">
        <v>101</v>
      </c>
      <c r="K140" s="1">
        <v>24</v>
      </c>
      <c r="L140" s="1">
        <v>82</v>
      </c>
      <c r="M140" s="1">
        <v>13</v>
      </c>
      <c r="N140" s="1">
        <v>18</v>
      </c>
      <c r="O140" s="1">
        <v>19</v>
      </c>
      <c r="P140" s="1">
        <v>13</v>
      </c>
      <c r="Q140" s="1">
        <v>82</v>
      </c>
      <c r="R140" s="1">
        <v>70</v>
      </c>
      <c r="S140" s="1">
        <v>98</v>
      </c>
      <c r="T140" s="1">
        <v>37</v>
      </c>
      <c r="U140" s="1">
        <v>57</v>
      </c>
      <c r="V140" s="1">
        <v>37</v>
      </c>
      <c r="W140" s="1">
        <v>13</v>
      </c>
      <c r="X140" s="1">
        <v>42</v>
      </c>
      <c r="Y140" s="1">
        <v>28</v>
      </c>
      <c r="Z140" s="1">
        <v>23</v>
      </c>
      <c r="AA140" s="1">
        <v>32</v>
      </c>
      <c r="AB140" s="1">
        <v>134</v>
      </c>
      <c r="AC140" s="1">
        <v>49</v>
      </c>
      <c r="AD140" s="1">
        <v>15</v>
      </c>
      <c r="AE140" s="1">
        <v>142</v>
      </c>
      <c r="AF140" s="18">
        <f t="shared" si="2"/>
        <v>50.43333333333333</v>
      </c>
    </row>
    <row r="141" spans="1:32" x14ac:dyDescent="0.35">
      <c r="A141" s="1" t="s">
        <v>109</v>
      </c>
      <c r="B141" s="1">
        <v>19</v>
      </c>
      <c r="C141" s="1">
        <v>22</v>
      </c>
      <c r="D141" s="1">
        <v>43</v>
      </c>
      <c r="E141" s="1">
        <v>29</v>
      </c>
      <c r="F141" s="1">
        <v>22</v>
      </c>
      <c r="G141" s="1">
        <v>56</v>
      </c>
      <c r="H141" s="1">
        <v>102</v>
      </c>
      <c r="I141" s="1">
        <v>39</v>
      </c>
      <c r="J141" s="1">
        <v>26</v>
      </c>
      <c r="K141" s="1">
        <v>27</v>
      </c>
      <c r="L141" s="1">
        <v>69</v>
      </c>
      <c r="M141" s="1">
        <v>14</v>
      </c>
      <c r="N141" s="1">
        <v>53</v>
      </c>
      <c r="O141" s="1">
        <v>21</v>
      </c>
      <c r="P141" s="1">
        <v>30</v>
      </c>
      <c r="Q141" s="1">
        <v>34</v>
      </c>
      <c r="R141" s="1">
        <v>13</v>
      </c>
      <c r="S141" s="1">
        <v>53</v>
      </c>
      <c r="T141" s="1">
        <v>13</v>
      </c>
      <c r="U141" s="1">
        <v>18</v>
      </c>
      <c r="V141" s="1">
        <v>29</v>
      </c>
      <c r="W141" s="1">
        <v>22</v>
      </c>
      <c r="X141" s="1">
        <v>179</v>
      </c>
      <c r="Y141" s="1">
        <v>36</v>
      </c>
      <c r="Z141" s="1">
        <v>83</v>
      </c>
      <c r="AA141" s="1">
        <v>44</v>
      </c>
      <c r="AB141" s="1">
        <v>51</v>
      </c>
      <c r="AC141" s="1">
        <v>17</v>
      </c>
      <c r="AD141" s="1">
        <v>36</v>
      </c>
      <c r="AE141" s="1">
        <v>74</v>
      </c>
      <c r="AF141" s="18">
        <f t="shared" si="2"/>
        <v>42.466666666666669</v>
      </c>
    </row>
    <row r="142" spans="1:32" x14ac:dyDescent="0.35">
      <c r="A142" s="1" t="s">
        <v>189</v>
      </c>
      <c r="B142" s="1">
        <v>32</v>
      </c>
      <c r="C142" s="1">
        <v>42</v>
      </c>
      <c r="D142" s="1">
        <v>31</v>
      </c>
      <c r="E142" s="1">
        <v>49</v>
      </c>
      <c r="F142" s="1">
        <v>37</v>
      </c>
      <c r="G142" s="1">
        <v>26</v>
      </c>
      <c r="H142" s="1">
        <v>128</v>
      </c>
      <c r="I142" s="1">
        <v>12</v>
      </c>
      <c r="J142" s="1">
        <v>20</v>
      </c>
      <c r="K142" s="1">
        <v>39</v>
      </c>
      <c r="L142" s="1">
        <v>66</v>
      </c>
      <c r="M142" s="1">
        <v>109</v>
      </c>
      <c r="N142" s="1">
        <v>77</v>
      </c>
      <c r="O142" s="1">
        <v>30</v>
      </c>
      <c r="P142" s="1">
        <v>233</v>
      </c>
      <c r="Q142" s="1">
        <v>54</v>
      </c>
      <c r="R142" s="1">
        <v>19</v>
      </c>
      <c r="S142" s="1">
        <v>35</v>
      </c>
      <c r="T142" s="1">
        <v>35</v>
      </c>
      <c r="U142" s="1">
        <v>84</v>
      </c>
      <c r="V142" s="1">
        <v>40</v>
      </c>
      <c r="W142" s="1">
        <v>80</v>
      </c>
      <c r="X142" s="1">
        <v>55</v>
      </c>
      <c r="Y142" s="1">
        <v>96</v>
      </c>
      <c r="Z142" s="1">
        <v>33</v>
      </c>
      <c r="AA142" s="1">
        <v>83</v>
      </c>
      <c r="AB142" s="1">
        <v>299</v>
      </c>
      <c r="AC142" s="1">
        <v>64</v>
      </c>
      <c r="AD142" s="1">
        <v>12</v>
      </c>
      <c r="AE142" s="1">
        <v>38</v>
      </c>
      <c r="AF142" s="18">
        <f t="shared" si="2"/>
        <v>65.266666666666666</v>
      </c>
    </row>
    <row r="143" spans="1:32" x14ac:dyDescent="0.35">
      <c r="A143" s="1" t="s">
        <v>110</v>
      </c>
      <c r="B143" s="1">
        <v>281</v>
      </c>
      <c r="C143" s="1">
        <v>221</v>
      </c>
      <c r="D143" s="1">
        <v>87</v>
      </c>
      <c r="E143" s="1">
        <v>22</v>
      </c>
      <c r="F143" s="1">
        <v>119</v>
      </c>
      <c r="G143" s="1">
        <v>286</v>
      </c>
      <c r="H143" s="1">
        <v>143</v>
      </c>
      <c r="I143" s="1">
        <v>79</v>
      </c>
      <c r="J143" s="1">
        <v>80</v>
      </c>
      <c r="K143" s="1">
        <v>26</v>
      </c>
      <c r="L143" s="1">
        <v>67</v>
      </c>
      <c r="M143" s="1">
        <v>29</v>
      </c>
      <c r="N143" s="1">
        <v>63</v>
      </c>
      <c r="O143" s="1">
        <v>22</v>
      </c>
      <c r="P143" s="1">
        <v>125</v>
      </c>
      <c r="Q143" s="1">
        <v>50</v>
      </c>
      <c r="R143" s="1">
        <v>31</v>
      </c>
      <c r="S143" s="1">
        <v>172</v>
      </c>
      <c r="T143" s="1">
        <v>93</v>
      </c>
      <c r="U143" s="1">
        <v>28</v>
      </c>
      <c r="V143" s="1">
        <v>16</v>
      </c>
      <c r="W143" s="1">
        <v>144</v>
      </c>
      <c r="X143" s="1">
        <v>78</v>
      </c>
      <c r="Y143" s="1">
        <v>14</v>
      </c>
      <c r="Z143" s="1">
        <v>31</v>
      </c>
      <c r="AA143" s="1">
        <v>377</v>
      </c>
      <c r="AB143" s="1">
        <v>136</v>
      </c>
      <c r="AC143" s="1">
        <v>13</v>
      </c>
      <c r="AD143" s="1">
        <v>194</v>
      </c>
      <c r="AE143" s="1">
        <v>26</v>
      </c>
      <c r="AF143" s="18">
        <f t="shared" si="2"/>
        <v>101.76666666666667</v>
      </c>
    </row>
    <row r="144" spans="1:32" x14ac:dyDescent="0.35">
      <c r="A144" s="1" t="s">
        <v>111</v>
      </c>
      <c r="B144" s="1">
        <v>28</v>
      </c>
      <c r="C144" s="1">
        <v>37</v>
      </c>
      <c r="D144" s="1">
        <v>50</v>
      </c>
      <c r="E144" s="1">
        <v>117</v>
      </c>
      <c r="F144" s="1">
        <v>52</v>
      </c>
      <c r="G144" s="1">
        <v>17</v>
      </c>
      <c r="H144" s="1">
        <v>20</v>
      </c>
      <c r="I144" s="1">
        <v>89</v>
      </c>
      <c r="J144" s="1">
        <v>13</v>
      </c>
      <c r="K144" s="1">
        <v>192</v>
      </c>
      <c r="L144" s="1">
        <v>30</v>
      </c>
      <c r="M144" s="1">
        <v>41</v>
      </c>
      <c r="N144" s="1">
        <v>54</v>
      </c>
      <c r="O144" s="1">
        <v>37</v>
      </c>
      <c r="P144" s="1">
        <v>20</v>
      </c>
      <c r="Q144" s="1">
        <v>54</v>
      </c>
      <c r="R144" s="1">
        <v>39</v>
      </c>
      <c r="S144" s="1">
        <v>75</v>
      </c>
      <c r="T144" s="1">
        <v>35</v>
      </c>
      <c r="U144" s="1">
        <v>13</v>
      </c>
      <c r="V144" s="1">
        <v>89</v>
      </c>
      <c r="W144" s="1">
        <v>60</v>
      </c>
      <c r="X144" s="1">
        <v>53</v>
      </c>
      <c r="Y144" s="1">
        <v>15</v>
      </c>
      <c r="Z144" s="1">
        <v>32</v>
      </c>
      <c r="AA144" s="1">
        <v>12</v>
      </c>
      <c r="AB144" s="1">
        <v>28</v>
      </c>
      <c r="AC144" s="1">
        <v>22</v>
      </c>
      <c r="AD144" s="1">
        <v>57</v>
      </c>
      <c r="AE144" s="1">
        <v>12</v>
      </c>
      <c r="AF144" s="18">
        <f t="shared" si="2"/>
        <v>46.43333333333333</v>
      </c>
    </row>
    <row r="145" spans="1:32" x14ac:dyDescent="0.35">
      <c r="A145" s="1" t="s">
        <v>112</v>
      </c>
      <c r="B145" s="1">
        <v>16</v>
      </c>
      <c r="C145" s="1">
        <v>40</v>
      </c>
      <c r="D145" s="1">
        <v>58</v>
      </c>
      <c r="E145" s="1">
        <v>69</v>
      </c>
      <c r="F145" s="1">
        <v>117</v>
      </c>
      <c r="G145" s="1">
        <v>97</v>
      </c>
      <c r="H145" s="1">
        <v>120</v>
      </c>
      <c r="I145" s="1">
        <v>44</v>
      </c>
      <c r="J145" s="1">
        <v>27</v>
      </c>
      <c r="K145" s="1">
        <v>16</v>
      </c>
      <c r="L145" s="1">
        <v>80</v>
      </c>
      <c r="M145" s="1">
        <v>29</v>
      </c>
      <c r="N145" s="1">
        <v>46</v>
      </c>
      <c r="O145" s="1">
        <v>136</v>
      </c>
      <c r="P145" s="1">
        <v>131</v>
      </c>
      <c r="Q145" s="1">
        <v>18</v>
      </c>
      <c r="R145" s="1">
        <v>20</v>
      </c>
      <c r="S145" s="1">
        <v>21</v>
      </c>
      <c r="T145" s="1">
        <v>133</v>
      </c>
      <c r="U145" s="1">
        <v>60</v>
      </c>
      <c r="V145" s="1">
        <v>44</v>
      </c>
      <c r="W145" s="1">
        <v>122</v>
      </c>
      <c r="X145" s="1">
        <v>111</v>
      </c>
      <c r="Y145" s="1">
        <v>73</v>
      </c>
      <c r="Z145" s="1">
        <v>116</v>
      </c>
      <c r="AA145" s="1">
        <v>60</v>
      </c>
      <c r="AB145" s="1">
        <v>16</v>
      </c>
      <c r="AC145" s="1">
        <v>78</v>
      </c>
      <c r="AD145" s="1">
        <v>27</v>
      </c>
      <c r="AE145" s="1">
        <v>29</v>
      </c>
      <c r="AF145" s="18">
        <f t="shared" si="2"/>
        <v>65.13333333333334</v>
      </c>
    </row>
    <row r="146" spans="1:32" x14ac:dyDescent="0.35">
      <c r="A146" s="1" t="s">
        <v>113</v>
      </c>
      <c r="B146" s="1">
        <v>49</v>
      </c>
      <c r="C146" s="1">
        <v>136</v>
      </c>
      <c r="D146" s="1">
        <v>101</v>
      </c>
      <c r="E146" s="1">
        <v>88</v>
      </c>
      <c r="F146" s="1">
        <v>22</v>
      </c>
      <c r="G146" s="1">
        <v>16</v>
      </c>
      <c r="H146" s="1">
        <v>19</v>
      </c>
      <c r="I146" s="1">
        <v>105</v>
      </c>
      <c r="J146" s="1">
        <v>98</v>
      </c>
      <c r="K146" s="1">
        <v>80</v>
      </c>
      <c r="L146" s="1">
        <v>32</v>
      </c>
      <c r="M146" s="1">
        <v>63</v>
      </c>
      <c r="N146" s="1">
        <v>175</v>
      </c>
      <c r="O146" s="1">
        <v>45</v>
      </c>
      <c r="P146" s="1">
        <v>69</v>
      </c>
      <c r="Q146" s="1">
        <v>112</v>
      </c>
      <c r="R146" s="1">
        <v>142</v>
      </c>
      <c r="S146" s="1">
        <v>120</v>
      </c>
      <c r="T146" s="1">
        <v>102</v>
      </c>
      <c r="U146" s="1">
        <v>123</v>
      </c>
      <c r="V146" s="1">
        <v>13</v>
      </c>
      <c r="W146" s="1">
        <v>184</v>
      </c>
      <c r="X146" s="1">
        <v>222</v>
      </c>
      <c r="Y146" s="1">
        <v>28</v>
      </c>
      <c r="Z146" s="1">
        <v>41</v>
      </c>
      <c r="AA146" s="1">
        <v>112</v>
      </c>
      <c r="AB146" s="1">
        <v>85</v>
      </c>
      <c r="AC146" s="1">
        <v>36</v>
      </c>
      <c r="AD146" s="1">
        <v>13</v>
      </c>
      <c r="AE146" s="1">
        <v>105</v>
      </c>
      <c r="AF146" s="18">
        <f t="shared" si="2"/>
        <v>84.533333333333331</v>
      </c>
    </row>
    <row r="147" spans="1:32" x14ac:dyDescent="0.35">
      <c r="A147" s="1" t="s">
        <v>114</v>
      </c>
      <c r="B147" s="1">
        <v>16</v>
      </c>
      <c r="C147" s="1">
        <v>45</v>
      </c>
      <c r="D147" s="1">
        <v>54</v>
      </c>
      <c r="E147" s="1">
        <v>24</v>
      </c>
      <c r="F147" s="1">
        <v>43</v>
      </c>
      <c r="G147" s="1">
        <v>90</v>
      </c>
      <c r="H147" s="1">
        <v>18</v>
      </c>
      <c r="I147" s="1">
        <v>36</v>
      </c>
      <c r="J147" s="1">
        <v>14</v>
      </c>
      <c r="K147" s="1">
        <v>13</v>
      </c>
      <c r="L147" s="1">
        <v>134</v>
      </c>
      <c r="M147" s="1">
        <v>18</v>
      </c>
      <c r="N147" s="1">
        <v>21</v>
      </c>
      <c r="O147" s="1">
        <v>28</v>
      </c>
      <c r="P147" s="1">
        <v>19</v>
      </c>
      <c r="Q147" s="1">
        <v>60</v>
      </c>
      <c r="R147" s="1">
        <v>20</v>
      </c>
      <c r="S147" s="1">
        <v>57</v>
      </c>
      <c r="T147" s="1">
        <v>30</v>
      </c>
      <c r="U147" s="1">
        <v>18</v>
      </c>
      <c r="V147" s="1">
        <v>31</v>
      </c>
      <c r="W147" s="1">
        <v>32</v>
      </c>
      <c r="X147" s="1">
        <v>23</v>
      </c>
      <c r="Y147" s="1">
        <v>13</v>
      </c>
      <c r="Z147" s="1">
        <v>28</v>
      </c>
      <c r="AA147" s="1">
        <v>75</v>
      </c>
      <c r="AB147" s="1">
        <v>24</v>
      </c>
      <c r="AC147" s="1">
        <v>12</v>
      </c>
      <c r="AD147" s="1">
        <v>93</v>
      </c>
      <c r="AE147" s="1">
        <v>56</v>
      </c>
      <c r="AF147" s="18">
        <f t="shared" si="2"/>
        <v>38.166666666666664</v>
      </c>
    </row>
    <row r="148" spans="1:32" x14ac:dyDescent="0.35">
      <c r="A148" s="1" t="s">
        <v>115</v>
      </c>
      <c r="B148" s="1">
        <v>216</v>
      </c>
      <c r="C148" s="1">
        <v>25</v>
      </c>
      <c r="D148" s="1">
        <v>13</v>
      </c>
      <c r="E148" s="1">
        <v>21</v>
      </c>
      <c r="F148" s="1">
        <v>49</v>
      </c>
      <c r="G148" s="1">
        <v>28</v>
      </c>
      <c r="H148" s="1">
        <v>48</v>
      </c>
      <c r="I148" s="1">
        <v>21</v>
      </c>
      <c r="J148" s="1">
        <v>18</v>
      </c>
      <c r="K148" s="1">
        <v>184</v>
      </c>
      <c r="L148" s="1">
        <v>39</v>
      </c>
      <c r="M148" s="1">
        <v>83</v>
      </c>
      <c r="N148" s="1">
        <v>66</v>
      </c>
      <c r="O148" s="1">
        <v>83</v>
      </c>
      <c r="P148" s="1">
        <v>32</v>
      </c>
      <c r="Q148" s="1">
        <v>29</v>
      </c>
      <c r="R148" s="1">
        <v>51</v>
      </c>
      <c r="S148" s="1">
        <v>135</v>
      </c>
      <c r="T148" s="1">
        <v>73</v>
      </c>
      <c r="U148" s="1">
        <v>35</v>
      </c>
      <c r="V148" s="1">
        <v>77</v>
      </c>
      <c r="W148" s="1">
        <v>44</v>
      </c>
      <c r="X148" s="1">
        <v>31</v>
      </c>
      <c r="Y148" s="1">
        <v>38</v>
      </c>
      <c r="Z148" s="1">
        <v>12</v>
      </c>
      <c r="AA148" s="1">
        <v>19</v>
      </c>
      <c r="AB148" s="1">
        <v>84</v>
      </c>
      <c r="AC148" s="1">
        <v>74</v>
      </c>
      <c r="AD148" s="1">
        <v>166</v>
      </c>
      <c r="AE148" s="1">
        <v>210</v>
      </c>
      <c r="AF148" s="18">
        <f t="shared" si="2"/>
        <v>66.8</v>
      </c>
    </row>
    <row r="149" spans="1:32" x14ac:dyDescent="0.35">
      <c r="A149" s="1" t="s">
        <v>190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8">
        <f t="shared" si="2"/>
        <v>0</v>
      </c>
    </row>
    <row r="150" spans="1:32" x14ac:dyDescent="0.35">
      <c r="A150" s="1" t="s">
        <v>116</v>
      </c>
      <c r="B150" s="1">
        <v>12</v>
      </c>
      <c r="C150" s="1">
        <v>12</v>
      </c>
      <c r="D150" s="1">
        <v>48</v>
      </c>
      <c r="E150" s="1">
        <v>50</v>
      </c>
      <c r="F150" s="1">
        <v>281</v>
      </c>
      <c r="G150" s="1">
        <v>76</v>
      </c>
      <c r="H150" s="1">
        <v>18</v>
      </c>
      <c r="I150" s="1">
        <v>35</v>
      </c>
      <c r="J150" s="1">
        <v>33</v>
      </c>
      <c r="K150" s="1">
        <v>16</v>
      </c>
      <c r="L150" s="1">
        <v>159</v>
      </c>
      <c r="M150" s="1">
        <v>22</v>
      </c>
      <c r="N150" s="1">
        <v>177</v>
      </c>
      <c r="O150" s="1">
        <v>108</v>
      </c>
      <c r="P150" s="1">
        <v>39</v>
      </c>
      <c r="Q150" s="1">
        <v>20</v>
      </c>
      <c r="R150" s="1">
        <v>44</v>
      </c>
      <c r="S150" s="1">
        <v>12</v>
      </c>
      <c r="T150" s="1">
        <v>158</v>
      </c>
      <c r="U150" s="1">
        <v>20</v>
      </c>
      <c r="V150" s="1">
        <v>63</v>
      </c>
      <c r="W150" s="1">
        <v>234</v>
      </c>
      <c r="X150" s="1">
        <v>57</v>
      </c>
      <c r="Y150" s="1">
        <v>60</v>
      </c>
      <c r="Z150" s="1">
        <v>17</v>
      </c>
      <c r="AA150" s="1">
        <v>42</v>
      </c>
      <c r="AB150" s="1">
        <v>126</v>
      </c>
      <c r="AC150" s="1">
        <v>35</v>
      </c>
      <c r="AD150" s="1">
        <v>122</v>
      </c>
      <c r="AE150" s="1">
        <v>15</v>
      </c>
      <c r="AF150" s="18">
        <f t="shared" si="2"/>
        <v>70.36666666666666</v>
      </c>
    </row>
    <row r="151" spans="1:32" x14ac:dyDescent="0.35">
      <c r="A151" s="1" t="s">
        <v>197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8">
        <f t="shared" si="2"/>
        <v>0</v>
      </c>
    </row>
    <row r="152" spans="1:32" x14ac:dyDescent="0.35">
      <c r="A152" s="1" t="s">
        <v>117</v>
      </c>
      <c r="B152" s="1">
        <v>142</v>
      </c>
      <c r="C152" s="1">
        <v>58</v>
      </c>
      <c r="D152" s="1">
        <v>138</v>
      </c>
      <c r="E152" s="1">
        <v>23</v>
      </c>
      <c r="F152" s="1">
        <v>38</v>
      </c>
      <c r="G152" s="1">
        <v>147</v>
      </c>
      <c r="H152" s="1">
        <v>51</v>
      </c>
      <c r="I152" s="1">
        <v>15</v>
      </c>
      <c r="J152" s="1">
        <v>54</v>
      </c>
      <c r="K152" s="1">
        <v>163</v>
      </c>
      <c r="L152" s="1">
        <v>50</v>
      </c>
      <c r="M152" s="1">
        <v>75</v>
      </c>
      <c r="N152" s="1">
        <v>26</v>
      </c>
      <c r="O152" s="1">
        <v>83</v>
      </c>
      <c r="P152" s="1">
        <v>56</v>
      </c>
      <c r="Q152" s="1">
        <v>42</v>
      </c>
      <c r="R152" s="1">
        <v>136</v>
      </c>
      <c r="S152" s="1">
        <v>293</v>
      </c>
      <c r="T152" s="1">
        <v>37</v>
      </c>
      <c r="U152" s="1">
        <v>32</v>
      </c>
      <c r="V152" s="1">
        <v>79</v>
      </c>
      <c r="W152" s="1">
        <v>60</v>
      </c>
      <c r="X152" s="1">
        <v>158</v>
      </c>
      <c r="Y152" s="1">
        <v>38</v>
      </c>
      <c r="Z152" s="1">
        <v>47</v>
      </c>
      <c r="AA152" s="1">
        <v>97</v>
      </c>
      <c r="AB152" s="1">
        <v>121</v>
      </c>
      <c r="AC152" s="1">
        <v>66</v>
      </c>
      <c r="AD152" s="1">
        <v>18</v>
      </c>
      <c r="AE152" s="1">
        <v>58</v>
      </c>
      <c r="AF152" s="18">
        <f t="shared" si="2"/>
        <v>80.033333333333331</v>
      </c>
    </row>
    <row r="153" spans="1:32" x14ac:dyDescent="0.35">
      <c r="A153" s="1" t="s">
        <v>198</v>
      </c>
      <c r="B153" s="1">
        <v>42</v>
      </c>
      <c r="C153" s="1">
        <v>27</v>
      </c>
      <c r="D153" s="1">
        <v>87</v>
      </c>
      <c r="E153" s="1">
        <v>18</v>
      </c>
      <c r="F153" s="1">
        <v>15</v>
      </c>
      <c r="G153" s="1">
        <v>41</v>
      </c>
      <c r="H153" s="1">
        <v>45</v>
      </c>
      <c r="I153" s="1">
        <v>17</v>
      </c>
      <c r="J153" s="1">
        <v>54</v>
      </c>
      <c r="K153" s="1">
        <v>74</v>
      </c>
      <c r="L153" s="1">
        <v>17</v>
      </c>
      <c r="M153" s="1">
        <v>239</v>
      </c>
      <c r="N153" s="1">
        <v>12</v>
      </c>
      <c r="O153" s="1">
        <v>42</v>
      </c>
      <c r="P153" s="1">
        <v>102</v>
      </c>
      <c r="Q153" s="1">
        <v>19</v>
      </c>
      <c r="R153" s="1">
        <v>14</v>
      </c>
      <c r="S153" s="1">
        <v>64</v>
      </c>
      <c r="T153" s="1">
        <v>73</v>
      </c>
      <c r="U153" s="1">
        <v>94</v>
      </c>
      <c r="V153" s="1">
        <v>66</v>
      </c>
      <c r="W153" s="1">
        <v>18</v>
      </c>
      <c r="X153" s="1">
        <v>14</v>
      </c>
      <c r="Y153" s="1">
        <v>50</v>
      </c>
      <c r="Z153" s="1">
        <v>21</v>
      </c>
      <c r="AA153" s="1">
        <v>26</v>
      </c>
      <c r="AB153" s="1">
        <v>264</v>
      </c>
      <c r="AC153" s="1">
        <v>28</v>
      </c>
      <c r="AD153" s="1">
        <v>38</v>
      </c>
      <c r="AE153" s="1">
        <v>16</v>
      </c>
      <c r="AF153" s="18">
        <f t="shared" si="2"/>
        <v>54.56666666666667</v>
      </c>
    </row>
    <row r="154" spans="1:32" x14ac:dyDescent="0.35">
      <c r="A154" s="1" t="s">
        <v>118</v>
      </c>
      <c r="B154" s="1">
        <v>64</v>
      </c>
      <c r="C154" s="1">
        <v>36</v>
      </c>
      <c r="D154" s="1">
        <v>107</v>
      </c>
      <c r="E154" s="1">
        <v>23</v>
      </c>
      <c r="F154" s="1">
        <v>57</v>
      </c>
      <c r="G154" s="1">
        <v>13</v>
      </c>
      <c r="H154" s="1">
        <v>65</v>
      </c>
      <c r="I154" s="1">
        <v>32</v>
      </c>
      <c r="J154" s="1">
        <v>113</v>
      </c>
      <c r="K154" s="1">
        <v>40</v>
      </c>
      <c r="L154" s="1">
        <v>80</v>
      </c>
      <c r="M154" s="1">
        <v>28</v>
      </c>
      <c r="N154" s="1">
        <v>22</v>
      </c>
      <c r="O154" s="1">
        <v>14</v>
      </c>
      <c r="P154" s="1">
        <v>70</v>
      </c>
      <c r="Q154" s="1">
        <v>49</v>
      </c>
      <c r="R154" s="1">
        <v>18</v>
      </c>
      <c r="S154" s="1">
        <v>109</v>
      </c>
      <c r="T154" s="1">
        <v>39</v>
      </c>
      <c r="U154" s="1">
        <v>21</v>
      </c>
      <c r="V154" s="1">
        <v>139</v>
      </c>
      <c r="W154" s="1">
        <v>44</v>
      </c>
      <c r="X154" s="1">
        <v>48</v>
      </c>
      <c r="Y154" s="1">
        <v>114</v>
      </c>
      <c r="Z154" s="1">
        <v>13</v>
      </c>
      <c r="AA154" s="1">
        <v>36</v>
      </c>
      <c r="AB154" s="1">
        <v>137</v>
      </c>
      <c r="AC154" s="1">
        <v>71</v>
      </c>
      <c r="AD154" s="1">
        <v>48</v>
      </c>
      <c r="AE154" s="1">
        <v>41</v>
      </c>
      <c r="AF154" s="18">
        <f t="shared" si="2"/>
        <v>56.366666666666667</v>
      </c>
    </row>
    <row r="155" spans="1:32" x14ac:dyDescent="0.35">
      <c r="A155" s="1" t="s">
        <v>119</v>
      </c>
      <c r="B155" s="1">
        <v>23</v>
      </c>
      <c r="C155" s="1">
        <v>19</v>
      </c>
      <c r="D155" s="1">
        <v>21</v>
      </c>
      <c r="E155" s="1">
        <v>99</v>
      </c>
      <c r="F155" s="1">
        <v>169</v>
      </c>
      <c r="G155" s="1">
        <v>50</v>
      </c>
      <c r="H155" s="1">
        <v>44</v>
      </c>
      <c r="I155" s="1">
        <v>69</v>
      </c>
      <c r="J155" s="1">
        <v>212</v>
      </c>
      <c r="K155" s="1">
        <v>19</v>
      </c>
      <c r="L155" s="1">
        <v>13</v>
      </c>
      <c r="M155" s="1">
        <v>28</v>
      </c>
      <c r="N155" s="1">
        <v>229</v>
      </c>
      <c r="O155" s="1">
        <v>103</v>
      </c>
      <c r="P155" s="1">
        <v>25</v>
      </c>
      <c r="Q155" s="1">
        <v>110</v>
      </c>
      <c r="R155" s="1">
        <v>17</v>
      </c>
      <c r="S155" s="1">
        <v>128</v>
      </c>
      <c r="T155" s="1">
        <v>30</v>
      </c>
      <c r="U155" s="1">
        <v>31</v>
      </c>
      <c r="V155" s="1">
        <v>42</v>
      </c>
      <c r="W155" s="1">
        <v>69</v>
      </c>
      <c r="X155" s="1">
        <v>55</v>
      </c>
      <c r="Y155" s="1">
        <v>88</v>
      </c>
      <c r="Z155" s="1">
        <v>83</v>
      </c>
      <c r="AA155" s="1">
        <v>171</v>
      </c>
      <c r="AB155" s="1">
        <v>89</v>
      </c>
      <c r="AC155" s="1">
        <v>21</v>
      </c>
      <c r="AD155" s="1">
        <v>36</v>
      </c>
      <c r="AE155" s="1">
        <v>71</v>
      </c>
      <c r="AF155" s="18">
        <f t="shared" si="2"/>
        <v>72.13333333333334</v>
      </c>
    </row>
    <row r="156" spans="1:32" x14ac:dyDescent="0.35">
      <c r="A156" s="1" t="s">
        <v>191</v>
      </c>
      <c r="B156" s="1">
        <v>49</v>
      </c>
      <c r="C156" s="1">
        <v>12</v>
      </c>
      <c r="D156" s="1">
        <v>157</v>
      </c>
      <c r="E156" s="1">
        <v>25</v>
      </c>
      <c r="F156" s="1">
        <v>17</v>
      </c>
      <c r="G156" s="1">
        <v>23</v>
      </c>
      <c r="H156" s="1">
        <v>17</v>
      </c>
      <c r="I156" s="1">
        <v>219</v>
      </c>
      <c r="J156" s="1">
        <v>27</v>
      </c>
      <c r="K156" s="1">
        <v>61</v>
      </c>
      <c r="L156" s="1">
        <v>124</v>
      </c>
      <c r="M156" s="1">
        <v>21</v>
      </c>
      <c r="N156" s="1">
        <v>27</v>
      </c>
      <c r="O156" s="1">
        <v>13</v>
      </c>
      <c r="P156" s="1">
        <v>15</v>
      </c>
      <c r="Q156" s="1">
        <v>14</v>
      </c>
      <c r="R156" s="1">
        <v>32</v>
      </c>
      <c r="S156" s="1">
        <v>14</v>
      </c>
      <c r="T156" s="1">
        <v>25</v>
      </c>
      <c r="U156" s="1">
        <v>26</v>
      </c>
      <c r="V156" s="1">
        <v>53</v>
      </c>
      <c r="W156" s="1">
        <v>14</v>
      </c>
      <c r="X156" s="1">
        <v>34</v>
      </c>
      <c r="Y156" s="1">
        <v>63</v>
      </c>
      <c r="Z156" s="1">
        <v>15</v>
      </c>
      <c r="AA156" s="1">
        <v>140</v>
      </c>
      <c r="AB156" s="1">
        <v>21</v>
      </c>
      <c r="AC156" s="1">
        <v>17</v>
      </c>
      <c r="AD156" s="1">
        <v>12</v>
      </c>
      <c r="AE156" s="1">
        <v>13</v>
      </c>
      <c r="AF156" s="18">
        <f t="shared" si="2"/>
        <v>43.333333333333336</v>
      </c>
    </row>
    <row r="157" spans="1:32" x14ac:dyDescent="0.35">
      <c r="A157" s="1" t="s">
        <v>120</v>
      </c>
      <c r="B157" s="1">
        <v>42</v>
      </c>
      <c r="C157" s="1">
        <v>16</v>
      </c>
      <c r="D157" s="1">
        <v>60</v>
      </c>
      <c r="E157" s="1">
        <v>21</v>
      </c>
      <c r="F157" s="1">
        <v>89</v>
      </c>
      <c r="G157" s="1">
        <v>46</v>
      </c>
      <c r="H157" s="1">
        <v>24</v>
      </c>
      <c r="I157" s="1">
        <v>107</v>
      </c>
      <c r="J157" s="1">
        <v>71</v>
      </c>
      <c r="K157" s="1">
        <v>12</v>
      </c>
      <c r="L157" s="1">
        <v>33</v>
      </c>
      <c r="M157" s="1">
        <v>26</v>
      </c>
      <c r="N157" s="1">
        <v>26</v>
      </c>
      <c r="O157" s="1">
        <v>52</v>
      </c>
      <c r="P157" s="1">
        <v>20</v>
      </c>
      <c r="Q157" s="1">
        <v>61</v>
      </c>
      <c r="R157" s="1">
        <v>95</v>
      </c>
      <c r="S157" s="1">
        <v>16</v>
      </c>
      <c r="T157" s="1">
        <v>29</v>
      </c>
      <c r="U157" s="1">
        <v>63</v>
      </c>
      <c r="V157" s="1">
        <v>250</v>
      </c>
      <c r="W157" s="1">
        <v>113</v>
      </c>
      <c r="X157" s="1">
        <v>181</v>
      </c>
      <c r="Y157" s="1">
        <v>22</v>
      </c>
      <c r="Z157" s="1">
        <v>13</v>
      </c>
      <c r="AA157" s="1">
        <v>31</v>
      </c>
      <c r="AB157" s="1">
        <v>89</v>
      </c>
      <c r="AC157" s="1">
        <v>14</v>
      </c>
      <c r="AD157" s="1">
        <v>73</v>
      </c>
      <c r="AE157" s="1">
        <v>34</v>
      </c>
      <c r="AF157" s="18">
        <f t="shared" si="2"/>
        <v>57.633333333333333</v>
      </c>
    </row>
    <row r="158" spans="1:32" x14ac:dyDescent="0.35">
      <c r="A158" s="1" t="s">
        <v>121</v>
      </c>
      <c r="B158" s="1">
        <v>109</v>
      </c>
      <c r="C158" s="1">
        <v>65</v>
      </c>
      <c r="D158" s="1">
        <v>33</v>
      </c>
      <c r="E158" s="1">
        <v>55</v>
      </c>
      <c r="F158" s="1">
        <v>15</v>
      </c>
      <c r="G158" s="1">
        <v>28</v>
      </c>
      <c r="H158" s="1">
        <v>64</v>
      </c>
      <c r="I158" s="1">
        <v>14</v>
      </c>
      <c r="J158" s="1">
        <v>72</v>
      </c>
      <c r="K158" s="1">
        <v>23</v>
      </c>
      <c r="L158" s="1">
        <v>128</v>
      </c>
      <c r="M158" s="1">
        <v>51</v>
      </c>
      <c r="N158" s="1">
        <v>57</v>
      </c>
      <c r="O158" s="1">
        <v>78</v>
      </c>
      <c r="P158" s="1">
        <v>150</v>
      </c>
      <c r="Q158" s="1">
        <v>196</v>
      </c>
      <c r="R158" s="1">
        <v>24</v>
      </c>
      <c r="S158" s="1">
        <v>112</v>
      </c>
      <c r="T158" s="1">
        <v>182</v>
      </c>
      <c r="U158" s="1">
        <v>111</v>
      </c>
      <c r="V158" s="1">
        <v>152</v>
      </c>
      <c r="W158" s="1">
        <v>64</v>
      </c>
      <c r="X158" s="1">
        <v>87</v>
      </c>
      <c r="Y158" s="1">
        <v>13</v>
      </c>
      <c r="Z158" s="1">
        <v>22</v>
      </c>
      <c r="AA158" s="1">
        <v>37</v>
      </c>
      <c r="AB158" s="1">
        <v>139</v>
      </c>
      <c r="AC158" s="1">
        <v>107</v>
      </c>
      <c r="AD158" s="1">
        <v>16</v>
      </c>
      <c r="AE158" s="1">
        <v>30</v>
      </c>
      <c r="AF158" s="18">
        <f t="shared" si="2"/>
        <v>74.466666666666669</v>
      </c>
    </row>
    <row r="159" spans="1:32" x14ac:dyDescent="0.35">
      <c r="A159" s="1" t="s">
        <v>141</v>
      </c>
      <c r="B159" s="1">
        <v>45</v>
      </c>
      <c r="C159" s="1">
        <v>19</v>
      </c>
      <c r="D159" s="1">
        <v>96</v>
      </c>
      <c r="E159" s="1">
        <v>75</v>
      </c>
      <c r="F159" s="1">
        <v>101</v>
      </c>
      <c r="G159" s="1">
        <v>48</v>
      </c>
      <c r="H159" s="1">
        <v>44</v>
      </c>
      <c r="I159" s="1">
        <v>96</v>
      </c>
      <c r="J159" s="1">
        <v>30</v>
      </c>
      <c r="K159" s="1">
        <v>54</v>
      </c>
      <c r="L159" s="1">
        <v>40</v>
      </c>
      <c r="M159" s="1">
        <v>50</v>
      </c>
      <c r="N159" s="1">
        <v>38</v>
      </c>
      <c r="O159" s="1">
        <v>43</v>
      </c>
      <c r="P159" s="1">
        <v>15</v>
      </c>
      <c r="Q159" s="1">
        <v>17</v>
      </c>
      <c r="R159" s="1">
        <v>70</v>
      </c>
      <c r="S159" s="1">
        <v>47</v>
      </c>
      <c r="T159" s="1">
        <v>115</v>
      </c>
      <c r="U159" s="1">
        <v>28</v>
      </c>
      <c r="V159" s="1">
        <v>93</v>
      </c>
      <c r="W159" s="1">
        <v>31</v>
      </c>
      <c r="X159" s="1">
        <v>180</v>
      </c>
      <c r="Y159" s="1">
        <v>18</v>
      </c>
      <c r="Z159" s="1">
        <v>88</v>
      </c>
      <c r="AA159" s="1">
        <v>48</v>
      </c>
      <c r="AB159" s="1">
        <v>28</v>
      </c>
      <c r="AC159" s="1">
        <v>163</v>
      </c>
      <c r="AD159" s="1">
        <v>36</v>
      </c>
      <c r="AE159" s="1">
        <v>113</v>
      </c>
      <c r="AF159" s="18">
        <f t="shared" si="2"/>
        <v>62.3</v>
      </c>
    </row>
    <row r="160" spans="1:32" x14ac:dyDescent="0.35">
      <c r="A160" s="1" t="s">
        <v>122</v>
      </c>
      <c r="B160" s="1">
        <v>119</v>
      </c>
      <c r="C160" s="1">
        <v>38</v>
      </c>
      <c r="D160" s="1">
        <v>43</v>
      </c>
      <c r="E160" s="1">
        <v>12</v>
      </c>
      <c r="F160" s="1">
        <v>31</v>
      </c>
      <c r="G160" s="1">
        <v>60</v>
      </c>
      <c r="H160" s="1">
        <v>26</v>
      </c>
      <c r="I160" s="1">
        <v>13</v>
      </c>
      <c r="J160" s="1">
        <v>43</v>
      </c>
      <c r="K160" s="1">
        <v>99</v>
      </c>
      <c r="L160" s="1">
        <v>35</v>
      </c>
      <c r="M160" s="1">
        <v>146</v>
      </c>
      <c r="N160" s="1">
        <v>100</v>
      </c>
      <c r="O160" s="1">
        <v>31</v>
      </c>
      <c r="P160" s="1">
        <v>74</v>
      </c>
      <c r="Q160" s="1">
        <v>72</v>
      </c>
      <c r="R160" s="1">
        <v>172</v>
      </c>
      <c r="S160" s="1">
        <v>15</v>
      </c>
      <c r="T160" s="1">
        <v>87</v>
      </c>
      <c r="U160" s="1">
        <v>24</v>
      </c>
      <c r="V160" s="1">
        <v>37</v>
      </c>
      <c r="W160" s="1">
        <v>67</v>
      </c>
      <c r="X160" s="1">
        <v>14</v>
      </c>
      <c r="Y160" s="1">
        <v>20</v>
      </c>
      <c r="Z160" s="1">
        <v>40</v>
      </c>
      <c r="AA160" s="1">
        <v>53</v>
      </c>
      <c r="AB160" s="1">
        <v>259</v>
      </c>
      <c r="AC160" s="1">
        <v>51</v>
      </c>
      <c r="AD160" s="1">
        <v>50</v>
      </c>
      <c r="AE160" s="1">
        <v>42</v>
      </c>
      <c r="AF160" s="18">
        <f t="shared" si="2"/>
        <v>62.43333333333333</v>
      </c>
    </row>
    <row r="161" spans="1:32" x14ac:dyDescent="0.35">
      <c r="A161" s="1" t="s">
        <v>165</v>
      </c>
      <c r="B161" s="1">
        <v>123</v>
      </c>
      <c r="C161" s="1">
        <v>38</v>
      </c>
      <c r="D161" s="1">
        <v>107</v>
      </c>
      <c r="E161" s="1">
        <v>39</v>
      </c>
      <c r="F161" s="1">
        <v>118</v>
      </c>
      <c r="G161" s="1">
        <v>13</v>
      </c>
      <c r="H161" s="1">
        <v>16</v>
      </c>
      <c r="I161" s="1">
        <v>20</v>
      </c>
      <c r="J161" s="1">
        <v>69</v>
      </c>
      <c r="K161" s="1">
        <v>173</v>
      </c>
      <c r="L161" s="1">
        <v>54</v>
      </c>
      <c r="M161" s="1">
        <v>39</v>
      </c>
      <c r="N161" s="1">
        <v>37</v>
      </c>
      <c r="O161" s="1">
        <v>20</v>
      </c>
      <c r="P161" s="1">
        <v>90</v>
      </c>
      <c r="Q161" s="1">
        <v>126</v>
      </c>
      <c r="R161" s="1">
        <v>46</v>
      </c>
      <c r="S161" s="1">
        <v>73</v>
      </c>
      <c r="T161" s="1">
        <v>28</v>
      </c>
      <c r="U161" s="1">
        <v>25</v>
      </c>
      <c r="V161" s="1">
        <v>101</v>
      </c>
      <c r="W161" s="1">
        <v>175</v>
      </c>
      <c r="X161" s="1">
        <v>46</v>
      </c>
      <c r="Y161" s="1">
        <v>31</v>
      </c>
      <c r="Z161" s="1">
        <v>18</v>
      </c>
      <c r="AA161" s="1">
        <v>15</v>
      </c>
      <c r="AB161" s="1">
        <v>24</v>
      </c>
      <c r="AC161" s="1">
        <v>150</v>
      </c>
      <c r="AD161" s="1">
        <v>71</v>
      </c>
      <c r="AE161" s="1">
        <v>50</v>
      </c>
      <c r="AF161" s="18">
        <f t="shared" si="2"/>
        <v>64.5</v>
      </c>
    </row>
    <row r="162" spans="1:32" x14ac:dyDescent="0.35">
      <c r="A162" s="1" t="s">
        <v>123</v>
      </c>
      <c r="B162" s="1">
        <v>17</v>
      </c>
      <c r="C162" s="1">
        <v>24</v>
      </c>
      <c r="D162" s="1">
        <v>29</v>
      </c>
      <c r="E162" s="1">
        <v>18</v>
      </c>
      <c r="F162" s="1">
        <v>126</v>
      </c>
      <c r="G162" s="1">
        <v>18</v>
      </c>
      <c r="H162" s="1">
        <v>16</v>
      </c>
      <c r="I162" s="1">
        <v>15</v>
      </c>
      <c r="J162" s="1">
        <v>44</v>
      </c>
      <c r="K162" s="1">
        <v>16</v>
      </c>
      <c r="L162" s="1">
        <v>47</v>
      </c>
      <c r="M162" s="1">
        <v>22</v>
      </c>
      <c r="N162" s="1">
        <v>57</v>
      </c>
      <c r="O162" s="1">
        <v>53</v>
      </c>
      <c r="P162" s="1">
        <v>36</v>
      </c>
      <c r="Q162" s="1">
        <v>78</v>
      </c>
      <c r="R162" s="1">
        <v>34</v>
      </c>
      <c r="S162" s="1">
        <v>24</v>
      </c>
      <c r="T162" s="1">
        <v>12</v>
      </c>
      <c r="U162" s="1">
        <v>79</v>
      </c>
      <c r="V162" s="1">
        <v>23</v>
      </c>
      <c r="W162" s="1">
        <v>104</v>
      </c>
      <c r="X162" s="1">
        <v>13</v>
      </c>
      <c r="Y162" s="1">
        <v>22</v>
      </c>
      <c r="Z162" s="1">
        <v>15</v>
      </c>
      <c r="AA162" s="1">
        <v>23</v>
      </c>
      <c r="AB162" s="1">
        <v>23</v>
      </c>
      <c r="AC162" s="1">
        <v>13</v>
      </c>
      <c r="AD162" s="1">
        <v>30</v>
      </c>
      <c r="AE162" s="1">
        <v>22</v>
      </c>
      <c r="AF162" s="18">
        <f t="shared" si="2"/>
        <v>35.1</v>
      </c>
    </row>
    <row r="163" spans="1:32" x14ac:dyDescent="0.35">
      <c r="A163" s="1" t="s">
        <v>124</v>
      </c>
      <c r="B163" s="1">
        <v>42</v>
      </c>
      <c r="C163" s="1">
        <v>77</v>
      </c>
      <c r="D163" s="1">
        <v>21</v>
      </c>
      <c r="E163" s="1">
        <v>63</v>
      </c>
      <c r="F163" s="1">
        <v>24</v>
      </c>
      <c r="G163" s="1">
        <v>58</v>
      </c>
      <c r="H163" s="1">
        <v>69</v>
      </c>
      <c r="I163" s="1">
        <v>64</v>
      </c>
      <c r="J163" s="1">
        <v>89</v>
      </c>
      <c r="K163" s="1">
        <v>39</v>
      </c>
      <c r="L163" s="1">
        <v>15</v>
      </c>
      <c r="M163" s="1">
        <v>52</v>
      </c>
      <c r="N163" s="1">
        <v>26</v>
      </c>
      <c r="O163" s="1">
        <v>91</v>
      </c>
      <c r="P163" s="1">
        <v>40</v>
      </c>
      <c r="Q163" s="1">
        <v>59</v>
      </c>
      <c r="R163" s="1">
        <v>101</v>
      </c>
      <c r="S163" s="1">
        <v>61</v>
      </c>
      <c r="T163" s="1">
        <v>120</v>
      </c>
      <c r="U163" s="1">
        <v>69</v>
      </c>
      <c r="V163" s="1">
        <v>13</v>
      </c>
      <c r="W163" s="1">
        <v>53</v>
      </c>
      <c r="X163" s="1">
        <v>40</v>
      </c>
      <c r="Y163" s="1">
        <v>31</v>
      </c>
      <c r="Z163" s="1">
        <v>53</v>
      </c>
      <c r="AA163" s="1">
        <v>26</v>
      </c>
      <c r="AB163" s="1">
        <v>79</v>
      </c>
      <c r="AC163" s="1">
        <v>36</v>
      </c>
      <c r="AD163" s="1">
        <v>221</v>
      </c>
      <c r="AE163" s="1">
        <v>76</v>
      </c>
      <c r="AF163" s="18">
        <f t="shared" si="2"/>
        <v>60.266666666666666</v>
      </c>
    </row>
    <row r="164" spans="1:32" x14ac:dyDescent="0.35">
      <c r="A164" s="1" t="s">
        <v>125</v>
      </c>
      <c r="B164" s="1">
        <v>80</v>
      </c>
      <c r="C164" s="1">
        <v>28</v>
      </c>
      <c r="D164" s="1">
        <v>98</v>
      </c>
      <c r="E164" s="1">
        <v>17</v>
      </c>
      <c r="F164" s="1">
        <v>21</v>
      </c>
      <c r="G164" s="1">
        <v>215</v>
      </c>
      <c r="H164" s="1">
        <v>60</v>
      </c>
      <c r="I164" s="1">
        <v>33</v>
      </c>
      <c r="J164" s="1">
        <v>45</v>
      </c>
      <c r="K164" s="1">
        <v>73</v>
      </c>
      <c r="L164" s="1">
        <v>33</v>
      </c>
      <c r="M164" s="1">
        <v>22</v>
      </c>
      <c r="N164" s="1">
        <v>31</v>
      </c>
      <c r="O164" s="1">
        <v>24</v>
      </c>
      <c r="P164" s="1">
        <v>43</v>
      </c>
      <c r="Q164" s="1">
        <v>45</v>
      </c>
      <c r="R164" s="1">
        <v>41</v>
      </c>
      <c r="S164" s="1">
        <v>27</v>
      </c>
      <c r="T164" s="1">
        <v>26</v>
      </c>
      <c r="U164" s="1">
        <v>42</v>
      </c>
      <c r="V164" s="1">
        <v>98</v>
      </c>
      <c r="W164" s="1">
        <v>18</v>
      </c>
      <c r="X164" s="1">
        <v>77</v>
      </c>
      <c r="Y164" s="1">
        <v>111</v>
      </c>
      <c r="Z164" s="1">
        <v>33</v>
      </c>
      <c r="AA164" s="1">
        <v>58</v>
      </c>
      <c r="AB164" s="1">
        <v>77</v>
      </c>
      <c r="AC164" s="1">
        <v>115</v>
      </c>
      <c r="AD164" s="1">
        <v>68</v>
      </c>
      <c r="AE164" s="1">
        <v>16</v>
      </c>
      <c r="AF164" s="18">
        <f t="shared" si="2"/>
        <v>55.833333333333336</v>
      </c>
    </row>
    <row r="165" spans="1:32" x14ac:dyDescent="0.35">
      <c r="A165" s="1" t="s">
        <v>126</v>
      </c>
      <c r="B165" s="1">
        <v>27</v>
      </c>
      <c r="C165" s="1">
        <v>31</v>
      </c>
      <c r="D165" s="1">
        <v>47</v>
      </c>
      <c r="E165" s="1">
        <v>16</v>
      </c>
      <c r="F165" s="1">
        <v>31</v>
      </c>
      <c r="G165" s="1">
        <v>14</v>
      </c>
      <c r="H165" s="1">
        <v>38</v>
      </c>
      <c r="I165" s="1">
        <v>48</v>
      </c>
      <c r="J165" s="1">
        <v>26</v>
      </c>
      <c r="K165" s="1">
        <v>20</v>
      </c>
      <c r="L165" s="1">
        <v>18</v>
      </c>
      <c r="M165" s="1">
        <v>24</v>
      </c>
      <c r="N165" s="1">
        <v>12</v>
      </c>
      <c r="O165" s="1">
        <v>12</v>
      </c>
      <c r="P165" s="1">
        <v>26</v>
      </c>
      <c r="Q165" s="1">
        <v>40</v>
      </c>
      <c r="R165" s="1">
        <v>28</v>
      </c>
      <c r="S165" s="1">
        <v>14</v>
      </c>
      <c r="T165" s="1">
        <v>14</v>
      </c>
      <c r="U165" s="1">
        <v>76</v>
      </c>
      <c r="V165" s="1">
        <v>42</v>
      </c>
      <c r="W165" s="1">
        <v>13</v>
      </c>
      <c r="X165" s="1">
        <v>29</v>
      </c>
      <c r="Y165" s="1">
        <v>20</v>
      </c>
      <c r="Z165" s="1">
        <v>19</v>
      </c>
      <c r="AA165" s="1">
        <v>32</v>
      </c>
      <c r="AB165" s="1">
        <v>25</v>
      </c>
      <c r="AC165" s="1">
        <v>12</v>
      </c>
      <c r="AD165" s="1">
        <v>18</v>
      </c>
      <c r="AE165" s="1">
        <v>14</v>
      </c>
      <c r="AF165" s="18">
        <f t="shared" si="2"/>
        <v>26.2</v>
      </c>
    </row>
    <row r="166" spans="1:32" x14ac:dyDescent="0.35">
      <c r="A166" s="1" t="s">
        <v>127</v>
      </c>
      <c r="B166" s="1">
        <v>13</v>
      </c>
      <c r="C166" s="1">
        <v>31</v>
      </c>
      <c r="D166" s="1">
        <v>76</v>
      </c>
      <c r="E166" s="1">
        <v>33</v>
      </c>
      <c r="F166" s="1">
        <v>22</v>
      </c>
      <c r="G166" s="1">
        <v>16</v>
      </c>
      <c r="H166" s="1">
        <v>55</v>
      </c>
      <c r="I166" s="1">
        <v>25</v>
      </c>
      <c r="J166" s="1">
        <v>70</v>
      </c>
      <c r="K166" s="1">
        <v>21</v>
      </c>
      <c r="L166" s="1">
        <v>35</v>
      </c>
      <c r="M166" s="1">
        <v>12</v>
      </c>
      <c r="N166" s="1">
        <v>24</v>
      </c>
      <c r="O166" s="1">
        <v>23</v>
      </c>
      <c r="P166" s="1">
        <v>16</v>
      </c>
      <c r="Q166" s="1">
        <v>95</v>
      </c>
      <c r="R166" s="1">
        <v>19</v>
      </c>
      <c r="S166" s="1">
        <v>26</v>
      </c>
      <c r="T166" s="1">
        <v>17</v>
      </c>
      <c r="U166" s="1">
        <v>24</v>
      </c>
      <c r="V166" s="1">
        <v>26</v>
      </c>
      <c r="W166" s="1">
        <v>40</v>
      </c>
      <c r="X166" s="1">
        <v>51</v>
      </c>
      <c r="Y166" s="1">
        <v>55</v>
      </c>
      <c r="Z166" s="1">
        <v>14</v>
      </c>
      <c r="AA166" s="1">
        <v>22</v>
      </c>
      <c r="AB166" s="1">
        <v>100</v>
      </c>
      <c r="AC166" s="1">
        <v>20</v>
      </c>
      <c r="AD166" s="1">
        <v>17</v>
      </c>
      <c r="AE166" s="1">
        <v>13</v>
      </c>
      <c r="AF166" s="18">
        <f t="shared" si="2"/>
        <v>33.700000000000003</v>
      </c>
    </row>
    <row r="167" spans="1:32" x14ac:dyDescent="0.35">
      <c r="A167" s="1" t="s">
        <v>128</v>
      </c>
      <c r="B167" s="1">
        <v>64</v>
      </c>
      <c r="C167" s="1">
        <v>86</v>
      </c>
      <c r="D167" s="1">
        <v>12</v>
      </c>
      <c r="E167" s="1">
        <v>19</v>
      </c>
      <c r="F167" s="1">
        <v>26</v>
      </c>
      <c r="G167" s="1">
        <v>53</v>
      </c>
      <c r="H167" s="1">
        <v>12</v>
      </c>
      <c r="I167" s="1">
        <v>17</v>
      </c>
      <c r="J167" s="1">
        <v>55</v>
      </c>
      <c r="K167" s="1">
        <v>19</v>
      </c>
      <c r="L167" s="1">
        <v>51</v>
      </c>
      <c r="M167" s="1">
        <v>98</v>
      </c>
      <c r="N167" s="1">
        <v>47</v>
      </c>
      <c r="O167" s="1">
        <v>81</v>
      </c>
      <c r="P167" s="1">
        <v>47</v>
      </c>
      <c r="Q167" s="1">
        <v>58</v>
      </c>
      <c r="R167" s="1">
        <v>17</v>
      </c>
      <c r="S167" s="1">
        <v>27</v>
      </c>
      <c r="T167" s="1">
        <v>43</v>
      </c>
      <c r="U167" s="1">
        <v>35</v>
      </c>
      <c r="V167" s="1">
        <v>69</v>
      </c>
      <c r="W167" s="1">
        <v>24</v>
      </c>
      <c r="X167" s="1">
        <v>20</v>
      </c>
      <c r="Y167" s="1">
        <v>39</v>
      </c>
      <c r="Z167" s="1">
        <v>13</v>
      </c>
      <c r="AA167" s="1">
        <v>38</v>
      </c>
      <c r="AB167" s="1">
        <v>51</v>
      </c>
      <c r="AC167" s="1">
        <v>19</v>
      </c>
      <c r="AD167" s="1">
        <v>35</v>
      </c>
      <c r="AE167" s="1">
        <v>107</v>
      </c>
      <c r="AF167" s="18">
        <f t="shared" si="2"/>
        <v>42.733333333333334</v>
      </c>
    </row>
    <row r="168" spans="1:32" x14ac:dyDescent="0.35">
      <c r="A168" s="1" t="s">
        <v>156</v>
      </c>
      <c r="B168" s="1">
        <v>42</v>
      </c>
      <c r="C168" s="1">
        <v>135</v>
      </c>
      <c r="D168" s="1">
        <v>25</v>
      </c>
      <c r="E168" s="1">
        <v>66</v>
      </c>
      <c r="F168" s="1">
        <v>83</v>
      </c>
      <c r="G168" s="1">
        <v>37</v>
      </c>
      <c r="H168" s="1">
        <v>82</v>
      </c>
      <c r="I168" s="1">
        <v>140</v>
      </c>
      <c r="J168" s="1">
        <v>41</v>
      </c>
      <c r="K168" s="1">
        <v>113</v>
      </c>
      <c r="L168" s="1">
        <v>212</v>
      </c>
      <c r="M168" s="1">
        <v>38</v>
      </c>
      <c r="N168" s="1">
        <v>17</v>
      </c>
      <c r="O168" s="1">
        <v>58</v>
      </c>
      <c r="P168" s="1">
        <v>127</v>
      </c>
      <c r="Q168" s="1">
        <v>13</v>
      </c>
      <c r="R168" s="1">
        <v>21</v>
      </c>
      <c r="S168" s="1">
        <v>13</v>
      </c>
      <c r="T168" s="1">
        <v>73</v>
      </c>
      <c r="U168" s="1">
        <v>55</v>
      </c>
      <c r="V168" s="1">
        <v>96</v>
      </c>
      <c r="W168" s="1">
        <v>35</v>
      </c>
      <c r="X168" s="1">
        <v>44</v>
      </c>
      <c r="Y168" s="1">
        <v>28</v>
      </c>
      <c r="Z168" s="1">
        <v>65</v>
      </c>
      <c r="AA168" s="1">
        <v>14</v>
      </c>
      <c r="AB168" s="1">
        <v>185</v>
      </c>
      <c r="AC168" s="1">
        <v>111</v>
      </c>
      <c r="AD168" s="1">
        <v>115</v>
      </c>
      <c r="AE168" s="1">
        <v>23</v>
      </c>
      <c r="AF168" s="18">
        <f t="shared" si="2"/>
        <v>70.233333333333334</v>
      </c>
    </row>
    <row r="169" spans="1:32" x14ac:dyDescent="0.35">
      <c r="A169" s="1" t="s">
        <v>129</v>
      </c>
      <c r="B169" s="1">
        <v>23</v>
      </c>
      <c r="C169" s="1">
        <v>45</v>
      </c>
      <c r="D169" s="1">
        <v>47</v>
      </c>
      <c r="E169" s="1">
        <v>15</v>
      </c>
      <c r="F169" s="1">
        <v>14</v>
      </c>
      <c r="G169" s="1">
        <v>81</v>
      </c>
      <c r="H169" s="1">
        <v>98</v>
      </c>
      <c r="I169" s="1">
        <v>66</v>
      </c>
      <c r="J169" s="1">
        <v>32</v>
      </c>
      <c r="K169" s="1">
        <v>23</v>
      </c>
      <c r="L169" s="1">
        <v>45</v>
      </c>
      <c r="M169" s="1">
        <v>21</v>
      </c>
      <c r="N169" s="1">
        <v>61</v>
      </c>
      <c r="O169" s="1">
        <v>13</v>
      </c>
      <c r="P169" s="1">
        <v>46</v>
      </c>
      <c r="Q169" s="1">
        <v>58</v>
      </c>
      <c r="R169" s="1">
        <v>54</v>
      </c>
      <c r="S169" s="1">
        <v>53</v>
      </c>
      <c r="T169" s="1">
        <v>61</v>
      </c>
      <c r="U169" s="1">
        <v>13</v>
      </c>
      <c r="V169" s="1">
        <v>16</v>
      </c>
      <c r="W169" s="1">
        <v>16</v>
      </c>
      <c r="X169" s="1">
        <v>21</v>
      </c>
      <c r="Y169" s="1">
        <v>303</v>
      </c>
      <c r="Z169" s="1">
        <v>62</v>
      </c>
      <c r="AA169" s="1">
        <v>49</v>
      </c>
      <c r="AB169" s="1">
        <v>42</v>
      </c>
      <c r="AC169" s="1">
        <v>99</v>
      </c>
      <c r="AD169" s="1">
        <v>84</v>
      </c>
      <c r="AE169" s="1">
        <v>33</v>
      </c>
      <c r="AF169" s="18">
        <f t="shared" si="2"/>
        <v>53.133333333333333</v>
      </c>
    </row>
    <row r="170" spans="1:32" x14ac:dyDescent="0.35">
      <c r="A170" s="1" t="s">
        <v>130</v>
      </c>
      <c r="B170" s="1">
        <v>14</v>
      </c>
      <c r="C170" s="1">
        <v>67</v>
      </c>
      <c r="D170" s="1">
        <v>18</v>
      </c>
      <c r="E170" s="1">
        <v>14</v>
      </c>
      <c r="F170" s="1">
        <v>46</v>
      </c>
      <c r="G170" s="1">
        <v>74</v>
      </c>
      <c r="H170" s="1">
        <v>42</v>
      </c>
      <c r="I170" s="1">
        <v>56</v>
      </c>
      <c r="J170" s="1">
        <v>33</v>
      </c>
      <c r="K170" s="1">
        <v>23</v>
      </c>
      <c r="L170" s="1">
        <v>70</v>
      </c>
      <c r="M170" s="1">
        <v>89</v>
      </c>
      <c r="N170" s="1">
        <v>19</v>
      </c>
      <c r="O170" s="1">
        <v>30</v>
      </c>
      <c r="P170" s="1">
        <v>56</v>
      </c>
      <c r="Q170" s="1">
        <v>73</v>
      </c>
      <c r="R170" s="1">
        <v>17</v>
      </c>
      <c r="S170" s="1">
        <v>24</v>
      </c>
      <c r="T170" s="1">
        <v>21</v>
      </c>
      <c r="U170" s="1">
        <v>12</v>
      </c>
      <c r="V170" s="1">
        <v>27</v>
      </c>
      <c r="W170" s="1">
        <v>19</v>
      </c>
      <c r="X170" s="1">
        <v>28</v>
      </c>
      <c r="Y170" s="1">
        <v>14</v>
      </c>
      <c r="Z170" s="1">
        <v>13</v>
      </c>
      <c r="AA170" s="1">
        <v>52</v>
      </c>
      <c r="AB170" s="1">
        <v>17</v>
      </c>
      <c r="AC170" s="1">
        <v>15</v>
      </c>
      <c r="AD170" s="1">
        <v>25</v>
      </c>
      <c r="AE170" s="1">
        <v>20</v>
      </c>
      <c r="AF170" s="18">
        <f t="shared" si="2"/>
        <v>34.266666666666666</v>
      </c>
    </row>
    <row r="171" spans="1:32" x14ac:dyDescent="0.35">
      <c r="A171" s="1" t="s">
        <v>192</v>
      </c>
      <c r="B171" s="1">
        <v>21</v>
      </c>
      <c r="C171" s="1">
        <v>26</v>
      </c>
      <c r="D171" s="1">
        <v>217</v>
      </c>
      <c r="E171" s="1">
        <v>13</v>
      </c>
      <c r="F171" s="1">
        <v>48</v>
      </c>
      <c r="G171" s="1">
        <v>100</v>
      </c>
      <c r="H171" s="1">
        <v>37</v>
      </c>
      <c r="I171" s="1">
        <v>58</v>
      </c>
      <c r="J171" s="1">
        <v>66</v>
      </c>
      <c r="K171" s="1">
        <v>89</v>
      </c>
      <c r="L171" s="1">
        <v>48</v>
      </c>
      <c r="M171" s="1">
        <v>25</v>
      </c>
      <c r="N171" s="1">
        <v>20</v>
      </c>
      <c r="O171" s="1">
        <v>115</v>
      </c>
      <c r="P171" s="1">
        <v>82</v>
      </c>
      <c r="Q171" s="1">
        <v>68</v>
      </c>
      <c r="R171" s="1">
        <v>39</v>
      </c>
      <c r="S171" s="1">
        <v>36</v>
      </c>
      <c r="T171" s="1">
        <v>13</v>
      </c>
      <c r="U171" s="1">
        <v>48</v>
      </c>
      <c r="V171" s="1">
        <v>114</v>
      </c>
      <c r="W171" s="1">
        <v>24</v>
      </c>
      <c r="X171" s="1">
        <v>77</v>
      </c>
      <c r="Y171" s="1">
        <v>118</v>
      </c>
      <c r="Z171" s="1">
        <v>89</v>
      </c>
      <c r="AA171" s="1">
        <v>124</v>
      </c>
      <c r="AB171" s="1">
        <v>48</v>
      </c>
      <c r="AC171" s="1">
        <v>31</v>
      </c>
      <c r="AD171" s="1">
        <v>117</v>
      </c>
      <c r="AE171" s="1">
        <v>36</v>
      </c>
      <c r="AF171" s="18">
        <f t="shared" si="2"/>
        <v>64.900000000000006</v>
      </c>
    </row>
    <row r="172" spans="1:32" x14ac:dyDescent="0.35">
      <c r="A172" s="1" t="s">
        <v>131</v>
      </c>
      <c r="B172" s="1">
        <v>127</v>
      </c>
      <c r="C172" s="1">
        <v>189</v>
      </c>
      <c r="D172" s="1">
        <v>13</v>
      </c>
      <c r="E172" s="1">
        <v>59</v>
      </c>
      <c r="F172" s="1">
        <v>58</v>
      </c>
      <c r="G172" s="1">
        <v>42</v>
      </c>
      <c r="H172" s="1">
        <v>178</v>
      </c>
      <c r="I172" s="1">
        <v>16</v>
      </c>
      <c r="J172" s="1">
        <v>14</v>
      </c>
      <c r="K172" s="1">
        <v>67</v>
      </c>
      <c r="L172" s="1">
        <v>234</v>
      </c>
      <c r="M172" s="1">
        <v>40</v>
      </c>
      <c r="N172" s="1">
        <v>82</v>
      </c>
      <c r="O172" s="1">
        <v>46</v>
      </c>
      <c r="P172" s="1">
        <v>68</v>
      </c>
      <c r="Q172" s="1">
        <v>95</v>
      </c>
      <c r="R172" s="1">
        <v>75</v>
      </c>
      <c r="S172" s="1">
        <v>207</v>
      </c>
      <c r="T172" s="1">
        <v>28</v>
      </c>
      <c r="U172" s="1">
        <v>15</v>
      </c>
      <c r="V172" s="1">
        <v>16</v>
      </c>
      <c r="W172" s="1">
        <v>15</v>
      </c>
      <c r="X172" s="1">
        <v>226</v>
      </c>
      <c r="Y172" s="1">
        <v>23</v>
      </c>
      <c r="Z172" s="1">
        <v>54</v>
      </c>
      <c r="AA172" s="1">
        <v>18</v>
      </c>
      <c r="AB172" s="1">
        <v>35</v>
      </c>
      <c r="AC172" s="1">
        <v>185</v>
      </c>
      <c r="AD172" s="1">
        <v>51</v>
      </c>
      <c r="AE172" s="1">
        <v>28</v>
      </c>
      <c r="AF172" s="18">
        <f t="shared" si="2"/>
        <v>76.8</v>
      </c>
    </row>
    <row r="173" spans="1:32" x14ac:dyDescent="0.35">
      <c r="A173" s="1" t="s">
        <v>132</v>
      </c>
      <c r="B173" s="1">
        <v>88</v>
      </c>
      <c r="C173" s="1">
        <v>64</v>
      </c>
      <c r="D173" s="1">
        <v>24</v>
      </c>
      <c r="E173" s="1">
        <v>63</v>
      </c>
      <c r="F173" s="1">
        <v>12</v>
      </c>
      <c r="G173" s="1">
        <v>100</v>
      </c>
      <c r="H173" s="1">
        <v>50</v>
      </c>
      <c r="I173" s="1">
        <v>36</v>
      </c>
      <c r="J173" s="1">
        <v>46</v>
      </c>
      <c r="K173" s="1">
        <v>113</v>
      </c>
      <c r="L173" s="1">
        <v>66</v>
      </c>
      <c r="M173" s="1">
        <v>226</v>
      </c>
      <c r="N173" s="1">
        <v>26</v>
      </c>
      <c r="O173" s="1">
        <v>13</v>
      </c>
      <c r="P173" s="1">
        <v>29</v>
      </c>
      <c r="Q173" s="1">
        <v>20</v>
      </c>
      <c r="R173" s="1">
        <v>64</v>
      </c>
      <c r="S173" s="1">
        <v>31</v>
      </c>
      <c r="T173" s="1">
        <v>24</v>
      </c>
      <c r="U173" s="1">
        <v>57</v>
      </c>
      <c r="V173" s="1">
        <v>150</v>
      </c>
      <c r="W173" s="1">
        <v>22</v>
      </c>
      <c r="X173" s="1">
        <v>36</v>
      </c>
      <c r="Y173" s="1">
        <v>76</v>
      </c>
      <c r="Z173" s="1">
        <v>104</v>
      </c>
      <c r="AA173" s="1">
        <v>40</v>
      </c>
      <c r="AB173" s="1">
        <v>105</v>
      </c>
      <c r="AC173" s="1">
        <v>42</v>
      </c>
      <c r="AD173" s="1">
        <v>34</v>
      </c>
      <c r="AE173" s="1">
        <v>37</v>
      </c>
      <c r="AF173" s="18">
        <f t="shared" si="2"/>
        <v>59.93333333333333</v>
      </c>
    </row>
    <row r="174" spans="1:32" x14ac:dyDescent="0.35">
      <c r="A174" s="1" t="s">
        <v>133</v>
      </c>
      <c r="B174" s="1">
        <v>16</v>
      </c>
      <c r="C174" s="1">
        <v>31</v>
      </c>
      <c r="D174" s="1">
        <v>63</v>
      </c>
      <c r="E174" s="1">
        <v>37</v>
      </c>
      <c r="F174" s="1">
        <v>39</v>
      </c>
      <c r="G174" s="1">
        <v>146</v>
      </c>
      <c r="H174" s="1">
        <v>29</v>
      </c>
      <c r="I174" s="1">
        <v>22</v>
      </c>
      <c r="J174" s="1">
        <v>19</v>
      </c>
      <c r="K174" s="1">
        <v>36</v>
      </c>
      <c r="L174" s="1">
        <v>12</v>
      </c>
      <c r="M174" s="1">
        <v>28</v>
      </c>
      <c r="N174" s="1">
        <v>29</v>
      </c>
      <c r="O174" s="1">
        <v>23</v>
      </c>
      <c r="P174" s="1">
        <v>25</v>
      </c>
      <c r="Q174" s="1">
        <v>141</v>
      </c>
      <c r="R174" s="1">
        <v>60</v>
      </c>
      <c r="S174" s="1">
        <v>20</v>
      </c>
      <c r="T174" s="1">
        <v>26</v>
      </c>
      <c r="U174" s="1">
        <v>63</v>
      </c>
      <c r="V174" s="1">
        <v>17</v>
      </c>
      <c r="W174" s="1">
        <v>16</v>
      </c>
      <c r="X174" s="1">
        <v>225</v>
      </c>
      <c r="Y174" s="1">
        <v>13</v>
      </c>
      <c r="Z174" s="1">
        <v>46</v>
      </c>
      <c r="AA174" s="1">
        <v>32</v>
      </c>
      <c r="AB174" s="1">
        <v>33</v>
      </c>
      <c r="AC174" s="1">
        <v>47</v>
      </c>
      <c r="AD174" s="1">
        <v>112</v>
      </c>
      <c r="AE174" s="1">
        <v>49</v>
      </c>
      <c r="AF174" s="18">
        <f t="shared" si="2"/>
        <v>48.5</v>
      </c>
    </row>
    <row r="175" spans="1:32" x14ac:dyDescent="0.35">
      <c r="A175" s="1" t="s">
        <v>134</v>
      </c>
      <c r="B175" s="1">
        <v>58</v>
      </c>
      <c r="C175" s="1">
        <v>14</v>
      </c>
      <c r="D175" s="1">
        <v>27</v>
      </c>
      <c r="E175" s="1">
        <v>85</v>
      </c>
      <c r="F175" s="1">
        <v>51</v>
      </c>
      <c r="G175" s="1">
        <v>40</v>
      </c>
      <c r="H175" s="1">
        <v>19</v>
      </c>
      <c r="I175" s="1">
        <v>31</v>
      </c>
      <c r="J175" s="1">
        <v>30</v>
      </c>
      <c r="K175" s="1">
        <v>12</v>
      </c>
      <c r="L175" s="1">
        <v>26</v>
      </c>
      <c r="M175" s="1">
        <v>18</v>
      </c>
      <c r="N175" s="1">
        <v>46</v>
      </c>
      <c r="O175" s="1">
        <v>19</v>
      </c>
      <c r="P175" s="1">
        <v>47</v>
      </c>
      <c r="Q175" s="1">
        <v>30</v>
      </c>
      <c r="R175" s="1">
        <v>54</v>
      </c>
      <c r="S175" s="1">
        <v>56</v>
      </c>
      <c r="T175" s="1">
        <v>67</v>
      </c>
      <c r="U175" s="1">
        <v>42</v>
      </c>
      <c r="V175" s="1">
        <v>45</v>
      </c>
      <c r="W175" s="1">
        <v>13</v>
      </c>
      <c r="X175" s="1">
        <v>15</v>
      </c>
      <c r="Y175" s="1">
        <v>42</v>
      </c>
      <c r="Z175" s="1">
        <v>45</v>
      </c>
      <c r="AA175" s="1">
        <v>22</v>
      </c>
      <c r="AB175" s="1">
        <v>15</v>
      </c>
      <c r="AC175" s="1">
        <v>14</v>
      </c>
      <c r="AD175" s="1">
        <v>31</v>
      </c>
      <c r="AE175" s="1">
        <v>24</v>
      </c>
      <c r="AF175" s="18">
        <f t="shared" si="2"/>
        <v>34.6</v>
      </c>
    </row>
    <row r="176" spans="1:32" x14ac:dyDescent="0.35">
      <c r="A176" s="1" t="s">
        <v>135</v>
      </c>
      <c r="B176" s="1">
        <v>17</v>
      </c>
      <c r="C176" s="1">
        <v>54</v>
      </c>
      <c r="D176" s="1">
        <v>66</v>
      </c>
      <c r="E176" s="1">
        <v>44</v>
      </c>
      <c r="F176" s="1">
        <v>17</v>
      </c>
      <c r="G176" s="1">
        <v>19</v>
      </c>
      <c r="H176" s="1">
        <v>19</v>
      </c>
      <c r="I176" s="1">
        <v>18</v>
      </c>
      <c r="J176" s="1">
        <v>21</v>
      </c>
      <c r="K176" s="1">
        <v>102</v>
      </c>
      <c r="L176" s="1">
        <v>181</v>
      </c>
      <c r="M176" s="1">
        <v>30</v>
      </c>
      <c r="N176" s="1">
        <v>57</v>
      </c>
      <c r="O176" s="1">
        <v>65</v>
      </c>
      <c r="P176" s="1">
        <v>83</v>
      </c>
      <c r="Q176" s="1">
        <v>34</v>
      </c>
      <c r="R176" s="1">
        <v>97</v>
      </c>
      <c r="S176" s="1">
        <v>224</v>
      </c>
      <c r="T176" s="1">
        <v>25</v>
      </c>
      <c r="U176" s="1">
        <v>272</v>
      </c>
      <c r="V176" s="1">
        <v>38</v>
      </c>
      <c r="W176" s="1">
        <v>67</v>
      </c>
      <c r="X176" s="1">
        <v>13</v>
      </c>
      <c r="Y176" s="1">
        <v>121</v>
      </c>
      <c r="Z176" s="1">
        <v>42</v>
      </c>
      <c r="AA176" s="1">
        <v>22</v>
      </c>
      <c r="AB176" s="1">
        <v>24</v>
      </c>
      <c r="AC176" s="1">
        <v>80</v>
      </c>
      <c r="AD176" s="1">
        <v>28</v>
      </c>
      <c r="AE176" s="1">
        <v>31</v>
      </c>
      <c r="AF176" s="18">
        <f t="shared" si="2"/>
        <v>63.7</v>
      </c>
    </row>
    <row r="177" spans="1:32" x14ac:dyDescent="0.35">
      <c r="A177" s="1" t="s">
        <v>162</v>
      </c>
      <c r="B177" s="1">
        <v>45</v>
      </c>
      <c r="C177" s="1">
        <v>31</v>
      </c>
      <c r="D177" s="1">
        <v>24</v>
      </c>
      <c r="E177" s="1">
        <v>92</v>
      </c>
      <c r="F177" s="1">
        <v>22</v>
      </c>
      <c r="G177" s="1">
        <v>46</v>
      </c>
      <c r="H177" s="1">
        <v>49</v>
      </c>
      <c r="I177" s="1">
        <v>108</v>
      </c>
      <c r="J177" s="1">
        <v>127</v>
      </c>
      <c r="K177" s="1">
        <v>16</v>
      </c>
      <c r="L177" s="1">
        <v>57</v>
      </c>
      <c r="M177" s="1">
        <v>60</v>
      </c>
      <c r="N177" s="1">
        <v>128</v>
      </c>
      <c r="O177" s="1">
        <v>78</v>
      </c>
      <c r="P177" s="1">
        <v>112</v>
      </c>
      <c r="Q177" s="1">
        <v>57</v>
      </c>
      <c r="R177" s="1">
        <v>19</v>
      </c>
      <c r="S177" s="1">
        <v>70</v>
      </c>
      <c r="T177" s="1">
        <v>15</v>
      </c>
      <c r="U177" s="1">
        <v>45</v>
      </c>
      <c r="V177" s="1">
        <v>15</v>
      </c>
      <c r="W177" s="1">
        <v>20</v>
      </c>
      <c r="X177" s="1">
        <v>12</v>
      </c>
      <c r="Y177" s="1">
        <v>61</v>
      </c>
      <c r="Z177" s="1">
        <v>49</v>
      </c>
      <c r="AA177" s="1">
        <v>61</v>
      </c>
      <c r="AB177" s="1">
        <v>48</v>
      </c>
      <c r="AC177" s="1">
        <v>73</v>
      </c>
      <c r="AD177" s="1">
        <v>92</v>
      </c>
      <c r="AE177" s="1">
        <v>53</v>
      </c>
      <c r="AF177" s="18">
        <f t="shared" si="2"/>
        <v>56.166666666666664</v>
      </c>
    </row>
    <row r="178" spans="1:32" x14ac:dyDescent="0.35">
      <c r="A178" s="1" t="s">
        <v>136</v>
      </c>
      <c r="B178" s="1">
        <v>18</v>
      </c>
      <c r="C178" s="1">
        <v>41</v>
      </c>
      <c r="D178" s="1">
        <v>129</v>
      </c>
      <c r="E178" s="1">
        <v>98</v>
      </c>
      <c r="F178" s="1">
        <v>16</v>
      </c>
      <c r="G178" s="1">
        <v>50</v>
      </c>
      <c r="H178" s="1">
        <v>126</v>
      </c>
      <c r="I178" s="1">
        <v>37</v>
      </c>
      <c r="J178" s="1">
        <v>62</v>
      </c>
      <c r="K178" s="1">
        <v>22</v>
      </c>
      <c r="L178" s="1">
        <v>47</v>
      </c>
      <c r="M178" s="1">
        <v>148</v>
      </c>
      <c r="N178" s="1">
        <v>33</v>
      </c>
      <c r="O178" s="1">
        <v>23</v>
      </c>
      <c r="P178" s="1">
        <v>27</v>
      </c>
      <c r="Q178" s="1">
        <v>19</v>
      </c>
      <c r="R178" s="1">
        <v>16</v>
      </c>
      <c r="S178" s="1">
        <v>18</v>
      </c>
      <c r="T178" s="1">
        <v>56</v>
      </c>
      <c r="U178" s="1">
        <v>15</v>
      </c>
      <c r="V178" s="1">
        <v>70</v>
      </c>
      <c r="W178" s="1">
        <v>35</v>
      </c>
      <c r="X178" s="1">
        <v>12</v>
      </c>
      <c r="Y178" s="1">
        <v>14</v>
      </c>
      <c r="Z178" s="1">
        <v>62</v>
      </c>
      <c r="AA178" s="1">
        <v>21</v>
      </c>
      <c r="AB178" s="1">
        <v>13</v>
      </c>
      <c r="AC178" s="1">
        <v>19</v>
      </c>
      <c r="AD178" s="1">
        <v>51</v>
      </c>
      <c r="AE178" s="1">
        <v>105</v>
      </c>
      <c r="AF178" s="18">
        <f t="shared" si="2"/>
        <v>46.766666666666666</v>
      </c>
    </row>
    <row r="179" spans="1:32" x14ac:dyDescent="0.35">
      <c r="A179" s="1" t="s">
        <v>142</v>
      </c>
      <c r="B179" s="1">
        <v>35</v>
      </c>
      <c r="C179" s="1">
        <v>68</v>
      </c>
      <c r="D179" s="1">
        <v>147</v>
      </c>
      <c r="E179" s="1">
        <v>118</v>
      </c>
      <c r="F179" s="1">
        <v>13</v>
      </c>
      <c r="G179" s="1">
        <v>49</v>
      </c>
      <c r="H179" s="1">
        <v>15</v>
      </c>
      <c r="I179" s="1">
        <v>16</v>
      </c>
      <c r="J179" s="1">
        <v>33</v>
      </c>
      <c r="K179" s="1">
        <v>15</v>
      </c>
      <c r="L179" s="1">
        <v>17</v>
      </c>
      <c r="M179" s="1">
        <v>94</v>
      </c>
      <c r="N179" s="1">
        <v>42</v>
      </c>
      <c r="O179" s="1">
        <v>28</v>
      </c>
      <c r="P179" s="1">
        <v>29</v>
      </c>
      <c r="Q179" s="1">
        <v>20</v>
      </c>
      <c r="R179" s="1">
        <v>52</v>
      </c>
      <c r="S179" s="1">
        <v>204</v>
      </c>
      <c r="T179" s="1">
        <v>43</v>
      </c>
      <c r="U179" s="1">
        <v>61</v>
      </c>
      <c r="V179" s="1">
        <v>67</v>
      </c>
      <c r="W179" s="1">
        <v>65</v>
      </c>
      <c r="X179" s="1">
        <v>18</v>
      </c>
      <c r="Y179" s="1">
        <v>51</v>
      </c>
      <c r="Z179" s="1">
        <v>52</v>
      </c>
      <c r="AA179" s="1">
        <v>40</v>
      </c>
      <c r="AB179" s="1">
        <v>32</v>
      </c>
      <c r="AC179" s="1">
        <v>18</v>
      </c>
      <c r="AD179" s="1">
        <v>60</v>
      </c>
      <c r="AE179" s="1">
        <v>17</v>
      </c>
      <c r="AF179" s="18">
        <f t="shared" si="2"/>
        <v>50.633333333333333</v>
      </c>
    </row>
    <row r="180" spans="1:32" x14ac:dyDescent="0.35">
      <c r="A180" s="1" t="s">
        <v>137</v>
      </c>
      <c r="B180" s="1">
        <v>110</v>
      </c>
      <c r="C180" s="1">
        <v>61</v>
      </c>
      <c r="D180" s="1">
        <v>47</v>
      </c>
      <c r="E180" s="1">
        <v>126</v>
      </c>
      <c r="F180" s="1">
        <v>61</v>
      </c>
      <c r="G180" s="1">
        <v>90</v>
      </c>
      <c r="H180" s="1">
        <v>36</v>
      </c>
      <c r="I180" s="1">
        <v>38</v>
      </c>
      <c r="J180" s="1">
        <v>61</v>
      </c>
      <c r="K180" s="1">
        <v>47</v>
      </c>
      <c r="L180" s="1">
        <v>254</v>
      </c>
      <c r="M180" s="1">
        <v>26</v>
      </c>
      <c r="N180" s="1">
        <v>22</v>
      </c>
      <c r="O180" s="1">
        <v>78</v>
      </c>
      <c r="P180" s="1">
        <v>120</v>
      </c>
      <c r="Q180" s="1">
        <v>39</v>
      </c>
      <c r="R180" s="1">
        <v>90</v>
      </c>
      <c r="S180" s="1">
        <v>32</v>
      </c>
      <c r="T180" s="1">
        <v>43</v>
      </c>
      <c r="U180" s="1">
        <v>40</v>
      </c>
      <c r="V180" s="1">
        <v>101</v>
      </c>
      <c r="W180" s="1">
        <v>29</v>
      </c>
      <c r="X180" s="1">
        <v>96</v>
      </c>
      <c r="Y180" s="1">
        <v>39</v>
      </c>
      <c r="Z180" s="1">
        <v>48</v>
      </c>
      <c r="AA180" s="1">
        <v>21</v>
      </c>
      <c r="AB180" s="1">
        <v>31</v>
      </c>
      <c r="AC180" s="1">
        <v>50</v>
      </c>
      <c r="AD180" s="1">
        <v>61</v>
      </c>
      <c r="AE180" s="1">
        <v>100</v>
      </c>
      <c r="AF180" s="18">
        <f t="shared" si="2"/>
        <v>66.566666666666663</v>
      </c>
    </row>
    <row r="181" spans="1:32" x14ac:dyDescent="0.35">
      <c r="A181" s="1" t="s">
        <v>138</v>
      </c>
      <c r="B181" s="1">
        <v>28</v>
      </c>
      <c r="C181" s="1">
        <v>50</v>
      </c>
      <c r="D181" s="1">
        <v>65</v>
      </c>
      <c r="E181" s="1">
        <v>19</v>
      </c>
      <c r="F181" s="1">
        <v>25</v>
      </c>
      <c r="G181" s="1">
        <v>42</v>
      </c>
      <c r="H181" s="1">
        <v>62</v>
      </c>
      <c r="I181" s="1">
        <v>44</v>
      </c>
      <c r="J181" s="1">
        <v>22</v>
      </c>
      <c r="K181" s="1">
        <v>34</v>
      </c>
      <c r="L181" s="1">
        <v>25</v>
      </c>
      <c r="M181" s="1">
        <v>36</v>
      </c>
      <c r="N181" s="1">
        <v>21</v>
      </c>
      <c r="O181" s="1">
        <v>20</v>
      </c>
      <c r="P181" s="1">
        <v>86</v>
      </c>
      <c r="Q181" s="1">
        <v>70</v>
      </c>
      <c r="R181" s="1">
        <v>18</v>
      </c>
      <c r="S181" s="1">
        <v>22</v>
      </c>
      <c r="T181" s="1">
        <v>58</v>
      </c>
      <c r="U181" s="1">
        <v>20</v>
      </c>
      <c r="V181" s="1">
        <v>102</v>
      </c>
      <c r="W181" s="1">
        <v>65</v>
      </c>
      <c r="X181" s="1">
        <v>47</v>
      </c>
      <c r="Y181" s="1">
        <v>27</v>
      </c>
      <c r="Z181" s="1">
        <v>12</v>
      </c>
      <c r="AA181" s="1">
        <v>69</v>
      </c>
      <c r="AB181" s="1">
        <v>35</v>
      </c>
      <c r="AC181" s="1">
        <v>13</v>
      </c>
      <c r="AD181" s="1">
        <v>21</v>
      </c>
      <c r="AE181" s="1">
        <v>77</v>
      </c>
      <c r="AF181" s="18">
        <f t="shared" si="2"/>
        <v>41.166666666666664</v>
      </c>
    </row>
    <row r="182" spans="1:32" x14ac:dyDescent="0.35">
      <c r="A182" s="1" t="s">
        <v>139</v>
      </c>
      <c r="B182" s="1">
        <v>34</v>
      </c>
      <c r="C182" s="1">
        <v>30</v>
      </c>
      <c r="D182" s="1">
        <v>50</v>
      </c>
      <c r="E182" s="1">
        <v>30</v>
      </c>
      <c r="F182" s="1">
        <v>29</v>
      </c>
      <c r="G182" s="1">
        <v>50</v>
      </c>
      <c r="H182" s="1">
        <v>24</v>
      </c>
      <c r="I182" s="1">
        <v>60</v>
      </c>
      <c r="J182" s="1">
        <v>25</v>
      </c>
      <c r="K182" s="1">
        <v>14</v>
      </c>
      <c r="L182" s="1">
        <v>16</v>
      </c>
      <c r="M182" s="1">
        <v>40</v>
      </c>
      <c r="N182" s="1">
        <v>148</v>
      </c>
      <c r="O182" s="1">
        <v>16</v>
      </c>
      <c r="P182" s="1">
        <v>39</v>
      </c>
      <c r="Q182" s="1">
        <v>43</v>
      </c>
      <c r="R182" s="1">
        <v>50</v>
      </c>
      <c r="S182" s="1">
        <v>12</v>
      </c>
      <c r="T182" s="1">
        <v>24</v>
      </c>
      <c r="U182" s="1">
        <v>45</v>
      </c>
      <c r="V182" s="1">
        <v>18</v>
      </c>
      <c r="W182" s="1">
        <v>26</v>
      </c>
      <c r="X182" s="1">
        <v>137</v>
      </c>
      <c r="Y182" s="1">
        <v>58</v>
      </c>
      <c r="Z182" s="1">
        <v>59</v>
      </c>
      <c r="AA182" s="1">
        <v>47</v>
      </c>
      <c r="AB182" s="1">
        <v>20</v>
      </c>
      <c r="AC182" s="1">
        <v>30</v>
      </c>
      <c r="AD182" s="1">
        <v>79</v>
      </c>
      <c r="AE182" s="1">
        <v>52</v>
      </c>
      <c r="AF182" s="18">
        <f t="shared" si="2"/>
        <v>43.5</v>
      </c>
    </row>
    <row r="183" spans="1:32" x14ac:dyDescent="0.35">
      <c r="A183" s="1" t="s">
        <v>140</v>
      </c>
      <c r="B183" s="1">
        <v>124</v>
      </c>
      <c r="C183" s="1">
        <v>12</v>
      </c>
      <c r="D183" s="1">
        <v>47</v>
      </c>
      <c r="E183" s="1">
        <v>26</v>
      </c>
      <c r="F183" s="1">
        <v>33</v>
      </c>
      <c r="G183" s="1">
        <v>47</v>
      </c>
      <c r="H183" s="1">
        <v>131</v>
      </c>
      <c r="I183" s="1">
        <v>40</v>
      </c>
      <c r="J183" s="1">
        <v>77</v>
      </c>
      <c r="K183" s="1">
        <v>18</v>
      </c>
      <c r="L183" s="1">
        <v>52</v>
      </c>
      <c r="M183" s="1">
        <v>22</v>
      </c>
      <c r="N183" s="1">
        <v>27</v>
      </c>
      <c r="O183" s="1">
        <v>49</v>
      </c>
      <c r="P183" s="1">
        <v>69</v>
      </c>
      <c r="Q183" s="1">
        <v>43</v>
      </c>
      <c r="R183" s="1">
        <v>145</v>
      </c>
      <c r="S183" s="1">
        <v>65</v>
      </c>
      <c r="T183" s="1">
        <v>94</v>
      </c>
      <c r="U183" s="1">
        <v>66</v>
      </c>
      <c r="V183" s="1">
        <v>71</v>
      </c>
      <c r="W183" s="1">
        <v>116</v>
      </c>
      <c r="X183" s="1">
        <v>59</v>
      </c>
      <c r="Y183" s="1">
        <v>213</v>
      </c>
      <c r="Z183" s="1">
        <v>261</v>
      </c>
      <c r="AA183" s="1">
        <v>201</v>
      </c>
      <c r="AB183" s="1">
        <v>185</v>
      </c>
      <c r="AC183" s="1">
        <v>85</v>
      </c>
      <c r="AD183" s="1">
        <v>27</v>
      </c>
      <c r="AE183" s="1">
        <v>89</v>
      </c>
      <c r="AF183" s="18">
        <f t="shared" si="2"/>
        <v>83.13333333333334</v>
      </c>
    </row>
    <row r="184" spans="1:32" x14ac:dyDescent="0.35">
      <c r="A184" s="1" t="s">
        <v>143</v>
      </c>
      <c r="B184" s="1">
        <v>21</v>
      </c>
      <c r="C184" s="1">
        <v>79</v>
      </c>
      <c r="D184" s="1">
        <v>71</v>
      </c>
      <c r="E184" s="1">
        <v>80</v>
      </c>
      <c r="F184" s="1">
        <v>24</v>
      </c>
      <c r="G184" s="1">
        <v>19</v>
      </c>
      <c r="H184" s="1">
        <v>20</v>
      </c>
      <c r="I184" s="1">
        <v>61</v>
      </c>
      <c r="J184" s="1">
        <v>35</v>
      </c>
      <c r="K184" s="1">
        <v>73</v>
      </c>
      <c r="L184" s="1">
        <v>15</v>
      </c>
      <c r="M184" s="1">
        <v>34</v>
      </c>
      <c r="N184" s="1">
        <v>53</v>
      </c>
      <c r="O184" s="1">
        <v>110</v>
      </c>
      <c r="P184" s="1">
        <v>65</v>
      </c>
      <c r="Q184" s="1">
        <v>76</v>
      </c>
      <c r="R184" s="1">
        <v>42</v>
      </c>
      <c r="S184" s="1">
        <v>34</v>
      </c>
      <c r="T184" s="1">
        <v>36</v>
      </c>
      <c r="U184" s="1">
        <v>20</v>
      </c>
      <c r="V184" s="1">
        <v>28</v>
      </c>
      <c r="W184" s="1">
        <v>33</v>
      </c>
      <c r="X184" s="1">
        <v>12</v>
      </c>
      <c r="Y184" s="1">
        <v>123</v>
      </c>
      <c r="Z184" s="1">
        <v>34</v>
      </c>
      <c r="AA184" s="1">
        <v>17</v>
      </c>
      <c r="AB184" s="1">
        <v>12</v>
      </c>
      <c r="AC184" s="1">
        <v>40</v>
      </c>
      <c r="AD184" s="1">
        <v>27</v>
      </c>
      <c r="AE184" s="1">
        <v>69</v>
      </c>
      <c r="AF184" s="18">
        <f t="shared" si="2"/>
        <v>45.43333333333333</v>
      </c>
    </row>
    <row r="185" spans="1:32" x14ac:dyDescent="0.35">
      <c r="A185" s="1" t="s">
        <v>144</v>
      </c>
      <c r="B185" s="1">
        <v>43</v>
      </c>
      <c r="C185" s="1">
        <v>22</v>
      </c>
      <c r="D185" s="1">
        <v>14</v>
      </c>
      <c r="E185" s="1">
        <v>29</v>
      </c>
      <c r="F185" s="1">
        <v>23</v>
      </c>
      <c r="G185" s="1">
        <v>21</v>
      </c>
      <c r="H185" s="1">
        <v>13</v>
      </c>
      <c r="I185" s="1">
        <v>82</v>
      </c>
      <c r="J185" s="1">
        <v>34</v>
      </c>
      <c r="K185" s="1">
        <v>53</v>
      </c>
      <c r="L185" s="1">
        <v>24</v>
      </c>
      <c r="M185" s="1">
        <v>36</v>
      </c>
      <c r="N185" s="1">
        <v>19</v>
      </c>
      <c r="O185" s="1">
        <v>77</v>
      </c>
      <c r="P185" s="1">
        <v>43</v>
      </c>
      <c r="Q185" s="1">
        <v>22</v>
      </c>
      <c r="R185" s="1">
        <v>14</v>
      </c>
      <c r="S185" s="1">
        <v>142</v>
      </c>
      <c r="T185" s="1">
        <v>15</v>
      </c>
      <c r="U185" s="1">
        <v>20</v>
      </c>
      <c r="V185" s="1">
        <v>46</v>
      </c>
      <c r="W185" s="1">
        <v>58</v>
      </c>
      <c r="X185" s="1">
        <v>39</v>
      </c>
      <c r="Y185" s="1">
        <v>67</v>
      </c>
      <c r="Z185" s="1">
        <v>91</v>
      </c>
      <c r="AA185" s="1">
        <v>46</v>
      </c>
      <c r="AB185" s="1">
        <v>44</v>
      </c>
      <c r="AC185" s="1">
        <v>82</v>
      </c>
      <c r="AD185" s="1">
        <v>69</v>
      </c>
      <c r="AE185" s="1">
        <v>18</v>
      </c>
      <c r="AF185" s="18">
        <f t="shared" si="2"/>
        <v>43.533333333333331</v>
      </c>
    </row>
    <row r="186" spans="1:32" x14ac:dyDescent="0.35">
      <c r="A186" s="1" t="s">
        <v>145</v>
      </c>
      <c r="B186" s="1">
        <v>65</v>
      </c>
      <c r="C186" s="1">
        <v>60</v>
      </c>
      <c r="D186" s="1">
        <v>19</v>
      </c>
      <c r="E186" s="1">
        <v>26</v>
      </c>
      <c r="F186" s="1">
        <v>29</v>
      </c>
      <c r="G186" s="1">
        <v>201</v>
      </c>
      <c r="H186" s="1">
        <v>27</v>
      </c>
      <c r="I186" s="1">
        <v>39</v>
      </c>
      <c r="J186" s="1">
        <v>46</v>
      </c>
      <c r="K186" s="1">
        <v>62</v>
      </c>
      <c r="L186" s="1">
        <v>29</v>
      </c>
      <c r="M186" s="1">
        <v>29</v>
      </c>
      <c r="N186" s="1">
        <v>17</v>
      </c>
      <c r="O186" s="1">
        <v>17</v>
      </c>
      <c r="P186" s="1">
        <v>31</v>
      </c>
      <c r="Q186" s="1">
        <v>57</v>
      </c>
      <c r="R186" s="1">
        <v>18</v>
      </c>
      <c r="S186" s="1">
        <v>52</v>
      </c>
      <c r="T186" s="1">
        <v>35</v>
      </c>
      <c r="U186" s="1">
        <v>97</v>
      </c>
      <c r="V186" s="1">
        <v>20</v>
      </c>
      <c r="W186" s="1">
        <v>37</v>
      </c>
      <c r="X186" s="1">
        <v>31</v>
      </c>
      <c r="Y186" s="1">
        <v>92</v>
      </c>
      <c r="Z186" s="1">
        <v>12</v>
      </c>
      <c r="AA186" s="1">
        <v>68</v>
      </c>
      <c r="AB186" s="1">
        <v>24</v>
      </c>
      <c r="AC186" s="1">
        <v>14</v>
      </c>
      <c r="AD186" s="1">
        <v>23</v>
      </c>
      <c r="AE186" s="1">
        <v>14</v>
      </c>
      <c r="AF186" s="18">
        <f t="shared" si="2"/>
        <v>43.033333333333331</v>
      </c>
    </row>
    <row r="187" spans="1:32" x14ac:dyDescent="0.35">
      <c r="A187" s="1" t="s">
        <v>146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8">
        <f t="shared" si="2"/>
        <v>0</v>
      </c>
    </row>
    <row r="188" spans="1:32" x14ac:dyDescent="0.35">
      <c r="A188" s="1" t="s">
        <v>147</v>
      </c>
      <c r="B188" s="1">
        <v>23</v>
      </c>
      <c r="C188" s="1">
        <v>26</v>
      </c>
      <c r="D188" s="1">
        <v>25</v>
      </c>
      <c r="E188" s="1">
        <v>43</v>
      </c>
      <c r="F188" s="1">
        <v>210</v>
      </c>
      <c r="G188" s="1">
        <v>85</v>
      </c>
      <c r="H188" s="1">
        <v>60</v>
      </c>
      <c r="I188" s="1">
        <v>26</v>
      </c>
      <c r="J188" s="1">
        <v>72</v>
      </c>
      <c r="K188" s="1">
        <v>23</v>
      </c>
      <c r="L188" s="1">
        <v>72</v>
      </c>
      <c r="M188" s="1">
        <v>123</v>
      </c>
      <c r="N188" s="1">
        <v>40</v>
      </c>
      <c r="O188" s="1">
        <v>138</v>
      </c>
      <c r="P188" s="1">
        <v>18</v>
      </c>
      <c r="Q188" s="1">
        <v>17</v>
      </c>
      <c r="R188" s="1">
        <v>58</v>
      </c>
      <c r="S188" s="1">
        <v>107</v>
      </c>
      <c r="T188" s="1">
        <v>14</v>
      </c>
      <c r="U188" s="1">
        <v>88</v>
      </c>
      <c r="V188" s="1">
        <v>31</v>
      </c>
      <c r="W188" s="1">
        <v>88</v>
      </c>
      <c r="X188" s="1">
        <v>40</v>
      </c>
      <c r="Y188" s="1">
        <v>268</v>
      </c>
      <c r="Z188" s="1">
        <v>458</v>
      </c>
      <c r="AA188" s="1">
        <v>43</v>
      </c>
      <c r="AB188" s="1">
        <v>272</v>
      </c>
      <c r="AC188" s="1">
        <v>77</v>
      </c>
      <c r="AD188" s="1">
        <v>73</v>
      </c>
      <c r="AE188" s="1">
        <v>44</v>
      </c>
      <c r="AF188" s="18">
        <f t="shared" si="2"/>
        <v>88.733333333333334</v>
      </c>
    </row>
    <row r="189" spans="1:32" x14ac:dyDescent="0.35">
      <c r="A189" s="1" t="s">
        <v>148</v>
      </c>
      <c r="B189" s="1">
        <v>71</v>
      </c>
      <c r="C189" s="1">
        <v>39</v>
      </c>
      <c r="D189" s="1">
        <v>17</v>
      </c>
      <c r="E189" s="1">
        <v>13</v>
      </c>
      <c r="F189" s="1">
        <v>64</v>
      </c>
      <c r="G189" s="1">
        <v>67</v>
      </c>
      <c r="H189" s="1">
        <v>119</v>
      </c>
      <c r="I189" s="1">
        <v>26</v>
      </c>
      <c r="J189" s="1">
        <v>20</v>
      </c>
      <c r="K189" s="1">
        <v>44</v>
      </c>
      <c r="L189" s="1">
        <v>30</v>
      </c>
      <c r="M189" s="1">
        <v>166</v>
      </c>
      <c r="N189" s="1">
        <v>115</v>
      </c>
      <c r="O189" s="1">
        <v>12</v>
      </c>
      <c r="P189" s="1">
        <v>16</v>
      </c>
      <c r="Q189" s="1">
        <v>48</v>
      </c>
      <c r="R189" s="1">
        <v>13</v>
      </c>
      <c r="S189" s="1">
        <v>59</v>
      </c>
      <c r="T189" s="1">
        <v>58</v>
      </c>
      <c r="U189" s="1">
        <v>48</v>
      </c>
      <c r="V189" s="1">
        <v>29</v>
      </c>
      <c r="W189" s="1">
        <v>17</v>
      </c>
      <c r="X189" s="1">
        <v>19</v>
      </c>
      <c r="Y189" s="1">
        <v>31</v>
      </c>
      <c r="Z189" s="1">
        <v>21</v>
      </c>
      <c r="AA189" s="1">
        <v>71</v>
      </c>
      <c r="AB189" s="1">
        <v>71</v>
      </c>
      <c r="AC189" s="1">
        <v>25</v>
      </c>
      <c r="AD189" s="1">
        <v>51</v>
      </c>
      <c r="AE189" s="1">
        <v>27</v>
      </c>
      <c r="AF189" s="18">
        <f t="shared" si="2"/>
        <v>46.9</v>
      </c>
    </row>
    <row r="190" spans="1:32" x14ac:dyDescent="0.35">
      <c r="A190" s="1" t="s">
        <v>149</v>
      </c>
      <c r="B190" s="1">
        <v>12</v>
      </c>
      <c r="C190" s="1">
        <v>98</v>
      </c>
      <c r="D190" s="1">
        <v>114</v>
      </c>
      <c r="E190" s="1">
        <v>22</v>
      </c>
      <c r="F190" s="1">
        <v>48</v>
      </c>
      <c r="G190" s="1">
        <v>52</v>
      </c>
      <c r="H190" s="1">
        <v>13</v>
      </c>
      <c r="I190" s="1">
        <v>49</v>
      </c>
      <c r="J190" s="1">
        <v>51</v>
      </c>
      <c r="K190" s="1">
        <v>129</v>
      </c>
      <c r="L190" s="1">
        <v>64</v>
      </c>
      <c r="M190" s="1">
        <v>44</v>
      </c>
      <c r="N190" s="1">
        <v>62</v>
      </c>
      <c r="O190" s="1">
        <v>18</v>
      </c>
      <c r="P190" s="1">
        <v>59</v>
      </c>
      <c r="Q190" s="1">
        <v>30</v>
      </c>
      <c r="R190" s="1">
        <v>23</v>
      </c>
      <c r="S190" s="1">
        <v>54</v>
      </c>
      <c r="T190" s="1">
        <v>24</v>
      </c>
      <c r="U190" s="1">
        <v>19</v>
      </c>
      <c r="V190" s="1">
        <v>75</v>
      </c>
      <c r="W190" s="1">
        <v>26</v>
      </c>
      <c r="X190" s="1">
        <v>45</v>
      </c>
      <c r="Y190" s="1">
        <v>71</v>
      </c>
      <c r="Z190" s="1">
        <v>18</v>
      </c>
      <c r="AA190" s="1">
        <v>57</v>
      </c>
      <c r="AB190" s="1">
        <v>33</v>
      </c>
      <c r="AC190" s="1">
        <v>47</v>
      </c>
      <c r="AD190" s="1">
        <v>35</v>
      </c>
      <c r="AE190" s="1">
        <v>85</v>
      </c>
      <c r="AF190" s="18">
        <f t="shared" si="2"/>
        <v>49.233333333333334</v>
      </c>
    </row>
    <row r="191" spans="1:32" x14ac:dyDescent="0.35">
      <c r="A191" s="1" t="s">
        <v>150</v>
      </c>
      <c r="B191" s="1">
        <v>31</v>
      </c>
      <c r="C191" s="1">
        <v>51</v>
      </c>
      <c r="D191" s="1">
        <v>115</v>
      </c>
      <c r="E191" s="1">
        <v>50</v>
      </c>
      <c r="F191" s="1">
        <v>27</v>
      </c>
      <c r="G191" s="1">
        <v>60</v>
      </c>
      <c r="H191" s="1">
        <v>26</v>
      </c>
      <c r="I191" s="1">
        <v>30</v>
      </c>
      <c r="J191" s="1">
        <v>37</v>
      </c>
      <c r="K191" s="1">
        <v>40</v>
      </c>
      <c r="L191" s="1">
        <v>134</v>
      </c>
      <c r="M191" s="1">
        <v>81</v>
      </c>
      <c r="N191" s="1">
        <v>41</v>
      </c>
      <c r="O191" s="1">
        <v>164</v>
      </c>
      <c r="P191" s="1">
        <v>59</v>
      </c>
      <c r="Q191" s="1">
        <v>25</v>
      </c>
      <c r="R191" s="1">
        <v>108</v>
      </c>
      <c r="S191" s="1">
        <v>36</v>
      </c>
      <c r="T191" s="1">
        <v>79</v>
      </c>
      <c r="U191" s="1">
        <v>32</v>
      </c>
      <c r="V191" s="1">
        <v>108</v>
      </c>
      <c r="W191" s="1">
        <v>53</v>
      </c>
      <c r="X191" s="1">
        <v>14</v>
      </c>
      <c r="Y191" s="1">
        <v>18</v>
      </c>
      <c r="Z191" s="1">
        <v>15</v>
      </c>
      <c r="AA191" s="1">
        <v>48</v>
      </c>
      <c r="AB191" s="1">
        <v>18</v>
      </c>
      <c r="AC191" s="1">
        <v>13</v>
      </c>
      <c r="AD191" s="1">
        <v>28</v>
      </c>
      <c r="AE191" s="1">
        <v>65</v>
      </c>
      <c r="AF191" s="18">
        <f t="shared" si="2"/>
        <v>53.533333333333331</v>
      </c>
    </row>
    <row r="192" spans="1:32" x14ac:dyDescent="0.35">
      <c r="A192" s="1" t="s">
        <v>159</v>
      </c>
      <c r="B192" s="1">
        <v>28</v>
      </c>
      <c r="C192" s="1">
        <v>31</v>
      </c>
      <c r="D192" s="1">
        <v>267</v>
      </c>
      <c r="E192" s="1">
        <v>38</v>
      </c>
      <c r="F192" s="1">
        <v>27</v>
      </c>
      <c r="G192" s="1">
        <v>22</v>
      </c>
      <c r="H192" s="1">
        <v>75</v>
      </c>
      <c r="I192" s="1">
        <v>22</v>
      </c>
      <c r="J192" s="1">
        <v>22</v>
      </c>
      <c r="K192" s="1">
        <v>47</v>
      </c>
      <c r="L192" s="1">
        <v>32</v>
      </c>
      <c r="M192" s="1">
        <v>32</v>
      </c>
      <c r="N192" s="1">
        <v>26</v>
      </c>
      <c r="O192" s="1">
        <v>81</v>
      </c>
      <c r="P192" s="1">
        <v>32</v>
      </c>
      <c r="Q192" s="1">
        <v>401</v>
      </c>
      <c r="R192" s="1">
        <v>63</v>
      </c>
      <c r="S192" s="1">
        <v>212</v>
      </c>
      <c r="T192" s="1">
        <v>37</v>
      </c>
      <c r="U192" s="1">
        <v>73</v>
      </c>
      <c r="V192" s="1">
        <v>17</v>
      </c>
      <c r="W192" s="1">
        <v>27</v>
      </c>
      <c r="X192" s="1">
        <v>94</v>
      </c>
      <c r="Y192" s="1">
        <v>26</v>
      </c>
      <c r="Z192" s="1">
        <v>31</v>
      </c>
      <c r="AA192" s="1">
        <v>28</v>
      </c>
      <c r="AB192" s="1">
        <v>29</v>
      </c>
      <c r="AC192" s="1">
        <v>112</v>
      </c>
      <c r="AD192" s="1">
        <v>40</v>
      </c>
      <c r="AE192" s="1">
        <v>168</v>
      </c>
      <c r="AF192" s="18">
        <f t="shared" si="2"/>
        <v>71.333333333333329</v>
      </c>
    </row>
    <row r="193" spans="1:32" x14ac:dyDescent="0.35">
      <c r="A193" s="1" t="s">
        <v>151</v>
      </c>
      <c r="B193" s="1">
        <v>21</v>
      </c>
      <c r="C193" s="1">
        <v>79</v>
      </c>
      <c r="D193" s="1">
        <v>21</v>
      </c>
      <c r="E193" s="1">
        <v>55</v>
      </c>
      <c r="F193" s="1">
        <v>18</v>
      </c>
      <c r="G193" s="1">
        <v>14</v>
      </c>
      <c r="H193" s="1">
        <v>47</v>
      </c>
      <c r="I193" s="1">
        <v>76</v>
      </c>
      <c r="J193" s="1">
        <v>15</v>
      </c>
      <c r="K193" s="1">
        <v>28</v>
      </c>
      <c r="L193" s="1">
        <v>33</v>
      </c>
      <c r="M193" s="1">
        <v>17</v>
      </c>
      <c r="N193" s="1">
        <v>98</v>
      </c>
      <c r="O193" s="1">
        <v>98</v>
      </c>
      <c r="P193" s="1">
        <v>31</v>
      </c>
      <c r="Q193" s="1">
        <v>57</v>
      </c>
      <c r="R193" s="1">
        <v>17</v>
      </c>
      <c r="S193" s="1">
        <v>16</v>
      </c>
      <c r="T193" s="1">
        <v>20</v>
      </c>
      <c r="U193" s="1">
        <v>17</v>
      </c>
      <c r="V193" s="1">
        <v>23</v>
      </c>
      <c r="W193" s="1">
        <v>34</v>
      </c>
      <c r="X193" s="1">
        <v>16</v>
      </c>
      <c r="Y193" s="1">
        <v>25</v>
      </c>
      <c r="Z193" s="1">
        <v>20</v>
      </c>
      <c r="AA193" s="1">
        <v>30</v>
      </c>
      <c r="AB193" s="1">
        <v>21</v>
      </c>
      <c r="AC193" s="1">
        <v>54</v>
      </c>
      <c r="AD193" s="1">
        <v>33</v>
      </c>
      <c r="AE193" s="1">
        <v>25</v>
      </c>
      <c r="AF193" s="18">
        <f t="shared" si="2"/>
        <v>35.299999999999997</v>
      </c>
    </row>
    <row r="194" spans="1:32" x14ac:dyDescent="0.35">
      <c r="A194" s="1" t="s">
        <v>152</v>
      </c>
      <c r="B194" s="1">
        <v>142</v>
      </c>
      <c r="C194" s="1">
        <v>61</v>
      </c>
      <c r="D194" s="1">
        <v>39</v>
      </c>
      <c r="E194" s="1">
        <v>42</v>
      </c>
      <c r="F194" s="1">
        <v>16</v>
      </c>
      <c r="G194" s="1">
        <v>129</v>
      </c>
      <c r="H194" s="1">
        <v>44</v>
      </c>
      <c r="I194" s="1">
        <v>164</v>
      </c>
      <c r="J194" s="1">
        <v>37</v>
      </c>
      <c r="K194" s="1">
        <v>36</v>
      </c>
      <c r="L194" s="1">
        <v>29</v>
      </c>
      <c r="M194" s="1">
        <v>78</v>
      </c>
      <c r="N194" s="1">
        <v>28</v>
      </c>
      <c r="O194" s="1">
        <v>156</v>
      </c>
      <c r="P194" s="1">
        <v>34</v>
      </c>
      <c r="Q194" s="1">
        <v>32</v>
      </c>
      <c r="R194" s="1">
        <v>52</v>
      </c>
      <c r="S194" s="1">
        <v>54</v>
      </c>
      <c r="T194" s="1">
        <v>131</v>
      </c>
      <c r="U194" s="1">
        <v>74</v>
      </c>
      <c r="V194" s="1">
        <v>18</v>
      </c>
      <c r="W194" s="1">
        <v>21</v>
      </c>
      <c r="X194" s="1">
        <v>22</v>
      </c>
      <c r="Y194" s="1">
        <v>18</v>
      </c>
      <c r="Z194" s="1">
        <v>137</v>
      </c>
      <c r="AA194" s="1">
        <v>13</v>
      </c>
      <c r="AB194" s="1">
        <v>18</v>
      </c>
      <c r="AC194" s="1">
        <v>15</v>
      </c>
      <c r="AD194" s="1">
        <v>183</v>
      </c>
      <c r="AE194" s="1">
        <v>71</v>
      </c>
      <c r="AF194" s="18">
        <f t="shared" si="2"/>
        <v>63.133333333333333</v>
      </c>
    </row>
    <row r="195" spans="1:32" x14ac:dyDescent="0.35">
      <c r="A195" s="1" t="s">
        <v>153</v>
      </c>
      <c r="B195" s="1">
        <v>35</v>
      </c>
      <c r="C195" s="1">
        <v>17</v>
      </c>
      <c r="D195" s="1">
        <v>48</v>
      </c>
      <c r="E195" s="1">
        <v>55</v>
      </c>
      <c r="F195" s="1">
        <v>21</v>
      </c>
      <c r="G195" s="1">
        <v>48</v>
      </c>
      <c r="H195" s="1">
        <v>26</v>
      </c>
      <c r="I195" s="1">
        <v>12</v>
      </c>
      <c r="J195" s="1">
        <v>21</v>
      </c>
      <c r="K195" s="1">
        <v>38</v>
      </c>
      <c r="L195" s="1">
        <v>46</v>
      </c>
      <c r="M195" s="1">
        <v>35</v>
      </c>
      <c r="N195" s="1">
        <v>27</v>
      </c>
      <c r="O195" s="1">
        <v>75</v>
      </c>
      <c r="P195" s="1">
        <v>60</v>
      </c>
      <c r="Q195" s="1">
        <v>34</v>
      </c>
      <c r="R195" s="1">
        <v>23</v>
      </c>
      <c r="S195" s="1">
        <v>47</v>
      </c>
      <c r="T195" s="1">
        <v>76</v>
      </c>
      <c r="U195" s="1">
        <v>21</v>
      </c>
      <c r="V195" s="1">
        <v>61</v>
      </c>
      <c r="W195" s="1">
        <v>16</v>
      </c>
      <c r="X195" s="1">
        <v>18</v>
      </c>
      <c r="Y195" s="1">
        <v>107</v>
      </c>
      <c r="Z195" s="1">
        <v>72</v>
      </c>
      <c r="AA195" s="1">
        <v>68</v>
      </c>
      <c r="AB195" s="1">
        <v>64</v>
      </c>
      <c r="AC195" s="1">
        <v>24</v>
      </c>
      <c r="AD195" s="1">
        <v>52</v>
      </c>
      <c r="AE195" s="1">
        <v>15</v>
      </c>
      <c r="AF195" s="18">
        <f t="shared" si="2"/>
        <v>42.06666666666667</v>
      </c>
    </row>
    <row r="196" spans="1:32" x14ac:dyDescent="0.35">
      <c r="A196" s="1" t="s">
        <v>193</v>
      </c>
      <c r="B196" s="1">
        <v>100</v>
      </c>
      <c r="C196" s="1">
        <v>112</v>
      </c>
      <c r="D196" s="1">
        <v>82</v>
      </c>
      <c r="E196" s="1">
        <v>112</v>
      </c>
      <c r="F196" s="1">
        <v>95</v>
      </c>
      <c r="G196" s="1">
        <v>65</v>
      </c>
      <c r="H196" s="1">
        <v>23</v>
      </c>
      <c r="I196" s="1">
        <v>36</v>
      </c>
      <c r="J196" s="1">
        <v>19</v>
      </c>
      <c r="K196" s="1">
        <v>109</v>
      </c>
      <c r="L196" s="1">
        <v>55</v>
      </c>
      <c r="M196" s="1">
        <v>30</v>
      </c>
      <c r="N196" s="1">
        <v>40</v>
      </c>
      <c r="O196" s="1">
        <v>78</v>
      </c>
      <c r="P196" s="1">
        <v>50</v>
      </c>
      <c r="Q196" s="1">
        <v>65</v>
      </c>
      <c r="R196" s="1">
        <v>39</v>
      </c>
      <c r="S196" s="1">
        <v>52</v>
      </c>
      <c r="T196" s="1">
        <v>27</v>
      </c>
      <c r="U196" s="1">
        <v>37</v>
      </c>
      <c r="V196" s="1">
        <v>94</v>
      </c>
      <c r="W196" s="1">
        <v>107</v>
      </c>
      <c r="X196" s="1">
        <v>108</v>
      </c>
      <c r="Y196" s="1">
        <v>20</v>
      </c>
      <c r="Z196" s="1">
        <v>39</v>
      </c>
      <c r="AA196" s="1">
        <v>25</v>
      </c>
      <c r="AB196" s="1">
        <v>63</v>
      </c>
      <c r="AC196" s="1">
        <v>35</v>
      </c>
      <c r="AD196" s="1">
        <v>40</v>
      </c>
      <c r="AE196" s="1">
        <v>27</v>
      </c>
      <c r="AF196" s="18">
        <f t="shared" ref="AF196:AF202" si="3">AVERAGE(B196:AE196)</f>
        <v>59.466666666666669</v>
      </c>
    </row>
    <row r="197" spans="1:32" x14ac:dyDescent="0.35">
      <c r="A197" s="1" t="s">
        <v>154</v>
      </c>
      <c r="B197" s="1">
        <v>143</v>
      </c>
      <c r="C197" s="1">
        <v>124</v>
      </c>
      <c r="D197" s="1">
        <v>19</v>
      </c>
      <c r="E197" s="1">
        <v>199</v>
      </c>
      <c r="F197" s="1">
        <v>74</v>
      </c>
      <c r="G197" s="1">
        <v>53</v>
      </c>
      <c r="H197" s="1">
        <v>61</v>
      </c>
      <c r="I197" s="1">
        <v>57</v>
      </c>
      <c r="J197" s="1">
        <v>15</v>
      </c>
      <c r="K197" s="1">
        <v>30</v>
      </c>
      <c r="L197" s="1">
        <v>65</v>
      </c>
      <c r="M197" s="1">
        <v>34</v>
      </c>
      <c r="N197" s="1">
        <v>64</v>
      </c>
      <c r="O197" s="1">
        <v>56</v>
      </c>
      <c r="P197" s="1">
        <v>36</v>
      </c>
      <c r="Q197" s="1">
        <v>28</v>
      </c>
      <c r="R197" s="1">
        <v>14</v>
      </c>
      <c r="S197" s="1">
        <v>90</v>
      </c>
      <c r="T197" s="1">
        <v>45</v>
      </c>
      <c r="U197" s="1">
        <v>25</v>
      </c>
      <c r="V197" s="1">
        <v>152</v>
      </c>
      <c r="W197" s="1">
        <v>36</v>
      </c>
      <c r="X197" s="1">
        <v>80</v>
      </c>
      <c r="Y197" s="1">
        <v>116</v>
      </c>
      <c r="Z197" s="1">
        <v>114</v>
      </c>
      <c r="AA197" s="1">
        <v>34</v>
      </c>
      <c r="AB197" s="1">
        <v>44</v>
      </c>
      <c r="AC197" s="1">
        <v>12</v>
      </c>
      <c r="AD197" s="1">
        <v>148</v>
      </c>
      <c r="AE197" s="1">
        <v>141</v>
      </c>
      <c r="AF197" s="18">
        <f t="shared" si="3"/>
        <v>70.3</v>
      </c>
    </row>
    <row r="198" spans="1:32" x14ac:dyDescent="0.35">
      <c r="A198" s="1" t="s">
        <v>155</v>
      </c>
      <c r="B198" s="1">
        <v>16</v>
      </c>
      <c r="C198" s="1">
        <v>13</v>
      </c>
      <c r="D198" s="1">
        <v>93</v>
      </c>
      <c r="E198" s="1">
        <v>72</v>
      </c>
      <c r="F198" s="1">
        <v>13</v>
      </c>
      <c r="G198" s="1">
        <v>35</v>
      </c>
      <c r="H198" s="1">
        <v>24</v>
      </c>
      <c r="I198" s="1">
        <v>120</v>
      </c>
      <c r="J198" s="1">
        <v>24</v>
      </c>
      <c r="K198" s="1">
        <v>163</v>
      </c>
      <c r="L198" s="1">
        <v>29</v>
      </c>
      <c r="M198" s="1">
        <v>42</v>
      </c>
      <c r="N198" s="1">
        <v>18</v>
      </c>
      <c r="O198" s="1">
        <v>16</v>
      </c>
      <c r="P198" s="1">
        <v>37</v>
      </c>
      <c r="Q198" s="1">
        <v>167</v>
      </c>
      <c r="R198" s="1">
        <v>76</v>
      </c>
      <c r="S198" s="1">
        <v>103</v>
      </c>
      <c r="T198" s="1">
        <v>17</v>
      </c>
      <c r="U198" s="1">
        <v>29</v>
      </c>
      <c r="V198" s="1">
        <v>103</v>
      </c>
      <c r="W198" s="1">
        <v>12</v>
      </c>
      <c r="X198" s="1">
        <v>90</v>
      </c>
      <c r="Y198" s="1">
        <v>37</v>
      </c>
      <c r="Z198" s="1">
        <v>28</v>
      </c>
      <c r="AA198" s="1">
        <v>44</v>
      </c>
      <c r="AB198" s="1">
        <v>65</v>
      </c>
      <c r="AC198" s="1">
        <v>28</v>
      </c>
      <c r="AD198" s="1">
        <v>76</v>
      </c>
      <c r="AE198" s="1">
        <v>31</v>
      </c>
      <c r="AF198" s="18">
        <f t="shared" si="3"/>
        <v>54.033333333333331</v>
      </c>
    </row>
    <row r="199" spans="1:32" x14ac:dyDescent="0.35">
      <c r="A199" s="1" t="s">
        <v>163</v>
      </c>
      <c r="B199" s="1">
        <v>69</v>
      </c>
      <c r="C199" s="1">
        <v>211</v>
      </c>
      <c r="D199" s="1">
        <v>103</v>
      </c>
      <c r="E199" s="1">
        <v>127</v>
      </c>
      <c r="F199" s="1">
        <v>37</v>
      </c>
      <c r="G199" s="1">
        <v>123</v>
      </c>
      <c r="H199" s="1">
        <v>24</v>
      </c>
      <c r="I199" s="1">
        <v>32</v>
      </c>
      <c r="J199" s="1">
        <v>57</v>
      </c>
      <c r="K199" s="1">
        <v>48</v>
      </c>
      <c r="L199" s="1">
        <v>23</v>
      </c>
      <c r="M199" s="1">
        <v>68</v>
      </c>
      <c r="N199" s="1">
        <v>92</v>
      </c>
      <c r="O199" s="1">
        <v>48</v>
      </c>
      <c r="P199" s="1">
        <v>26</v>
      </c>
      <c r="Q199" s="1">
        <v>58</v>
      </c>
      <c r="R199" s="1">
        <v>46</v>
      </c>
      <c r="S199" s="1">
        <v>50</v>
      </c>
      <c r="T199" s="1">
        <v>79</v>
      </c>
      <c r="U199" s="1">
        <v>130</v>
      </c>
      <c r="V199" s="1">
        <v>26</v>
      </c>
      <c r="W199" s="1">
        <v>34</v>
      </c>
      <c r="X199" s="1">
        <v>228</v>
      </c>
      <c r="Y199" s="1">
        <v>17</v>
      </c>
      <c r="Z199" s="1">
        <v>27</v>
      </c>
      <c r="AA199" s="1">
        <v>29</v>
      </c>
      <c r="AB199" s="1">
        <v>18</v>
      </c>
      <c r="AC199" s="1">
        <v>52</v>
      </c>
      <c r="AD199" s="1">
        <v>61</v>
      </c>
      <c r="AE199" s="1">
        <v>44</v>
      </c>
      <c r="AF199" s="18">
        <f t="shared" si="3"/>
        <v>66.233333333333334</v>
      </c>
    </row>
    <row r="200" spans="1:32" x14ac:dyDescent="0.35">
      <c r="A200" s="1" t="s">
        <v>194</v>
      </c>
      <c r="B200" s="1">
        <v>93</v>
      </c>
      <c r="C200" s="1">
        <v>121</v>
      </c>
      <c r="D200" s="1">
        <v>144</v>
      </c>
      <c r="E200" s="1">
        <v>242</v>
      </c>
      <c r="F200" s="1">
        <v>59</v>
      </c>
      <c r="G200" s="1">
        <v>12</v>
      </c>
      <c r="H200" s="1">
        <v>25</v>
      </c>
      <c r="I200" s="1">
        <v>33</v>
      </c>
      <c r="J200" s="1">
        <v>101</v>
      </c>
      <c r="K200" s="1">
        <v>20</v>
      </c>
      <c r="L200" s="1">
        <v>41</v>
      </c>
      <c r="M200" s="1">
        <v>46</v>
      </c>
      <c r="N200" s="1">
        <v>21</v>
      </c>
      <c r="O200" s="1">
        <v>19</v>
      </c>
      <c r="P200" s="1">
        <v>64</v>
      </c>
      <c r="Q200" s="1">
        <v>79</v>
      </c>
      <c r="R200" s="1">
        <v>75</v>
      </c>
      <c r="S200" s="1">
        <v>172</v>
      </c>
      <c r="T200" s="1">
        <v>50</v>
      </c>
      <c r="U200" s="1">
        <v>24</v>
      </c>
      <c r="V200" s="1">
        <v>46</v>
      </c>
      <c r="W200" s="1">
        <v>32</v>
      </c>
      <c r="X200" s="1">
        <v>15</v>
      </c>
      <c r="Y200" s="1">
        <v>75</v>
      </c>
      <c r="Z200" s="1">
        <v>14</v>
      </c>
      <c r="AA200" s="1">
        <v>151</v>
      </c>
      <c r="AB200" s="1">
        <v>22</v>
      </c>
      <c r="AC200" s="1">
        <v>57</v>
      </c>
      <c r="AD200" s="1">
        <v>17</v>
      </c>
      <c r="AE200" s="1">
        <v>69</v>
      </c>
      <c r="AF200" s="18">
        <f t="shared" si="3"/>
        <v>64.63333333333334</v>
      </c>
    </row>
    <row r="201" spans="1:32" x14ac:dyDescent="0.35">
      <c r="A201" s="1" t="s">
        <v>157</v>
      </c>
      <c r="B201" s="1">
        <v>44</v>
      </c>
      <c r="C201" s="1">
        <v>64</v>
      </c>
      <c r="D201" s="1">
        <v>12</v>
      </c>
      <c r="E201" s="1">
        <v>32</v>
      </c>
      <c r="F201" s="1">
        <v>25</v>
      </c>
      <c r="G201" s="1">
        <v>23</v>
      </c>
      <c r="H201" s="1">
        <v>75</v>
      </c>
      <c r="I201" s="1">
        <v>22</v>
      </c>
      <c r="J201" s="1">
        <v>36</v>
      </c>
      <c r="K201" s="1">
        <v>22</v>
      </c>
      <c r="L201" s="1">
        <v>33</v>
      </c>
      <c r="M201" s="1">
        <v>26</v>
      </c>
      <c r="N201" s="1">
        <v>13</v>
      </c>
      <c r="O201" s="1">
        <v>25</v>
      </c>
      <c r="P201" s="1">
        <v>117</v>
      </c>
      <c r="Q201" s="1">
        <v>99</v>
      </c>
      <c r="R201" s="1">
        <v>141</v>
      </c>
      <c r="S201" s="1">
        <v>17</v>
      </c>
      <c r="T201" s="1">
        <v>15</v>
      </c>
      <c r="U201" s="1">
        <v>47</v>
      </c>
      <c r="V201" s="1">
        <v>44</v>
      </c>
      <c r="W201" s="1">
        <v>22</v>
      </c>
      <c r="X201" s="1">
        <v>39</v>
      </c>
      <c r="Y201" s="1">
        <v>60</v>
      </c>
      <c r="Z201" s="1">
        <v>74</v>
      </c>
      <c r="AA201" s="1">
        <v>62</v>
      </c>
      <c r="AB201" s="1">
        <v>31</v>
      </c>
      <c r="AC201" s="1">
        <v>35</v>
      </c>
      <c r="AD201" s="1">
        <v>71</v>
      </c>
      <c r="AE201" s="1">
        <v>15</v>
      </c>
      <c r="AF201" s="18">
        <f t="shared" si="3"/>
        <v>44.7</v>
      </c>
    </row>
    <row r="202" spans="1:32" x14ac:dyDescent="0.35">
      <c r="A202" s="1" t="s">
        <v>158</v>
      </c>
      <c r="B202" s="1">
        <v>59</v>
      </c>
      <c r="C202" s="1">
        <v>25</v>
      </c>
      <c r="D202" s="1">
        <v>45</v>
      </c>
      <c r="E202" s="1">
        <v>61</v>
      </c>
      <c r="F202" s="1">
        <v>17</v>
      </c>
      <c r="G202" s="1">
        <v>46</v>
      </c>
      <c r="H202" s="1">
        <v>57</v>
      </c>
      <c r="I202" s="1">
        <v>36</v>
      </c>
      <c r="J202" s="1">
        <v>22</v>
      </c>
      <c r="K202" s="1">
        <v>66</v>
      </c>
      <c r="L202" s="1">
        <v>24</v>
      </c>
      <c r="M202" s="1">
        <v>19</v>
      </c>
      <c r="N202" s="1">
        <v>14</v>
      </c>
      <c r="O202" s="1">
        <v>25</v>
      </c>
      <c r="P202" s="1">
        <v>42</v>
      </c>
      <c r="Q202" s="1">
        <v>20</v>
      </c>
      <c r="R202" s="1">
        <v>15</v>
      </c>
      <c r="S202" s="1">
        <v>32</v>
      </c>
      <c r="T202" s="1">
        <v>92</v>
      </c>
      <c r="U202" s="1">
        <v>12</v>
      </c>
      <c r="V202" s="1">
        <v>39</v>
      </c>
      <c r="W202" s="1">
        <v>14</v>
      </c>
      <c r="X202" s="1">
        <v>30</v>
      </c>
      <c r="Y202" s="1">
        <v>63</v>
      </c>
      <c r="Z202" s="1">
        <v>65</v>
      </c>
      <c r="AA202" s="1">
        <v>32</v>
      </c>
      <c r="AB202" s="1">
        <v>64</v>
      </c>
      <c r="AC202" s="1">
        <v>14</v>
      </c>
      <c r="AD202" s="1">
        <v>99</v>
      </c>
      <c r="AE202" s="1">
        <v>180</v>
      </c>
      <c r="AF202" s="18">
        <f t="shared" si="3"/>
        <v>44.3</v>
      </c>
    </row>
    <row r="203" spans="1:32" x14ac:dyDescent="0.35"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271F-035A-4EB9-93A8-C2FEB1A73C7C}">
  <dimension ref="A1:AF203"/>
  <sheetViews>
    <sheetView zoomScale="85" zoomScaleNormal="85" workbookViewId="0"/>
  </sheetViews>
  <sheetFormatPr baseColWidth="10" defaultColWidth="11.46484375" defaultRowHeight="12.75" x14ac:dyDescent="0.35"/>
  <cols>
    <col min="1" max="1" width="66.73046875" style="10" bestFit="1" customWidth="1"/>
    <col min="2" max="31" width="11.46484375" style="1"/>
    <col min="32" max="16384" width="11.46484375" style="10"/>
  </cols>
  <sheetData>
    <row r="1" spans="1:32" x14ac:dyDescent="0.35">
      <c r="A1" s="11" t="s">
        <v>248</v>
      </c>
    </row>
    <row r="2" spans="1:32" ht="13.15" x14ac:dyDescent="0.4">
      <c r="A2" s="5" t="s">
        <v>0</v>
      </c>
      <c r="B2" s="5" t="s">
        <v>218</v>
      </c>
      <c r="C2" s="5" t="s">
        <v>219</v>
      </c>
      <c r="D2" s="5" t="s">
        <v>220</v>
      </c>
      <c r="E2" s="5" t="s">
        <v>221</v>
      </c>
      <c r="F2" s="5" t="s">
        <v>222</v>
      </c>
      <c r="G2" s="5" t="s">
        <v>223</v>
      </c>
      <c r="H2" s="5" t="s">
        <v>224</v>
      </c>
      <c r="I2" s="5" t="s">
        <v>225</v>
      </c>
      <c r="J2" s="5" t="s">
        <v>226</v>
      </c>
      <c r="K2" s="5" t="s">
        <v>227</v>
      </c>
      <c r="L2" s="5" t="s">
        <v>228</v>
      </c>
      <c r="M2" s="5" t="s">
        <v>229</v>
      </c>
      <c r="N2" s="5" t="s">
        <v>230</v>
      </c>
      <c r="O2" s="5" t="s">
        <v>231</v>
      </c>
      <c r="P2" s="5" t="s">
        <v>232</v>
      </c>
      <c r="Q2" s="5" t="s">
        <v>233</v>
      </c>
      <c r="R2" s="5" t="s">
        <v>234</v>
      </c>
      <c r="S2" s="5" t="s">
        <v>235</v>
      </c>
      <c r="T2" s="5" t="s">
        <v>236</v>
      </c>
      <c r="U2" s="5" t="s">
        <v>237</v>
      </c>
      <c r="V2" s="5" t="s">
        <v>238</v>
      </c>
      <c r="W2" s="5" t="s">
        <v>239</v>
      </c>
      <c r="X2" s="5" t="s">
        <v>240</v>
      </c>
      <c r="Y2" s="5" t="s">
        <v>241</v>
      </c>
      <c r="Z2" s="5" t="s">
        <v>242</v>
      </c>
      <c r="AA2" s="5" t="s">
        <v>243</v>
      </c>
      <c r="AB2" s="5" t="s">
        <v>244</v>
      </c>
      <c r="AC2" s="5" t="s">
        <v>245</v>
      </c>
      <c r="AD2" s="5" t="s">
        <v>246</v>
      </c>
      <c r="AE2" s="5" t="s">
        <v>247</v>
      </c>
      <c r="AF2" s="19" t="s">
        <v>262</v>
      </c>
    </row>
    <row r="3" spans="1:32" x14ac:dyDescent="0.35">
      <c r="A3" s="1" t="s">
        <v>210</v>
      </c>
      <c r="B3" s="1">
        <v>67</v>
      </c>
      <c r="C3" s="1">
        <v>46</v>
      </c>
      <c r="D3" s="1">
        <v>38</v>
      </c>
      <c r="E3" s="1">
        <v>17</v>
      </c>
      <c r="F3" s="1">
        <v>32</v>
      </c>
      <c r="G3" s="1">
        <v>17</v>
      </c>
      <c r="H3" s="1">
        <v>109</v>
      </c>
      <c r="I3" s="1">
        <v>41</v>
      </c>
      <c r="J3" s="1">
        <v>66</v>
      </c>
      <c r="K3" s="1">
        <v>198</v>
      </c>
      <c r="L3" s="1">
        <v>39</v>
      </c>
      <c r="M3" s="1">
        <v>39</v>
      </c>
      <c r="N3" s="1">
        <v>81</v>
      </c>
      <c r="O3" s="1">
        <v>19</v>
      </c>
      <c r="P3" s="1">
        <v>37</v>
      </c>
      <c r="Q3" s="1">
        <v>16</v>
      </c>
      <c r="R3" s="1">
        <v>39</v>
      </c>
      <c r="S3" s="1">
        <v>68</v>
      </c>
      <c r="T3" s="1">
        <v>45</v>
      </c>
      <c r="U3" s="1">
        <v>97</v>
      </c>
      <c r="V3" s="1">
        <v>12</v>
      </c>
      <c r="W3" s="1">
        <v>77</v>
      </c>
      <c r="X3" s="1">
        <v>40</v>
      </c>
      <c r="Y3" s="1">
        <v>27</v>
      </c>
      <c r="Z3" s="1">
        <v>12</v>
      </c>
      <c r="AA3" s="1">
        <v>102</v>
      </c>
      <c r="AB3" s="1">
        <v>141</v>
      </c>
      <c r="AC3" s="1">
        <v>38</v>
      </c>
      <c r="AD3" s="1">
        <v>42</v>
      </c>
      <c r="AE3" s="1">
        <v>33</v>
      </c>
      <c r="AF3" s="18">
        <f>AVERAGE(B3:AE3)</f>
        <v>54.5</v>
      </c>
    </row>
    <row r="4" spans="1:32" x14ac:dyDescent="0.35">
      <c r="A4" s="1" t="s">
        <v>166</v>
      </c>
      <c r="B4" s="1">
        <v>29</v>
      </c>
      <c r="C4" s="1">
        <v>42</v>
      </c>
      <c r="D4" s="1">
        <v>16</v>
      </c>
      <c r="E4" s="1">
        <v>51</v>
      </c>
      <c r="F4" s="1">
        <v>72</v>
      </c>
      <c r="G4" s="1">
        <v>62</v>
      </c>
      <c r="H4" s="1">
        <v>27</v>
      </c>
      <c r="I4" s="1">
        <v>13</v>
      </c>
      <c r="J4" s="1">
        <v>20</v>
      </c>
      <c r="K4" s="1">
        <v>25</v>
      </c>
      <c r="L4" s="1">
        <v>13</v>
      </c>
      <c r="M4" s="1">
        <v>26</v>
      </c>
      <c r="N4" s="1">
        <v>34</v>
      </c>
      <c r="O4" s="1">
        <v>28</v>
      </c>
      <c r="P4" s="1">
        <v>36</v>
      </c>
      <c r="Q4" s="1">
        <v>132</v>
      </c>
      <c r="R4" s="1">
        <v>40</v>
      </c>
      <c r="S4" s="1">
        <v>41</v>
      </c>
      <c r="T4" s="1">
        <v>81</v>
      </c>
      <c r="U4" s="1">
        <v>41</v>
      </c>
      <c r="V4" s="1">
        <v>44</v>
      </c>
      <c r="W4" s="1">
        <v>34</v>
      </c>
      <c r="X4" s="1">
        <v>14</v>
      </c>
      <c r="Y4" s="1">
        <v>52</v>
      </c>
      <c r="Z4" s="1">
        <v>13</v>
      </c>
      <c r="AA4" s="1">
        <v>41</v>
      </c>
      <c r="AB4" s="1">
        <v>15</v>
      </c>
      <c r="AC4" s="1">
        <v>15</v>
      </c>
      <c r="AD4" s="1">
        <v>71</v>
      </c>
      <c r="AE4" s="1">
        <v>13</v>
      </c>
      <c r="AF4" s="18">
        <f t="shared" ref="AF4:AF67" si="0">AVERAGE(B4:AE4)</f>
        <v>38.033333333333331</v>
      </c>
    </row>
    <row r="5" spans="1:32" x14ac:dyDescent="0.35">
      <c r="A5" s="1" t="s">
        <v>167</v>
      </c>
      <c r="B5" s="1">
        <v>54</v>
      </c>
      <c r="C5" s="1">
        <v>44</v>
      </c>
      <c r="D5" s="1">
        <v>53</v>
      </c>
      <c r="E5" s="1">
        <v>27</v>
      </c>
      <c r="F5" s="1">
        <v>28</v>
      </c>
      <c r="G5" s="1">
        <v>46</v>
      </c>
      <c r="H5" s="1">
        <v>20</v>
      </c>
      <c r="I5" s="1">
        <v>59</v>
      </c>
      <c r="J5" s="1">
        <v>173</v>
      </c>
      <c r="K5" s="1">
        <v>15</v>
      </c>
      <c r="L5" s="1">
        <v>15</v>
      </c>
      <c r="M5" s="1">
        <v>45</v>
      </c>
      <c r="N5" s="1">
        <v>24</v>
      </c>
      <c r="O5" s="1">
        <v>22</v>
      </c>
      <c r="P5" s="1">
        <v>198</v>
      </c>
      <c r="Q5" s="1">
        <v>20</v>
      </c>
      <c r="R5" s="1">
        <v>109</v>
      </c>
      <c r="S5" s="1">
        <v>22</v>
      </c>
      <c r="T5" s="1">
        <v>33</v>
      </c>
      <c r="U5" s="1">
        <v>55</v>
      </c>
      <c r="V5" s="1">
        <v>32</v>
      </c>
      <c r="W5" s="1">
        <v>30</v>
      </c>
      <c r="X5" s="1">
        <v>79</v>
      </c>
      <c r="Y5" s="1">
        <v>32</v>
      </c>
      <c r="Z5" s="1">
        <v>59</v>
      </c>
      <c r="AA5" s="1">
        <v>100</v>
      </c>
      <c r="AB5" s="1">
        <v>66</v>
      </c>
      <c r="AC5" s="1">
        <v>28</v>
      </c>
      <c r="AD5" s="1">
        <v>20</v>
      </c>
      <c r="AE5" s="1">
        <v>104</v>
      </c>
      <c r="AF5" s="18">
        <f t="shared" si="0"/>
        <v>53.733333333333334</v>
      </c>
    </row>
    <row r="6" spans="1:32" x14ac:dyDescent="0.35">
      <c r="A6" s="1" t="s">
        <v>211</v>
      </c>
      <c r="B6" s="1">
        <v>32</v>
      </c>
      <c r="C6" s="1">
        <v>29</v>
      </c>
      <c r="D6" s="1">
        <v>25</v>
      </c>
      <c r="E6" s="1">
        <v>105</v>
      </c>
      <c r="F6" s="1">
        <v>64</v>
      </c>
      <c r="G6" s="1">
        <v>19</v>
      </c>
      <c r="H6" s="1">
        <v>24</v>
      </c>
      <c r="I6" s="1">
        <v>40</v>
      </c>
      <c r="J6" s="1">
        <v>28</v>
      </c>
      <c r="K6" s="1">
        <v>14</v>
      </c>
      <c r="L6" s="1">
        <v>15</v>
      </c>
      <c r="M6" s="1">
        <v>34</v>
      </c>
      <c r="N6" s="1">
        <v>14</v>
      </c>
      <c r="O6" s="1">
        <v>55</v>
      </c>
      <c r="P6" s="1">
        <v>17</v>
      </c>
      <c r="Q6" s="1">
        <v>162</v>
      </c>
      <c r="R6" s="1">
        <v>28</v>
      </c>
      <c r="S6" s="1">
        <v>43</v>
      </c>
      <c r="T6" s="1">
        <v>28</v>
      </c>
      <c r="U6" s="1">
        <v>35</v>
      </c>
      <c r="V6" s="1">
        <v>25</v>
      </c>
      <c r="W6" s="1">
        <v>102</v>
      </c>
      <c r="X6" s="1">
        <v>150</v>
      </c>
      <c r="Y6" s="1">
        <v>27</v>
      </c>
      <c r="Z6" s="1">
        <v>65</v>
      </c>
      <c r="AA6" s="1">
        <v>14</v>
      </c>
      <c r="AB6" s="1">
        <v>20</v>
      </c>
      <c r="AC6" s="1">
        <v>26</v>
      </c>
      <c r="AD6" s="1">
        <v>33</v>
      </c>
      <c r="AE6" s="1">
        <v>13</v>
      </c>
      <c r="AF6" s="18">
        <f t="shared" si="0"/>
        <v>42.866666666666667</v>
      </c>
    </row>
    <row r="7" spans="1:32" x14ac:dyDescent="0.35">
      <c r="A7" s="1" t="s">
        <v>168</v>
      </c>
      <c r="B7" s="1">
        <v>72</v>
      </c>
      <c r="C7" s="1">
        <v>36</v>
      </c>
      <c r="D7" s="1">
        <v>13</v>
      </c>
      <c r="E7" s="1">
        <v>20</v>
      </c>
      <c r="F7" s="1">
        <v>12</v>
      </c>
      <c r="G7" s="1">
        <v>39</v>
      </c>
      <c r="H7" s="1">
        <v>106</v>
      </c>
      <c r="I7" s="1">
        <v>46</v>
      </c>
      <c r="J7" s="1">
        <v>79</v>
      </c>
      <c r="K7" s="1">
        <v>22</v>
      </c>
      <c r="L7" s="1">
        <v>15</v>
      </c>
      <c r="M7" s="1">
        <v>60</v>
      </c>
      <c r="N7" s="1">
        <v>26</v>
      </c>
      <c r="O7" s="1">
        <v>26</v>
      </c>
      <c r="P7" s="1">
        <v>25</v>
      </c>
      <c r="Q7" s="1">
        <v>41</v>
      </c>
      <c r="R7" s="1">
        <v>35</v>
      </c>
      <c r="S7" s="1">
        <v>81</v>
      </c>
      <c r="T7" s="1">
        <v>29</v>
      </c>
      <c r="U7" s="1">
        <v>44</v>
      </c>
      <c r="V7" s="1">
        <v>15</v>
      </c>
      <c r="W7" s="1">
        <v>22</v>
      </c>
      <c r="X7" s="1">
        <v>24</v>
      </c>
      <c r="Y7" s="1">
        <v>39</v>
      </c>
      <c r="Z7" s="1">
        <v>108</v>
      </c>
      <c r="AA7" s="1">
        <v>44</v>
      </c>
      <c r="AB7" s="1">
        <v>122</v>
      </c>
      <c r="AC7" s="1">
        <v>100</v>
      </c>
      <c r="AD7" s="1">
        <v>29</v>
      </c>
      <c r="AE7" s="1">
        <v>65</v>
      </c>
      <c r="AF7" s="18">
        <f t="shared" si="0"/>
        <v>46.5</v>
      </c>
    </row>
    <row r="8" spans="1:32" x14ac:dyDescent="0.35">
      <c r="A8" s="1" t="s">
        <v>169</v>
      </c>
      <c r="B8" s="1">
        <v>14</v>
      </c>
      <c r="C8" s="1">
        <v>20</v>
      </c>
      <c r="D8" s="1">
        <v>32</v>
      </c>
      <c r="E8" s="1">
        <v>84</v>
      </c>
      <c r="F8" s="1">
        <v>72</v>
      </c>
      <c r="G8" s="1">
        <v>160</v>
      </c>
      <c r="H8" s="1">
        <v>107</v>
      </c>
      <c r="I8" s="1">
        <v>58</v>
      </c>
      <c r="J8" s="1">
        <v>61</v>
      </c>
      <c r="K8" s="1">
        <v>19</v>
      </c>
      <c r="L8" s="1">
        <v>101</v>
      </c>
      <c r="M8" s="1">
        <v>52</v>
      </c>
      <c r="N8" s="1">
        <v>13</v>
      </c>
      <c r="O8" s="1">
        <v>22</v>
      </c>
      <c r="P8" s="1">
        <v>162</v>
      </c>
      <c r="Q8" s="1">
        <v>30</v>
      </c>
      <c r="R8" s="1">
        <v>39</v>
      </c>
      <c r="S8" s="1">
        <v>21</v>
      </c>
      <c r="T8" s="1">
        <v>32</v>
      </c>
      <c r="U8" s="1">
        <v>13</v>
      </c>
      <c r="V8" s="1">
        <v>68</v>
      </c>
      <c r="W8" s="1">
        <v>45</v>
      </c>
      <c r="X8" s="1">
        <v>76</v>
      </c>
      <c r="Y8" s="1">
        <v>44</v>
      </c>
      <c r="Z8" s="1">
        <v>42</v>
      </c>
      <c r="AA8" s="1">
        <v>67</v>
      </c>
      <c r="AB8" s="1">
        <v>83</v>
      </c>
      <c r="AC8" s="1">
        <v>27</v>
      </c>
      <c r="AD8" s="1">
        <v>60</v>
      </c>
      <c r="AE8" s="1">
        <v>59</v>
      </c>
      <c r="AF8" s="18">
        <f t="shared" si="0"/>
        <v>56.1</v>
      </c>
    </row>
    <row r="9" spans="1:32" x14ac:dyDescent="0.35">
      <c r="A9" s="1" t="s">
        <v>170</v>
      </c>
      <c r="B9" s="1">
        <v>53</v>
      </c>
      <c r="C9" s="1">
        <v>18</v>
      </c>
      <c r="D9" s="1">
        <v>18</v>
      </c>
      <c r="E9" s="1">
        <v>34</v>
      </c>
      <c r="F9" s="1">
        <v>85</v>
      </c>
      <c r="G9" s="1">
        <v>29</v>
      </c>
      <c r="H9" s="1">
        <v>15</v>
      </c>
      <c r="I9" s="1">
        <v>102</v>
      </c>
      <c r="J9" s="1">
        <v>14</v>
      </c>
      <c r="K9" s="1">
        <v>50</v>
      </c>
      <c r="L9" s="1">
        <v>66</v>
      </c>
      <c r="M9" s="1">
        <v>17</v>
      </c>
      <c r="N9" s="1">
        <v>24</v>
      </c>
      <c r="O9" s="1">
        <v>19</v>
      </c>
      <c r="P9" s="1">
        <v>54</v>
      </c>
      <c r="Q9" s="1">
        <v>16</v>
      </c>
      <c r="R9" s="1">
        <v>12</v>
      </c>
      <c r="S9" s="1">
        <v>91</v>
      </c>
      <c r="T9" s="1">
        <v>29</v>
      </c>
      <c r="U9" s="1">
        <v>40</v>
      </c>
      <c r="V9" s="1">
        <v>18</v>
      </c>
      <c r="W9" s="1">
        <v>13</v>
      </c>
      <c r="X9" s="1">
        <v>90</v>
      </c>
      <c r="Y9" s="1">
        <v>21</v>
      </c>
      <c r="Z9" s="1">
        <v>16</v>
      </c>
      <c r="AA9" s="1">
        <v>106</v>
      </c>
      <c r="AB9" s="1">
        <v>109</v>
      </c>
      <c r="AC9" s="1">
        <v>48</v>
      </c>
      <c r="AD9" s="1">
        <v>95</v>
      </c>
      <c r="AE9" s="1">
        <v>14</v>
      </c>
      <c r="AF9" s="18">
        <f t="shared" si="0"/>
        <v>43.866666666666667</v>
      </c>
    </row>
    <row r="10" spans="1:32" x14ac:dyDescent="0.35">
      <c r="A10" s="1" t="s">
        <v>4</v>
      </c>
      <c r="B10" s="1">
        <v>156</v>
      </c>
      <c r="C10" s="1">
        <v>29</v>
      </c>
      <c r="D10" s="1">
        <v>94</v>
      </c>
      <c r="E10" s="1">
        <v>33</v>
      </c>
      <c r="F10" s="1">
        <v>163</v>
      </c>
      <c r="G10" s="1">
        <v>99</v>
      </c>
      <c r="H10" s="1">
        <v>63</v>
      </c>
      <c r="I10" s="1">
        <v>42</v>
      </c>
      <c r="J10" s="1">
        <v>21</v>
      </c>
      <c r="K10" s="1">
        <v>80</v>
      </c>
      <c r="L10" s="1">
        <v>26</v>
      </c>
      <c r="M10" s="1">
        <v>54</v>
      </c>
      <c r="N10" s="1">
        <v>49</v>
      </c>
      <c r="O10" s="1">
        <v>55</v>
      </c>
      <c r="P10" s="1">
        <v>50</v>
      </c>
      <c r="Q10" s="1">
        <v>80</v>
      </c>
      <c r="R10" s="1">
        <v>69</v>
      </c>
      <c r="S10" s="1">
        <v>72</v>
      </c>
      <c r="T10" s="1">
        <v>62</v>
      </c>
      <c r="U10" s="1">
        <v>20</v>
      </c>
      <c r="V10" s="1">
        <v>15</v>
      </c>
      <c r="W10" s="1">
        <v>22</v>
      </c>
      <c r="X10" s="1">
        <v>20</v>
      </c>
      <c r="Y10" s="1">
        <v>51</v>
      </c>
      <c r="Z10" s="1">
        <v>45</v>
      </c>
      <c r="AA10" s="1">
        <v>16</v>
      </c>
      <c r="AB10" s="1">
        <v>75</v>
      </c>
      <c r="AC10" s="1">
        <v>71</v>
      </c>
      <c r="AD10" s="1">
        <v>63</v>
      </c>
      <c r="AE10" s="1">
        <v>82</v>
      </c>
      <c r="AF10" s="18">
        <f t="shared" si="0"/>
        <v>59.233333333333334</v>
      </c>
    </row>
    <row r="11" spans="1:32" x14ac:dyDescent="0.35">
      <c r="A11" s="1" t="s">
        <v>5</v>
      </c>
      <c r="B11" s="1">
        <v>36</v>
      </c>
      <c r="C11" s="1">
        <v>63</v>
      </c>
      <c r="D11" s="1">
        <v>13</v>
      </c>
      <c r="E11" s="1">
        <v>160</v>
      </c>
      <c r="F11" s="1">
        <v>36</v>
      </c>
      <c r="G11" s="1">
        <v>51</v>
      </c>
      <c r="H11" s="1">
        <v>17</v>
      </c>
      <c r="I11" s="1">
        <v>17</v>
      </c>
      <c r="J11" s="1">
        <v>15</v>
      </c>
      <c r="K11" s="1">
        <v>63</v>
      </c>
      <c r="L11" s="1">
        <v>34</v>
      </c>
      <c r="M11" s="1">
        <v>58</v>
      </c>
      <c r="N11" s="1">
        <v>52</v>
      </c>
      <c r="O11" s="1">
        <v>18</v>
      </c>
      <c r="P11" s="1">
        <v>15</v>
      </c>
      <c r="Q11" s="1">
        <v>95</v>
      </c>
      <c r="R11" s="1">
        <v>12</v>
      </c>
      <c r="S11" s="1">
        <v>86</v>
      </c>
      <c r="T11" s="1">
        <v>42</v>
      </c>
      <c r="U11" s="1">
        <v>20</v>
      </c>
      <c r="V11" s="1">
        <v>26</v>
      </c>
      <c r="W11" s="1">
        <v>45</v>
      </c>
      <c r="X11" s="1">
        <v>52</v>
      </c>
      <c r="Y11" s="1">
        <v>34</v>
      </c>
      <c r="Z11" s="1">
        <v>16</v>
      </c>
      <c r="AA11" s="1">
        <v>26</v>
      </c>
      <c r="AB11" s="1">
        <v>26</v>
      </c>
      <c r="AC11" s="1">
        <v>91</v>
      </c>
      <c r="AD11" s="1">
        <v>54</v>
      </c>
      <c r="AE11" s="1">
        <v>118</v>
      </c>
      <c r="AF11" s="18">
        <f t="shared" si="0"/>
        <v>46.366666666666667</v>
      </c>
    </row>
    <row r="12" spans="1:32" x14ac:dyDescent="0.35">
      <c r="A12" s="1" t="s">
        <v>161</v>
      </c>
      <c r="B12" s="1">
        <v>115</v>
      </c>
      <c r="C12" s="1">
        <v>58</v>
      </c>
      <c r="D12" s="1">
        <v>158</v>
      </c>
      <c r="E12" s="1">
        <v>54</v>
      </c>
      <c r="F12" s="1">
        <v>12</v>
      </c>
      <c r="G12" s="1">
        <v>60</v>
      </c>
      <c r="H12" s="1">
        <v>18</v>
      </c>
      <c r="I12" s="1">
        <v>16</v>
      </c>
      <c r="J12" s="1">
        <v>15</v>
      </c>
      <c r="K12" s="1">
        <v>33</v>
      </c>
      <c r="L12" s="1">
        <v>12</v>
      </c>
      <c r="M12" s="1">
        <v>34</v>
      </c>
      <c r="N12" s="1">
        <v>16</v>
      </c>
      <c r="O12" s="1">
        <v>18</v>
      </c>
      <c r="P12" s="1">
        <v>28</v>
      </c>
      <c r="Q12" s="1">
        <v>25</v>
      </c>
      <c r="R12" s="1">
        <v>84</v>
      </c>
      <c r="S12" s="1">
        <v>129</v>
      </c>
      <c r="T12" s="1">
        <v>41</v>
      </c>
      <c r="U12" s="1">
        <v>18</v>
      </c>
      <c r="V12" s="1">
        <v>56</v>
      </c>
      <c r="W12" s="1">
        <v>23</v>
      </c>
      <c r="X12" s="1">
        <v>37</v>
      </c>
      <c r="Y12" s="1">
        <v>259</v>
      </c>
      <c r="Z12" s="1">
        <v>12</v>
      </c>
      <c r="AA12" s="1">
        <v>38</v>
      </c>
      <c r="AB12" s="1">
        <v>15</v>
      </c>
      <c r="AC12" s="1">
        <v>38</v>
      </c>
      <c r="AD12" s="1">
        <v>135</v>
      </c>
      <c r="AE12" s="1">
        <v>79</v>
      </c>
      <c r="AF12" s="18">
        <f t="shared" si="0"/>
        <v>54.533333333333331</v>
      </c>
    </row>
    <row r="13" spans="1:32" x14ac:dyDescent="0.35">
      <c r="A13" s="1" t="s">
        <v>212</v>
      </c>
      <c r="B13" s="1">
        <v>24</v>
      </c>
      <c r="C13" s="1">
        <v>27</v>
      </c>
      <c r="D13" s="1">
        <v>23</v>
      </c>
      <c r="E13" s="1">
        <v>24</v>
      </c>
      <c r="F13" s="1">
        <v>25</v>
      </c>
      <c r="G13" s="1">
        <v>35</v>
      </c>
      <c r="H13" s="1">
        <v>19</v>
      </c>
      <c r="I13" s="1">
        <v>17</v>
      </c>
      <c r="J13" s="1">
        <v>56</v>
      </c>
      <c r="K13" s="1">
        <v>57</v>
      </c>
      <c r="L13" s="1">
        <v>67</v>
      </c>
      <c r="M13" s="1">
        <v>129</v>
      </c>
      <c r="N13" s="1">
        <v>50</v>
      </c>
      <c r="O13" s="1">
        <v>54</v>
      </c>
      <c r="P13" s="1">
        <v>89</v>
      </c>
      <c r="Q13" s="1">
        <v>27</v>
      </c>
      <c r="R13" s="1">
        <v>24</v>
      </c>
      <c r="S13" s="1">
        <v>44</v>
      </c>
      <c r="T13" s="1">
        <v>40</v>
      </c>
      <c r="U13" s="1">
        <v>53</v>
      </c>
      <c r="V13" s="1">
        <v>72</v>
      </c>
      <c r="W13" s="1">
        <v>147</v>
      </c>
      <c r="X13" s="1">
        <v>24</v>
      </c>
      <c r="Y13" s="1">
        <v>22</v>
      </c>
      <c r="Z13" s="1">
        <v>14</v>
      </c>
      <c r="AA13" s="1">
        <v>29</v>
      </c>
      <c r="AB13" s="1">
        <v>24</v>
      </c>
      <c r="AC13" s="1">
        <v>24</v>
      </c>
      <c r="AD13" s="1">
        <v>13</v>
      </c>
      <c r="AE13" s="1">
        <v>24</v>
      </c>
      <c r="AF13" s="18">
        <f t="shared" si="0"/>
        <v>42.56666666666667</v>
      </c>
    </row>
    <row r="14" spans="1:32" x14ac:dyDescent="0.35">
      <c r="A14" s="1" t="s">
        <v>6</v>
      </c>
      <c r="B14" s="1">
        <v>42</v>
      </c>
      <c r="C14" s="1">
        <v>20</v>
      </c>
      <c r="D14" s="1">
        <v>132</v>
      </c>
      <c r="E14" s="1">
        <v>36</v>
      </c>
      <c r="F14" s="1">
        <v>17</v>
      </c>
      <c r="G14" s="1">
        <v>65</v>
      </c>
      <c r="H14" s="1">
        <v>100</v>
      </c>
      <c r="I14" s="1">
        <v>15</v>
      </c>
      <c r="J14" s="1">
        <v>26</v>
      </c>
      <c r="K14" s="1">
        <v>12</v>
      </c>
      <c r="L14" s="1">
        <v>64</v>
      </c>
      <c r="M14" s="1">
        <v>131</v>
      </c>
      <c r="N14" s="1">
        <v>64</v>
      </c>
      <c r="O14" s="1">
        <v>22</v>
      </c>
      <c r="P14" s="1">
        <v>42</v>
      </c>
      <c r="Q14" s="1">
        <v>13</v>
      </c>
      <c r="R14" s="1">
        <v>13</v>
      </c>
      <c r="S14" s="1">
        <v>43</v>
      </c>
      <c r="T14" s="1">
        <v>41</v>
      </c>
      <c r="U14" s="1">
        <v>77</v>
      </c>
      <c r="V14" s="1">
        <v>111</v>
      </c>
      <c r="W14" s="1">
        <v>28</v>
      </c>
      <c r="X14" s="1">
        <v>57</v>
      </c>
      <c r="Y14" s="1">
        <v>25</v>
      </c>
      <c r="Z14" s="1">
        <v>19</v>
      </c>
      <c r="AA14" s="1">
        <v>64</v>
      </c>
      <c r="AB14" s="1">
        <v>79</v>
      </c>
      <c r="AC14" s="1">
        <v>45</v>
      </c>
      <c r="AD14" s="1">
        <v>29</v>
      </c>
      <c r="AE14" s="1">
        <v>14</v>
      </c>
      <c r="AF14" s="18">
        <f t="shared" si="0"/>
        <v>48.2</v>
      </c>
    </row>
    <row r="15" spans="1:32" x14ac:dyDescent="0.35">
      <c r="A15" s="1" t="s">
        <v>7</v>
      </c>
      <c r="B15" s="1">
        <v>18</v>
      </c>
      <c r="C15" s="1">
        <v>76</v>
      </c>
      <c r="D15" s="1">
        <v>47</v>
      </c>
      <c r="E15" s="1">
        <v>32</v>
      </c>
      <c r="F15" s="1">
        <v>36</v>
      </c>
      <c r="G15" s="1">
        <v>24</v>
      </c>
      <c r="H15" s="1">
        <v>39</v>
      </c>
      <c r="I15" s="1">
        <v>17</v>
      </c>
      <c r="J15" s="1">
        <v>30</v>
      </c>
      <c r="K15" s="1">
        <v>42</v>
      </c>
      <c r="L15" s="1">
        <v>42</v>
      </c>
      <c r="M15" s="1">
        <v>185</v>
      </c>
      <c r="N15" s="1">
        <v>52</v>
      </c>
      <c r="O15" s="1">
        <v>12</v>
      </c>
      <c r="P15" s="1">
        <v>25</v>
      </c>
      <c r="Q15" s="1">
        <v>25</v>
      </c>
      <c r="R15" s="1">
        <v>40</v>
      </c>
      <c r="S15" s="1">
        <v>86</v>
      </c>
      <c r="T15" s="1">
        <v>29</v>
      </c>
      <c r="U15" s="1">
        <v>29</v>
      </c>
      <c r="V15" s="1">
        <v>13</v>
      </c>
      <c r="W15" s="1">
        <v>28</v>
      </c>
      <c r="X15" s="1">
        <v>20</v>
      </c>
      <c r="Y15" s="1">
        <v>17</v>
      </c>
      <c r="Z15" s="1">
        <v>18</v>
      </c>
      <c r="AA15" s="1">
        <v>20</v>
      </c>
      <c r="AB15" s="1">
        <v>13</v>
      </c>
      <c r="AC15" s="1">
        <v>30</v>
      </c>
      <c r="AD15" s="1">
        <v>21</v>
      </c>
      <c r="AE15" s="1">
        <v>51</v>
      </c>
      <c r="AF15" s="18">
        <f t="shared" si="0"/>
        <v>37.233333333333334</v>
      </c>
    </row>
    <row r="16" spans="1:32" x14ac:dyDescent="0.35">
      <c r="A16" s="1" t="s">
        <v>8</v>
      </c>
      <c r="B16" s="1">
        <v>40</v>
      </c>
      <c r="C16" s="1">
        <v>14</v>
      </c>
      <c r="D16" s="1">
        <v>44</v>
      </c>
      <c r="E16" s="1">
        <v>18</v>
      </c>
      <c r="F16" s="1">
        <v>56</v>
      </c>
      <c r="G16" s="1">
        <v>34</v>
      </c>
      <c r="H16" s="1">
        <v>19</v>
      </c>
      <c r="I16" s="1">
        <v>29</v>
      </c>
      <c r="J16" s="1">
        <v>19</v>
      </c>
      <c r="K16" s="1">
        <v>26</v>
      </c>
      <c r="L16" s="1">
        <v>49</v>
      </c>
      <c r="M16" s="1">
        <v>80</v>
      </c>
      <c r="N16" s="1">
        <v>40</v>
      </c>
      <c r="O16" s="1">
        <v>33</v>
      </c>
      <c r="P16" s="1">
        <v>73</v>
      </c>
      <c r="Q16" s="1">
        <v>12</v>
      </c>
      <c r="R16" s="1">
        <v>13</v>
      </c>
      <c r="S16" s="1">
        <v>50</v>
      </c>
      <c r="T16" s="1">
        <v>34</v>
      </c>
      <c r="U16" s="1">
        <v>22</v>
      </c>
      <c r="V16" s="1">
        <v>15</v>
      </c>
      <c r="W16" s="1">
        <v>45</v>
      </c>
      <c r="X16" s="1">
        <v>85</v>
      </c>
      <c r="Y16" s="1">
        <v>68</v>
      </c>
      <c r="Z16" s="1">
        <v>80</v>
      </c>
      <c r="AA16" s="1">
        <v>44</v>
      </c>
      <c r="AB16" s="1">
        <v>150</v>
      </c>
      <c r="AC16" s="1">
        <v>30</v>
      </c>
      <c r="AD16" s="1">
        <v>13</v>
      </c>
      <c r="AE16" s="1">
        <v>67</v>
      </c>
      <c r="AF16" s="18">
        <f t="shared" si="0"/>
        <v>43.4</v>
      </c>
    </row>
    <row r="17" spans="1:32" x14ac:dyDescent="0.35">
      <c r="A17" s="1" t="s">
        <v>9</v>
      </c>
      <c r="B17" s="1">
        <v>49</v>
      </c>
      <c r="C17" s="1">
        <v>18</v>
      </c>
      <c r="D17" s="1">
        <v>162</v>
      </c>
      <c r="E17" s="1">
        <v>20</v>
      </c>
      <c r="F17" s="1">
        <v>46</v>
      </c>
      <c r="G17" s="1">
        <v>47</v>
      </c>
      <c r="H17" s="1">
        <v>32</v>
      </c>
      <c r="I17" s="1">
        <v>17</v>
      </c>
      <c r="J17" s="1">
        <v>33</v>
      </c>
      <c r="K17" s="1">
        <v>20</v>
      </c>
      <c r="L17" s="1">
        <v>87</v>
      </c>
      <c r="M17" s="1">
        <v>60</v>
      </c>
      <c r="N17" s="1">
        <v>37</v>
      </c>
      <c r="O17" s="1">
        <v>33</v>
      </c>
      <c r="P17" s="1">
        <v>15</v>
      </c>
      <c r="Q17" s="1">
        <v>26</v>
      </c>
      <c r="R17" s="1">
        <v>26</v>
      </c>
      <c r="S17" s="1">
        <v>60</v>
      </c>
      <c r="T17" s="1">
        <v>44</v>
      </c>
      <c r="U17" s="1">
        <v>32</v>
      </c>
      <c r="V17" s="1">
        <v>18</v>
      </c>
      <c r="W17" s="1">
        <v>117</v>
      </c>
      <c r="X17" s="1">
        <v>32</v>
      </c>
      <c r="Y17" s="1">
        <v>85</v>
      </c>
      <c r="Z17" s="1">
        <v>12</v>
      </c>
      <c r="AA17" s="1">
        <v>71</v>
      </c>
      <c r="AB17" s="1">
        <v>29</v>
      </c>
      <c r="AC17" s="1">
        <v>12</v>
      </c>
      <c r="AD17" s="1">
        <v>22</v>
      </c>
      <c r="AE17" s="1">
        <v>40</v>
      </c>
      <c r="AF17" s="18">
        <f t="shared" si="0"/>
        <v>43.4</v>
      </c>
    </row>
    <row r="18" spans="1:32" x14ac:dyDescent="0.35">
      <c r="A18" s="1" t="s">
        <v>213</v>
      </c>
      <c r="B18" s="1">
        <v>94</v>
      </c>
      <c r="C18" s="1">
        <v>18</v>
      </c>
      <c r="D18" s="1">
        <v>34</v>
      </c>
      <c r="E18" s="1">
        <v>72</v>
      </c>
      <c r="F18" s="1">
        <v>14</v>
      </c>
      <c r="G18" s="1">
        <v>20</v>
      </c>
      <c r="H18" s="1">
        <v>65</v>
      </c>
      <c r="I18" s="1">
        <v>41</v>
      </c>
      <c r="J18" s="1">
        <v>37</v>
      </c>
      <c r="K18" s="1">
        <v>91</v>
      </c>
      <c r="L18" s="1">
        <v>56</v>
      </c>
      <c r="M18" s="1">
        <v>31</v>
      </c>
      <c r="N18" s="1">
        <v>36</v>
      </c>
      <c r="O18" s="1">
        <v>12</v>
      </c>
      <c r="P18" s="1">
        <v>100</v>
      </c>
      <c r="Q18" s="1">
        <v>191</v>
      </c>
      <c r="R18" s="1">
        <v>15</v>
      </c>
      <c r="S18" s="1">
        <v>25</v>
      </c>
      <c r="T18" s="1">
        <v>74</v>
      </c>
      <c r="U18" s="1">
        <v>39</v>
      </c>
      <c r="V18" s="1">
        <v>96</v>
      </c>
      <c r="W18" s="1">
        <v>109</v>
      </c>
      <c r="X18" s="1">
        <v>12</v>
      </c>
      <c r="Y18" s="1">
        <v>18</v>
      </c>
      <c r="Z18" s="1">
        <v>111</v>
      </c>
      <c r="AA18" s="1">
        <v>50</v>
      </c>
      <c r="AB18" s="1">
        <v>47</v>
      </c>
      <c r="AC18" s="1">
        <v>63</v>
      </c>
      <c r="AD18" s="1">
        <v>26</v>
      </c>
      <c r="AE18" s="1">
        <v>79</v>
      </c>
      <c r="AF18" s="18">
        <f t="shared" si="0"/>
        <v>55.866666666666667</v>
      </c>
    </row>
    <row r="19" spans="1:32" x14ac:dyDescent="0.35">
      <c r="A19" s="1" t="s">
        <v>171</v>
      </c>
      <c r="B19" s="1">
        <v>32</v>
      </c>
      <c r="C19" s="1">
        <v>43</v>
      </c>
      <c r="D19" s="1">
        <v>21</v>
      </c>
      <c r="E19" s="1">
        <v>63</v>
      </c>
      <c r="F19" s="1">
        <v>14</v>
      </c>
      <c r="G19" s="1">
        <v>46</v>
      </c>
      <c r="H19" s="1">
        <v>91</v>
      </c>
      <c r="I19" s="1">
        <v>44</v>
      </c>
      <c r="J19" s="1">
        <v>46</v>
      </c>
      <c r="K19" s="1">
        <v>77</v>
      </c>
      <c r="L19" s="1">
        <v>19</v>
      </c>
      <c r="M19" s="1">
        <v>16</v>
      </c>
      <c r="N19" s="1">
        <v>16</v>
      </c>
      <c r="O19" s="1">
        <v>13</v>
      </c>
      <c r="P19" s="1">
        <v>36</v>
      </c>
      <c r="Q19" s="1">
        <v>37</v>
      </c>
      <c r="R19" s="1">
        <v>35</v>
      </c>
      <c r="S19" s="1">
        <v>83</v>
      </c>
      <c r="T19" s="1">
        <v>52</v>
      </c>
      <c r="U19" s="1">
        <v>26</v>
      </c>
      <c r="V19" s="1">
        <v>63</v>
      </c>
      <c r="W19" s="1">
        <v>58</v>
      </c>
      <c r="X19" s="1">
        <v>36</v>
      </c>
      <c r="Y19" s="1">
        <v>137</v>
      </c>
      <c r="Z19" s="1">
        <v>55</v>
      </c>
      <c r="AA19" s="1">
        <v>133</v>
      </c>
      <c r="AB19" s="1">
        <v>12</v>
      </c>
      <c r="AC19" s="1">
        <v>12</v>
      </c>
      <c r="AD19" s="1">
        <v>79</v>
      </c>
      <c r="AE19" s="1">
        <v>56</v>
      </c>
      <c r="AF19" s="18">
        <f t="shared" si="0"/>
        <v>48.366666666666667</v>
      </c>
    </row>
    <row r="20" spans="1:32" x14ac:dyDescent="0.35">
      <c r="A20" s="1" t="s">
        <v>214</v>
      </c>
      <c r="B20" s="1">
        <v>23</v>
      </c>
      <c r="C20" s="1">
        <v>116</v>
      </c>
      <c r="D20" s="1">
        <v>28</v>
      </c>
      <c r="E20" s="1">
        <v>75</v>
      </c>
      <c r="F20" s="1">
        <v>15</v>
      </c>
      <c r="G20" s="1">
        <v>28</v>
      </c>
      <c r="H20" s="1">
        <v>22</v>
      </c>
      <c r="I20" s="1">
        <v>197</v>
      </c>
      <c r="J20" s="1">
        <v>26</v>
      </c>
      <c r="K20" s="1">
        <v>45</v>
      </c>
      <c r="L20" s="1">
        <v>33</v>
      </c>
      <c r="M20" s="1">
        <v>54</v>
      </c>
      <c r="N20" s="1">
        <v>43</v>
      </c>
      <c r="O20" s="1">
        <v>35</v>
      </c>
      <c r="P20" s="1">
        <v>21</v>
      </c>
      <c r="Q20" s="1">
        <v>40</v>
      </c>
      <c r="R20" s="1">
        <v>14</v>
      </c>
      <c r="S20" s="1">
        <v>32</v>
      </c>
      <c r="T20" s="1">
        <v>45</v>
      </c>
      <c r="U20" s="1">
        <v>66</v>
      </c>
      <c r="V20" s="1">
        <v>67</v>
      </c>
      <c r="W20" s="1">
        <v>33</v>
      </c>
      <c r="X20" s="1">
        <v>53</v>
      </c>
      <c r="Y20" s="1">
        <v>110</v>
      </c>
      <c r="Z20" s="1">
        <v>80</v>
      </c>
      <c r="AA20" s="1">
        <v>61</v>
      </c>
      <c r="AB20" s="1">
        <v>49</v>
      </c>
      <c r="AC20" s="1">
        <v>30</v>
      </c>
      <c r="AD20" s="1">
        <v>191</v>
      </c>
      <c r="AE20" s="1">
        <v>107</v>
      </c>
      <c r="AF20" s="18">
        <f t="shared" si="0"/>
        <v>57.966666666666669</v>
      </c>
    </row>
    <row r="21" spans="1:32" x14ac:dyDescent="0.35">
      <c r="A21" s="1" t="s">
        <v>10</v>
      </c>
      <c r="B21" s="1">
        <v>21</v>
      </c>
      <c r="C21" s="1">
        <v>50</v>
      </c>
      <c r="D21" s="1">
        <v>67</v>
      </c>
      <c r="E21" s="1">
        <v>42</v>
      </c>
      <c r="F21" s="1">
        <v>42</v>
      </c>
      <c r="G21" s="1">
        <v>44</v>
      </c>
      <c r="H21" s="1">
        <v>65</v>
      </c>
      <c r="I21" s="1">
        <v>103</v>
      </c>
      <c r="J21" s="1">
        <v>179</v>
      </c>
      <c r="K21" s="1">
        <v>51</v>
      </c>
      <c r="L21" s="1">
        <v>20</v>
      </c>
      <c r="M21" s="1">
        <v>37</v>
      </c>
      <c r="N21" s="1">
        <v>55</v>
      </c>
      <c r="O21" s="1">
        <v>51</v>
      </c>
      <c r="P21" s="1">
        <v>70</v>
      </c>
      <c r="Q21" s="1">
        <v>52</v>
      </c>
      <c r="R21" s="1">
        <v>15</v>
      </c>
      <c r="S21" s="1">
        <v>41</v>
      </c>
      <c r="T21" s="1">
        <v>159</v>
      </c>
      <c r="U21" s="1">
        <v>32</v>
      </c>
      <c r="V21" s="1">
        <v>44</v>
      </c>
      <c r="W21" s="1">
        <v>12</v>
      </c>
      <c r="X21" s="1">
        <v>33</v>
      </c>
      <c r="Y21" s="1">
        <v>106</v>
      </c>
      <c r="Z21" s="1">
        <v>15</v>
      </c>
      <c r="AA21" s="1">
        <v>14</v>
      </c>
      <c r="AB21" s="1">
        <v>69</v>
      </c>
      <c r="AC21" s="1">
        <v>113</v>
      </c>
      <c r="AD21" s="1">
        <v>134</v>
      </c>
      <c r="AE21" s="1">
        <v>66</v>
      </c>
      <c r="AF21" s="18">
        <f t="shared" si="0"/>
        <v>60.06666666666667</v>
      </c>
    </row>
    <row r="22" spans="1:32" x14ac:dyDescent="0.35">
      <c r="A22" s="1" t="s">
        <v>11</v>
      </c>
      <c r="B22" s="1">
        <v>73</v>
      </c>
      <c r="C22" s="1">
        <v>73</v>
      </c>
      <c r="D22" s="1">
        <v>85</v>
      </c>
      <c r="E22" s="1">
        <v>15</v>
      </c>
      <c r="F22" s="1">
        <v>109</v>
      </c>
      <c r="G22" s="1">
        <v>37</v>
      </c>
      <c r="H22" s="1">
        <v>44</v>
      </c>
      <c r="I22" s="1">
        <v>56</v>
      </c>
      <c r="J22" s="1">
        <v>73</v>
      </c>
      <c r="K22" s="1">
        <v>17</v>
      </c>
      <c r="L22" s="1">
        <v>125</v>
      </c>
      <c r="M22" s="1">
        <v>35</v>
      </c>
      <c r="N22" s="1">
        <v>61</v>
      </c>
      <c r="O22" s="1">
        <v>49</v>
      </c>
      <c r="P22" s="1">
        <v>119</v>
      </c>
      <c r="Q22" s="1">
        <v>18</v>
      </c>
      <c r="R22" s="1">
        <v>31</v>
      </c>
      <c r="S22" s="1">
        <v>17</v>
      </c>
      <c r="T22" s="1">
        <v>35</v>
      </c>
      <c r="U22" s="1">
        <v>12</v>
      </c>
      <c r="V22" s="1">
        <v>84</v>
      </c>
      <c r="W22" s="1">
        <v>36</v>
      </c>
      <c r="X22" s="1">
        <v>18</v>
      </c>
      <c r="Y22" s="1">
        <v>104</v>
      </c>
      <c r="Z22" s="1">
        <v>42</v>
      </c>
      <c r="AA22" s="1">
        <v>80</v>
      </c>
      <c r="AB22" s="1">
        <v>68</v>
      </c>
      <c r="AC22" s="1">
        <v>21</v>
      </c>
      <c r="AD22" s="1">
        <v>59</v>
      </c>
      <c r="AE22" s="1">
        <v>58</v>
      </c>
      <c r="AF22" s="18">
        <f t="shared" si="0"/>
        <v>55.133333333333333</v>
      </c>
    </row>
    <row r="23" spans="1:32" x14ac:dyDescent="0.35">
      <c r="A23" s="1" t="s">
        <v>12</v>
      </c>
      <c r="B23" s="1">
        <v>18</v>
      </c>
      <c r="C23" s="1">
        <v>17</v>
      </c>
      <c r="D23" s="1">
        <v>22</v>
      </c>
      <c r="E23" s="1">
        <v>43</v>
      </c>
      <c r="F23" s="1">
        <v>79</v>
      </c>
      <c r="G23" s="1">
        <v>23</v>
      </c>
      <c r="H23" s="1">
        <v>50</v>
      </c>
      <c r="I23" s="1">
        <v>67</v>
      </c>
      <c r="J23" s="1">
        <v>19</v>
      </c>
      <c r="K23" s="1">
        <v>14</v>
      </c>
      <c r="L23" s="1">
        <v>21</v>
      </c>
      <c r="M23" s="1">
        <v>91</v>
      </c>
      <c r="N23" s="1">
        <v>46</v>
      </c>
      <c r="O23" s="1">
        <v>126</v>
      </c>
      <c r="P23" s="1">
        <v>43</v>
      </c>
      <c r="Q23" s="1">
        <v>25</v>
      </c>
      <c r="R23" s="1">
        <v>22</v>
      </c>
      <c r="S23" s="1">
        <v>17</v>
      </c>
      <c r="T23" s="1">
        <v>45</v>
      </c>
      <c r="U23" s="1">
        <v>27</v>
      </c>
      <c r="V23" s="1">
        <v>136</v>
      </c>
      <c r="W23" s="1">
        <v>38</v>
      </c>
      <c r="X23" s="1">
        <v>53</v>
      </c>
      <c r="Y23" s="1">
        <v>13</v>
      </c>
      <c r="Z23" s="1">
        <v>31</v>
      </c>
      <c r="AA23" s="1">
        <v>15</v>
      </c>
      <c r="AB23" s="1">
        <v>27</v>
      </c>
      <c r="AC23" s="1">
        <v>30</v>
      </c>
      <c r="AD23" s="1">
        <v>38</v>
      </c>
      <c r="AE23" s="1">
        <v>25</v>
      </c>
      <c r="AF23" s="18">
        <f t="shared" si="0"/>
        <v>40.700000000000003</v>
      </c>
    </row>
    <row r="24" spans="1:32" x14ac:dyDescent="0.35">
      <c r="A24" s="1" t="s">
        <v>13</v>
      </c>
      <c r="B24" s="1">
        <v>38</v>
      </c>
      <c r="C24" s="1">
        <v>17</v>
      </c>
      <c r="D24" s="1">
        <v>26</v>
      </c>
      <c r="E24" s="1">
        <v>81</v>
      </c>
      <c r="F24" s="1">
        <v>45</v>
      </c>
      <c r="G24" s="1">
        <v>32</v>
      </c>
      <c r="H24" s="1">
        <v>13</v>
      </c>
      <c r="I24" s="1">
        <v>46</v>
      </c>
      <c r="J24" s="1">
        <v>20</v>
      </c>
      <c r="K24" s="1">
        <v>30</v>
      </c>
      <c r="L24" s="1">
        <v>21</v>
      </c>
      <c r="M24" s="1">
        <v>49</v>
      </c>
      <c r="N24" s="1">
        <v>38</v>
      </c>
      <c r="O24" s="1">
        <v>16</v>
      </c>
      <c r="P24" s="1">
        <v>23</v>
      </c>
      <c r="Q24" s="1">
        <v>51</v>
      </c>
      <c r="R24" s="1">
        <v>68</v>
      </c>
      <c r="S24" s="1">
        <v>29</v>
      </c>
      <c r="T24" s="1">
        <v>49</v>
      </c>
      <c r="U24" s="1">
        <v>35</v>
      </c>
      <c r="V24" s="1">
        <v>66</v>
      </c>
      <c r="W24" s="1">
        <v>54</v>
      </c>
      <c r="X24" s="1">
        <v>61</v>
      </c>
      <c r="Y24" s="1">
        <v>26</v>
      </c>
      <c r="Z24" s="1">
        <v>166</v>
      </c>
      <c r="AA24" s="1">
        <v>18</v>
      </c>
      <c r="AB24" s="1">
        <v>65</v>
      </c>
      <c r="AC24" s="1">
        <v>139</v>
      </c>
      <c r="AD24" s="1">
        <v>33</v>
      </c>
      <c r="AE24" s="1">
        <v>53</v>
      </c>
      <c r="AF24" s="18">
        <f t="shared" si="0"/>
        <v>46.93333333333333</v>
      </c>
    </row>
    <row r="25" spans="1:32" x14ac:dyDescent="0.35">
      <c r="A25" s="1" t="s">
        <v>14</v>
      </c>
      <c r="B25" s="1">
        <v>114</v>
      </c>
      <c r="C25" s="1">
        <v>110</v>
      </c>
      <c r="D25" s="1">
        <v>75</v>
      </c>
      <c r="E25" s="1">
        <v>89</v>
      </c>
      <c r="F25" s="1">
        <v>83</v>
      </c>
      <c r="G25" s="1">
        <v>82</v>
      </c>
      <c r="H25" s="1">
        <v>29</v>
      </c>
      <c r="I25" s="1">
        <v>23</v>
      </c>
      <c r="J25" s="1">
        <v>15</v>
      </c>
      <c r="K25" s="1">
        <v>24</v>
      </c>
      <c r="L25" s="1">
        <v>29</v>
      </c>
      <c r="M25" s="1">
        <v>15</v>
      </c>
      <c r="N25" s="1">
        <v>54</v>
      </c>
      <c r="O25" s="1">
        <v>14</v>
      </c>
      <c r="P25" s="1">
        <v>33</v>
      </c>
      <c r="Q25" s="1">
        <v>179</v>
      </c>
      <c r="R25" s="1">
        <v>59</v>
      </c>
      <c r="S25" s="1">
        <v>20</v>
      </c>
      <c r="T25" s="1">
        <v>48</v>
      </c>
      <c r="U25" s="1">
        <v>64</v>
      </c>
      <c r="V25" s="1">
        <v>13</v>
      </c>
      <c r="W25" s="1">
        <v>42</v>
      </c>
      <c r="X25" s="1">
        <v>16</v>
      </c>
      <c r="Y25" s="1">
        <v>23</v>
      </c>
      <c r="Z25" s="1">
        <v>104</v>
      </c>
      <c r="AA25" s="1">
        <v>12</v>
      </c>
      <c r="AB25" s="1">
        <v>48</v>
      </c>
      <c r="AC25" s="1">
        <v>51</v>
      </c>
      <c r="AD25" s="1">
        <v>50</v>
      </c>
      <c r="AE25" s="1">
        <v>86</v>
      </c>
      <c r="AF25" s="18">
        <f t="shared" si="0"/>
        <v>53.466666666666669</v>
      </c>
    </row>
    <row r="26" spans="1:32" x14ac:dyDescent="0.35">
      <c r="A26" s="1" t="s">
        <v>15</v>
      </c>
      <c r="B26" s="1">
        <v>45</v>
      </c>
      <c r="C26" s="1">
        <v>61</v>
      </c>
      <c r="D26" s="1">
        <v>51</v>
      </c>
      <c r="E26" s="1">
        <v>14</v>
      </c>
      <c r="F26" s="1">
        <v>18</v>
      </c>
      <c r="G26" s="1">
        <v>38</v>
      </c>
      <c r="H26" s="1">
        <v>17</v>
      </c>
      <c r="I26" s="1">
        <v>18</v>
      </c>
      <c r="J26" s="1">
        <v>161</v>
      </c>
      <c r="K26" s="1">
        <v>97</v>
      </c>
      <c r="L26" s="1">
        <v>31</v>
      </c>
      <c r="M26" s="1">
        <v>27</v>
      </c>
      <c r="N26" s="1">
        <v>145</v>
      </c>
      <c r="O26" s="1">
        <v>24</v>
      </c>
      <c r="P26" s="1">
        <v>93</v>
      </c>
      <c r="Q26" s="1">
        <v>26</v>
      </c>
      <c r="R26" s="1">
        <v>18</v>
      </c>
      <c r="S26" s="1">
        <v>13</v>
      </c>
      <c r="T26" s="1">
        <v>34</v>
      </c>
      <c r="U26" s="1">
        <v>30</v>
      </c>
      <c r="V26" s="1">
        <v>46</v>
      </c>
      <c r="W26" s="1">
        <v>114</v>
      </c>
      <c r="X26" s="1">
        <v>200</v>
      </c>
      <c r="Y26" s="1">
        <v>120</v>
      </c>
      <c r="Z26" s="1">
        <v>15</v>
      </c>
      <c r="AA26" s="1">
        <v>30</v>
      </c>
      <c r="AB26" s="1">
        <v>51</v>
      </c>
      <c r="AC26" s="1">
        <v>41</v>
      </c>
      <c r="AD26" s="1">
        <v>76</v>
      </c>
      <c r="AE26" s="1">
        <v>56</v>
      </c>
      <c r="AF26" s="18">
        <f t="shared" si="0"/>
        <v>57</v>
      </c>
    </row>
    <row r="27" spans="1:32" x14ac:dyDescent="0.35">
      <c r="A27" s="1" t="s">
        <v>172</v>
      </c>
      <c r="B27" s="1">
        <v>101</v>
      </c>
      <c r="C27" s="1">
        <v>29</v>
      </c>
      <c r="D27" s="1">
        <v>19</v>
      </c>
      <c r="E27" s="1">
        <v>34</v>
      </c>
      <c r="F27" s="1">
        <v>22</v>
      </c>
      <c r="G27" s="1">
        <v>23</v>
      </c>
      <c r="H27" s="1">
        <v>34</v>
      </c>
      <c r="I27" s="1">
        <v>70</v>
      </c>
      <c r="J27" s="1">
        <v>28</v>
      </c>
      <c r="K27" s="1">
        <v>119</v>
      </c>
      <c r="L27" s="1">
        <v>56</v>
      </c>
      <c r="M27" s="1">
        <v>22</v>
      </c>
      <c r="N27" s="1">
        <v>48</v>
      </c>
      <c r="O27" s="1">
        <v>93</v>
      </c>
      <c r="P27" s="1">
        <v>65</v>
      </c>
      <c r="Q27" s="1">
        <v>75</v>
      </c>
      <c r="R27" s="1">
        <v>31</v>
      </c>
      <c r="S27" s="1">
        <v>36</v>
      </c>
      <c r="T27" s="1">
        <v>107</v>
      </c>
      <c r="U27" s="1">
        <v>46</v>
      </c>
      <c r="V27" s="1">
        <v>16</v>
      </c>
      <c r="W27" s="1">
        <v>13</v>
      </c>
      <c r="X27" s="1">
        <v>57</v>
      </c>
      <c r="Y27" s="1">
        <v>172</v>
      </c>
      <c r="Z27" s="1">
        <v>171</v>
      </c>
      <c r="AA27" s="1">
        <v>82</v>
      </c>
      <c r="AB27" s="1">
        <v>102</v>
      </c>
      <c r="AC27" s="1">
        <v>22</v>
      </c>
      <c r="AD27" s="1">
        <v>60</v>
      </c>
      <c r="AE27" s="1">
        <v>77</v>
      </c>
      <c r="AF27" s="18">
        <f t="shared" si="0"/>
        <v>61</v>
      </c>
    </row>
    <row r="28" spans="1:32" x14ac:dyDescent="0.35">
      <c r="A28" s="1" t="s">
        <v>16</v>
      </c>
      <c r="B28" s="1">
        <v>18</v>
      </c>
      <c r="C28" s="1">
        <v>44</v>
      </c>
      <c r="D28" s="1">
        <v>25</v>
      </c>
      <c r="E28" s="1">
        <v>52</v>
      </c>
      <c r="F28" s="1">
        <v>142</v>
      </c>
      <c r="G28" s="1">
        <v>46</v>
      </c>
      <c r="H28" s="1">
        <v>23</v>
      </c>
      <c r="I28" s="1">
        <v>14</v>
      </c>
      <c r="J28" s="1">
        <v>22</v>
      </c>
      <c r="K28" s="1">
        <v>13</v>
      </c>
      <c r="L28" s="1">
        <v>43</v>
      </c>
      <c r="M28" s="1">
        <v>31</v>
      </c>
      <c r="N28" s="1">
        <v>13</v>
      </c>
      <c r="O28" s="1">
        <v>53</v>
      </c>
      <c r="P28" s="1">
        <v>15</v>
      </c>
      <c r="Q28" s="1">
        <v>30</v>
      </c>
      <c r="R28" s="1">
        <v>40</v>
      </c>
      <c r="S28" s="1">
        <v>99</v>
      </c>
      <c r="T28" s="1">
        <v>46</v>
      </c>
      <c r="U28" s="1">
        <v>24</v>
      </c>
      <c r="V28" s="1">
        <v>50</v>
      </c>
      <c r="W28" s="1">
        <v>31</v>
      </c>
      <c r="X28" s="1">
        <v>98</v>
      </c>
      <c r="Y28" s="1">
        <v>72</v>
      </c>
      <c r="Z28" s="1">
        <v>56</v>
      </c>
      <c r="AA28" s="1">
        <v>13</v>
      </c>
      <c r="AB28" s="1">
        <v>46</v>
      </c>
      <c r="AC28" s="1">
        <v>103</v>
      </c>
      <c r="AD28" s="1">
        <v>94</v>
      </c>
      <c r="AE28" s="1">
        <v>127</v>
      </c>
      <c r="AF28" s="18">
        <f t="shared" si="0"/>
        <v>49.43333333333333</v>
      </c>
    </row>
    <row r="29" spans="1:32" x14ac:dyDescent="0.35">
      <c r="A29" s="1" t="s">
        <v>195</v>
      </c>
      <c r="B29" s="1">
        <v>25</v>
      </c>
      <c r="C29" s="1">
        <v>26</v>
      </c>
      <c r="D29" s="1">
        <v>26</v>
      </c>
      <c r="E29" s="1">
        <v>47</v>
      </c>
      <c r="F29" s="1">
        <v>37</v>
      </c>
      <c r="G29" s="1">
        <v>44</v>
      </c>
      <c r="H29" s="1">
        <v>20</v>
      </c>
      <c r="I29" s="1">
        <v>60</v>
      </c>
      <c r="J29" s="1">
        <v>109</v>
      </c>
      <c r="K29" s="1">
        <v>18</v>
      </c>
      <c r="L29" s="1">
        <v>20</v>
      </c>
      <c r="M29" s="1">
        <v>21</v>
      </c>
      <c r="N29" s="1">
        <v>71</v>
      </c>
      <c r="O29" s="1">
        <v>26</v>
      </c>
      <c r="P29" s="1">
        <v>42</v>
      </c>
      <c r="Q29" s="1">
        <v>134</v>
      </c>
      <c r="R29" s="1">
        <v>14</v>
      </c>
      <c r="S29" s="1">
        <v>28</v>
      </c>
      <c r="T29" s="1">
        <v>31</v>
      </c>
      <c r="U29" s="1">
        <v>51</v>
      </c>
      <c r="V29" s="1">
        <v>31</v>
      </c>
      <c r="W29" s="1">
        <v>103</v>
      </c>
      <c r="X29" s="1">
        <v>61</v>
      </c>
      <c r="Y29" s="1">
        <v>28</v>
      </c>
      <c r="Z29" s="1">
        <v>135</v>
      </c>
      <c r="AA29" s="1">
        <v>18</v>
      </c>
      <c r="AB29" s="1">
        <v>26</v>
      </c>
      <c r="AC29" s="1">
        <v>46</v>
      </c>
      <c r="AD29" s="1">
        <v>45</v>
      </c>
      <c r="AE29" s="1">
        <v>17</v>
      </c>
      <c r="AF29" s="18">
        <f t="shared" si="0"/>
        <v>45.333333333333336</v>
      </c>
    </row>
    <row r="30" spans="1:32" x14ac:dyDescent="0.35">
      <c r="A30" s="1" t="s">
        <v>173</v>
      </c>
      <c r="B30" s="1">
        <v>44</v>
      </c>
      <c r="C30" s="1">
        <v>17</v>
      </c>
      <c r="D30" s="1">
        <v>103</v>
      </c>
      <c r="E30" s="1">
        <v>55</v>
      </c>
      <c r="F30" s="1">
        <v>54</v>
      </c>
      <c r="G30" s="1">
        <v>125</v>
      </c>
      <c r="H30" s="1">
        <v>57</v>
      </c>
      <c r="I30" s="1">
        <v>17</v>
      </c>
      <c r="J30" s="1">
        <v>43</v>
      </c>
      <c r="K30" s="1">
        <v>161</v>
      </c>
      <c r="L30" s="1">
        <v>19</v>
      </c>
      <c r="M30" s="1">
        <v>20</v>
      </c>
      <c r="N30" s="1">
        <v>63</v>
      </c>
      <c r="O30" s="1">
        <v>153</v>
      </c>
      <c r="P30" s="1">
        <v>34</v>
      </c>
      <c r="Q30" s="1">
        <v>16</v>
      </c>
      <c r="R30" s="1">
        <v>25</v>
      </c>
      <c r="S30" s="1">
        <v>24</v>
      </c>
      <c r="T30" s="1">
        <v>28</v>
      </c>
      <c r="U30" s="1">
        <v>59</v>
      </c>
      <c r="V30" s="1">
        <v>34</v>
      </c>
      <c r="W30" s="1">
        <v>161</v>
      </c>
      <c r="X30" s="1">
        <v>82</v>
      </c>
      <c r="Y30" s="1">
        <v>31</v>
      </c>
      <c r="Z30" s="1">
        <v>25</v>
      </c>
      <c r="AA30" s="1">
        <v>107</v>
      </c>
      <c r="AB30" s="1">
        <v>15</v>
      </c>
      <c r="AC30" s="1">
        <v>23</v>
      </c>
      <c r="AD30" s="1">
        <v>33</v>
      </c>
      <c r="AE30" s="1">
        <v>122</v>
      </c>
      <c r="AF30" s="18">
        <f t="shared" si="0"/>
        <v>58.333333333333336</v>
      </c>
    </row>
    <row r="31" spans="1:32" x14ac:dyDescent="0.35">
      <c r="A31" s="1" t="s">
        <v>17</v>
      </c>
      <c r="B31" s="1">
        <v>28</v>
      </c>
      <c r="C31" s="1">
        <v>33</v>
      </c>
      <c r="D31" s="1">
        <v>57</v>
      </c>
      <c r="E31" s="1">
        <v>45</v>
      </c>
      <c r="F31" s="1">
        <v>87</v>
      </c>
      <c r="G31" s="1">
        <v>50</v>
      </c>
      <c r="H31" s="1">
        <v>29</v>
      </c>
      <c r="I31" s="1">
        <v>67</v>
      </c>
      <c r="J31" s="1">
        <v>44</v>
      </c>
      <c r="K31" s="1">
        <v>26</v>
      </c>
      <c r="L31" s="1">
        <v>21</v>
      </c>
      <c r="M31" s="1">
        <v>13</v>
      </c>
      <c r="N31" s="1">
        <v>59</v>
      </c>
      <c r="O31" s="1">
        <v>70</v>
      </c>
      <c r="P31" s="1">
        <v>39</v>
      </c>
      <c r="Q31" s="1">
        <v>12</v>
      </c>
      <c r="R31" s="1">
        <v>77</v>
      </c>
      <c r="S31" s="1">
        <v>26</v>
      </c>
      <c r="T31" s="1">
        <v>101</v>
      </c>
      <c r="U31" s="1">
        <v>24</v>
      </c>
      <c r="V31" s="1">
        <v>67</v>
      </c>
      <c r="W31" s="1">
        <v>38</v>
      </c>
      <c r="X31" s="1">
        <v>34</v>
      </c>
      <c r="Y31" s="1">
        <v>41</v>
      </c>
      <c r="Z31" s="1">
        <v>64</v>
      </c>
      <c r="AA31" s="1">
        <v>111</v>
      </c>
      <c r="AB31" s="1">
        <v>130</v>
      </c>
      <c r="AC31" s="1">
        <v>30</v>
      </c>
      <c r="AD31" s="1">
        <v>23</v>
      </c>
      <c r="AE31" s="1">
        <v>28</v>
      </c>
      <c r="AF31" s="18">
        <f t="shared" si="0"/>
        <v>49.133333333333333</v>
      </c>
    </row>
    <row r="32" spans="1:32" x14ac:dyDescent="0.35">
      <c r="A32" s="1" t="s">
        <v>18</v>
      </c>
      <c r="B32" s="1">
        <v>59</v>
      </c>
      <c r="C32" s="1">
        <v>37</v>
      </c>
      <c r="D32" s="1">
        <v>36</v>
      </c>
      <c r="E32" s="1">
        <v>84</v>
      </c>
      <c r="F32" s="1">
        <v>16</v>
      </c>
      <c r="G32" s="1">
        <v>66</v>
      </c>
      <c r="H32" s="1">
        <v>39</v>
      </c>
      <c r="I32" s="1">
        <v>15</v>
      </c>
      <c r="J32" s="1">
        <v>15</v>
      </c>
      <c r="K32" s="1">
        <v>52</v>
      </c>
      <c r="L32" s="1">
        <v>71</v>
      </c>
      <c r="M32" s="1">
        <v>56</v>
      </c>
      <c r="N32" s="1">
        <v>15</v>
      </c>
      <c r="O32" s="1">
        <v>48</v>
      </c>
      <c r="P32" s="1">
        <v>23</v>
      </c>
      <c r="Q32" s="1">
        <v>16</v>
      </c>
      <c r="R32" s="1">
        <v>22</v>
      </c>
      <c r="S32" s="1">
        <v>114</v>
      </c>
      <c r="T32" s="1">
        <v>14</v>
      </c>
      <c r="U32" s="1">
        <v>22</v>
      </c>
      <c r="V32" s="1">
        <v>81</v>
      </c>
      <c r="W32" s="1">
        <v>14</v>
      </c>
      <c r="X32" s="1">
        <v>40</v>
      </c>
      <c r="Y32" s="1">
        <v>159</v>
      </c>
      <c r="Z32" s="1">
        <v>20</v>
      </c>
      <c r="AA32" s="1">
        <v>29</v>
      </c>
      <c r="AB32" s="1">
        <v>32</v>
      </c>
      <c r="AC32" s="1">
        <v>39</v>
      </c>
      <c r="AD32" s="1">
        <v>14</v>
      </c>
      <c r="AE32" s="1">
        <v>31</v>
      </c>
      <c r="AF32" s="18">
        <f t="shared" si="0"/>
        <v>42.633333333333333</v>
      </c>
    </row>
    <row r="33" spans="1:32" x14ac:dyDescent="0.35">
      <c r="A33" s="1" t="s">
        <v>19</v>
      </c>
      <c r="B33" s="1">
        <v>13</v>
      </c>
      <c r="C33" s="1">
        <v>42</v>
      </c>
      <c r="D33" s="1">
        <v>88</v>
      </c>
      <c r="E33" s="1">
        <v>83</v>
      </c>
      <c r="F33" s="1">
        <v>14</v>
      </c>
      <c r="G33" s="1">
        <v>32</v>
      </c>
      <c r="H33" s="1">
        <v>25</v>
      </c>
      <c r="I33" s="1">
        <v>65</v>
      </c>
      <c r="J33" s="1">
        <v>198</v>
      </c>
      <c r="K33" s="1">
        <v>42</v>
      </c>
      <c r="L33" s="1">
        <v>16</v>
      </c>
      <c r="M33" s="1">
        <v>36</v>
      </c>
      <c r="N33" s="1">
        <v>28</v>
      </c>
      <c r="O33" s="1">
        <v>38</v>
      </c>
      <c r="P33" s="1">
        <v>75</v>
      </c>
      <c r="Q33" s="1">
        <v>58</v>
      </c>
      <c r="R33" s="1">
        <v>12</v>
      </c>
      <c r="S33" s="1">
        <v>85</v>
      </c>
      <c r="T33" s="1">
        <v>21</v>
      </c>
      <c r="U33" s="1">
        <v>23</v>
      </c>
      <c r="V33" s="1">
        <v>14</v>
      </c>
      <c r="W33" s="1">
        <v>43</v>
      </c>
      <c r="X33" s="1">
        <v>13</v>
      </c>
      <c r="Y33" s="1">
        <v>36</v>
      </c>
      <c r="Z33" s="1">
        <v>45</v>
      </c>
      <c r="AA33" s="1">
        <v>62</v>
      </c>
      <c r="AB33" s="1">
        <v>32</v>
      </c>
      <c r="AC33" s="1">
        <v>26</v>
      </c>
      <c r="AD33" s="1">
        <v>65</v>
      </c>
      <c r="AE33" s="1">
        <v>22</v>
      </c>
      <c r="AF33" s="18">
        <f t="shared" si="0"/>
        <v>45.06666666666667</v>
      </c>
    </row>
    <row r="34" spans="1:32" x14ac:dyDescent="0.35">
      <c r="A34" s="1" t="s">
        <v>174</v>
      </c>
      <c r="B34" s="1">
        <v>73</v>
      </c>
      <c r="C34" s="1">
        <v>59</v>
      </c>
      <c r="D34" s="1">
        <v>30</v>
      </c>
      <c r="E34" s="1">
        <v>13</v>
      </c>
      <c r="F34" s="1">
        <v>18</v>
      </c>
      <c r="G34" s="1">
        <v>120</v>
      </c>
      <c r="H34" s="1">
        <v>55</v>
      </c>
      <c r="I34" s="1">
        <v>150</v>
      </c>
      <c r="J34" s="1">
        <v>46</v>
      </c>
      <c r="K34" s="1">
        <v>54</v>
      </c>
      <c r="L34" s="1">
        <v>49</v>
      </c>
      <c r="M34" s="1">
        <v>25</v>
      </c>
      <c r="N34" s="1">
        <v>24</v>
      </c>
      <c r="O34" s="1">
        <v>71</v>
      </c>
      <c r="P34" s="1">
        <v>42</v>
      </c>
      <c r="Q34" s="1">
        <v>54</v>
      </c>
      <c r="R34" s="1">
        <v>75</v>
      </c>
      <c r="S34" s="1">
        <v>32</v>
      </c>
      <c r="T34" s="1">
        <v>43</v>
      </c>
      <c r="U34" s="1">
        <v>52</v>
      </c>
      <c r="V34" s="1">
        <v>39</v>
      </c>
      <c r="W34" s="1">
        <v>23</v>
      </c>
      <c r="X34" s="1">
        <v>22</v>
      </c>
      <c r="Y34" s="1">
        <v>12</v>
      </c>
      <c r="Z34" s="1">
        <v>14</v>
      </c>
      <c r="AA34" s="1">
        <v>34</v>
      </c>
      <c r="AB34" s="1">
        <v>45</v>
      </c>
      <c r="AC34" s="1">
        <v>43</v>
      </c>
      <c r="AD34" s="1">
        <v>16</v>
      </c>
      <c r="AE34" s="1">
        <v>16</v>
      </c>
      <c r="AF34" s="18">
        <f t="shared" si="0"/>
        <v>44.966666666666669</v>
      </c>
    </row>
    <row r="35" spans="1:32" x14ac:dyDescent="0.35">
      <c r="A35" s="1" t="s">
        <v>20</v>
      </c>
      <c r="B35" s="1">
        <v>12</v>
      </c>
      <c r="C35" s="1">
        <v>58</v>
      </c>
      <c r="D35" s="1">
        <v>14</v>
      </c>
      <c r="E35" s="1">
        <v>30</v>
      </c>
      <c r="F35" s="1">
        <v>18</v>
      </c>
      <c r="G35" s="1">
        <v>47</v>
      </c>
      <c r="H35" s="1">
        <v>194</v>
      </c>
      <c r="I35" s="1">
        <v>46</v>
      </c>
      <c r="J35" s="1">
        <v>107</v>
      </c>
      <c r="K35" s="1">
        <v>34</v>
      </c>
      <c r="L35" s="1">
        <v>28</v>
      </c>
      <c r="M35" s="1">
        <v>36</v>
      </c>
      <c r="N35" s="1">
        <v>112</v>
      </c>
      <c r="O35" s="1">
        <v>24</v>
      </c>
      <c r="P35" s="1">
        <v>16</v>
      </c>
      <c r="Q35" s="1">
        <v>41</v>
      </c>
      <c r="R35" s="1">
        <v>84</v>
      </c>
      <c r="S35" s="1">
        <v>15</v>
      </c>
      <c r="T35" s="1">
        <v>47</v>
      </c>
      <c r="U35" s="1">
        <v>12</v>
      </c>
      <c r="V35" s="1">
        <v>230</v>
      </c>
      <c r="W35" s="1">
        <v>35</v>
      </c>
      <c r="X35" s="1">
        <v>109</v>
      </c>
      <c r="Y35" s="1">
        <v>105</v>
      </c>
      <c r="Z35" s="1">
        <v>52</v>
      </c>
      <c r="AA35" s="1">
        <v>12</v>
      </c>
      <c r="AB35" s="1">
        <v>254</v>
      </c>
      <c r="AC35" s="1">
        <v>57</v>
      </c>
      <c r="AD35" s="1">
        <v>37</v>
      </c>
      <c r="AE35" s="1">
        <v>45</v>
      </c>
      <c r="AF35" s="18">
        <f t="shared" si="0"/>
        <v>63.7</v>
      </c>
    </row>
    <row r="36" spans="1:32" x14ac:dyDescent="0.35">
      <c r="A36" s="1" t="s">
        <v>21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8">
        <f t="shared" si="0"/>
        <v>0</v>
      </c>
    </row>
    <row r="37" spans="1:32" x14ac:dyDescent="0.35">
      <c r="A37" s="1" t="s">
        <v>22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8">
        <f t="shared" si="0"/>
        <v>0</v>
      </c>
    </row>
    <row r="38" spans="1:32" x14ac:dyDescent="0.35">
      <c r="A38" s="1" t="s">
        <v>23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8">
        <f t="shared" si="0"/>
        <v>0</v>
      </c>
    </row>
    <row r="39" spans="1:32" x14ac:dyDescent="0.35">
      <c r="A39" s="1" t="s">
        <v>24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8">
        <f t="shared" si="0"/>
        <v>0</v>
      </c>
    </row>
    <row r="40" spans="1:32" x14ac:dyDescent="0.35">
      <c r="A40" s="1" t="s">
        <v>25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8">
        <f t="shared" si="0"/>
        <v>0</v>
      </c>
    </row>
    <row r="41" spans="1:32" x14ac:dyDescent="0.35">
      <c r="A41" s="1" t="s">
        <v>26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8">
        <f t="shared" si="0"/>
        <v>0</v>
      </c>
    </row>
    <row r="42" spans="1:32" x14ac:dyDescent="0.35">
      <c r="A42" s="1" t="s">
        <v>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8">
        <f t="shared" si="0"/>
        <v>0</v>
      </c>
    </row>
    <row r="43" spans="1:32" x14ac:dyDescent="0.35">
      <c r="A43" s="1" t="s">
        <v>164</v>
      </c>
      <c r="B43" s="1">
        <v>71</v>
      </c>
      <c r="C43" s="1">
        <v>79</v>
      </c>
      <c r="D43" s="1">
        <v>65</v>
      </c>
      <c r="E43" s="1">
        <v>20</v>
      </c>
      <c r="F43" s="1">
        <v>22</v>
      </c>
      <c r="G43" s="1">
        <v>15</v>
      </c>
      <c r="H43" s="1">
        <v>31</v>
      </c>
      <c r="I43" s="1">
        <v>30</v>
      </c>
      <c r="J43" s="1">
        <v>19</v>
      </c>
      <c r="K43" s="1">
        <v>48</v>
      </c>
      <c r="L43" s="1">
        <v>67</v>
      </c>
      <c r="M43" s="1">
        <v>12</v>
      </c>
      <c r="N43" s="1">
        <v>17</v>
      </c>
      <c r="O43" s="1">
        <v>17</v>
      </c>
      <c r="P43" s="1">
        <v>45</v>
      </c>
      <c r="Q43" s="1">
        <v>100</v>
      </c>
      <c r="R43" s="1">
        <v>26</v>
      </c>
      <c r="S43" s="1">
        <v>52</v>
      </c>
      <c r="T43" s="1">
        <v>26</v>
      </c>
      <c r="U43" s="1">
        <v>35</v>
      </c>
      <c r="V43" s="1">
        <v>17</v>
      </c>
      <c r="W43" s="1">
        <v>49</v>
      </c>
      <c r="X43" s="1">
        <v>36</v>
      </c>
      <c r="Y43" s="1">
        <v>22</v>
      </c>
      <c r="Z43" s="1">
        <v>59</v>
      </c>
      <c r="AA43" s="1">
        <v>14</v>
      </c>
      <c r="AB43" s="1">
        <v>41</v>
      </c>
      <c r="AC43" s="1">
        <v>27</v>
      </c>
      <c r="AD43" s="1">
        <v>38</v>
      </c>
      <c r="AE43" s="1">
        <v>42</v>
      </c>
      <c r="AF43" s="18">
        <f t="shared" si="0"/>
        <v>38.06666666666667</v>
      </c>
    </row>
    <row r="44" spans="1:32" x14ac:dyDescent="0.35">
      <c r="A44" s="1" t="s">
        <v>28</v>
      </c>
      <c r="B44" s="1">
        <v>12</v>
      </c>
      <c r="C44" s="1">
        <v>53</v>
      </c>
      <c r="D44" s="1">
        <v>22</v>
      </c>
      <c r="E44" s="1">
        <v>16</v>
      </c>
      <c r="F44" s="1">
        <v>30</v>
      </c>
      <c r="G44" s="1">
        <v>136</v>
      </c>
      <c r="H44" s="1">
        <v>24</v>
      </c>
      <c r="I44" s="1">
        <v>44</v>
      </c>
      <c r="J44" s="1">
        <v>80</v>
      </c>
      <c r="K44" s="1">
        <v>19</v>
      </c>
      <c r="L44" s="1">
        <v>86</v>
      </c>
      <c r="M44" s="1">
        <v>22</v>
      </c>
      <c r="N44" s="1">
        <v>36</v>
      </c>
      <c r="O44" s="1">
        <v>15</v>
      </c>
      <c r="P44" s="1">
        <v>19</v>
      </c>
      <c r="Q44" s="1">
        <v>25</v>
      </c>
      <c r="R44" s="1">
        <v>54</v>
      </c>
      <c r="S44" s="1">
        <v>12</v>
      </c>
      <c r="T44" s="1">
        <v>185</v>
      </c>
      <c r="U44" s="1">
        <v>27</v>
      </c>
      <c r="V44" s="1">
        <v>54</v>
      </c>
      <c r="W44" s="1">
        <v>39</v>
      </c>
      <c r="X44" s="1">
        <v>25</v>
      </c>
      <c r="Y44" s="1">
        <v>20</v>
      </c>
      <c r="Z44" s="1">
        <v>12</v>
      </c>
      <c r="AA44" s="1">
        <v>15</v>
      </c>
      <c r="AB44" s="1">
        <v>29</v>
      </c>
      <c r="AC44" s="1">
        <v>131</v>
      </c>
      <c r="AD44" s="1">
        <v>14</v>
      </c>
      <c r="AE44" s="1">
        <v>115</v>
      </c>
      <c r="AF44" s="18">
        <f t="shared" si="0"/>
        <v>45.7</v>
      </c>
    </row>
    <row r="45" spans="1:32" x14ac:dyDescent="0.35">
      <c r="A45" s="1" t="s">
        <v>29</v>
      </c>
      <c r="B45" s="1">
        <v>113</v>
      </c>
      <c r="C45" s="1">
        <v>62</v>
      </c>
      <c r="D45" s="1">
        <v>36</v>
      </c>
      <c r="E45" s="1">
        <v>26</v>
      </c>
      <c r="F45" s="1">
        <v>13</v>
      </c>
      <c r="G45" s="1">
        <v>13</v>
      </c>
      <c r="H45" s="1">
        <v>22</v>
      </c>
      <c r="I45" s="1">
        <v>29</v>
      </c>
      <c r="J45" s="1">
        <v>17</v>
      </c>
      <c r="K45" s="1">
        <v>120</v>
      </c>
      <c r="L45" s="1">
        <v>47</v>
      </c>
      <c r="M45" s="1">
        <v>77</v>
      </c>
      <c r="N45" s="1">
        <v>22</v>
      </c>
      <c r="O45" s="1">
        <v>46</v>
      </c>
      <c r="P45" s="1">
        <v>32</v>
      </c>
      <c r="Q45" s="1">
        <v>26</v>
      </c>
      <c r="R45" s="1">
        <v>85</v>
      </c>
      <c r="S45" s="1">
        <v>12</v>
      </c>
      <c r="T45" s="1">
        <v>28</v>
      </c>
      <c r="U45" s="1">
        <v>22</v>
      </c>
      <c r="V45" s="1">
        <v>12</v>
      </c>
      <c r="W45" s="1">
        <v>17</v>
      </c>
      <c r="X45" s="1">
        <v>30</v>
      </c>
      <c r="Y45" s="1">
        <v>23</v>
      </c>
      <c r="Z45" s="1">
        <v>61</v>
      </c>
      <c r="AA45" s="1">
        <v>12</v>
      </c>
      <c r="AB45" s="1">
        <v>39</v>
      </c>
      <c r="AC45" s="1">
        <v>13</v>
      </c>
      <c r="AD45" s="1">
        <v>37</v>
      </c>
      <c r="AE45" s="1">
        <v>14</v>
      </c>
      <c r="AF45" s="18">
        <f t="shared" si="0"/>
        <v>36.866666666666667</v>
      </c>
    </row>
    <row r="46" spans="1:32" x14ac:dyDescent="0.35">
      <c r="A46" s="1" t="s">
        <v>30</v>
      </c>
      <c r="B46" s="1">
        <v>30</v>
      </c>
      <c r="C46" s="1">
        <v>17</v>
      </c>
      <c r="D46" s="1">
        <v>36</v>
      </c>
      <c r="E46" s="1">
        <v>67</v>
      </c>
      <c r="F46" s="1">
        <v>46</v>
      </c>
      <c r="G46" s="1">
        <v>17</v>
      </c>
      <c r="H46" s="1">
        <v>16</v>
      </c>
      <c r="I46" s="1">
        <v>111</v>
      </c>
      <c r="J46" s="1">
        <v>63</v>
      </c>
      <c r="K46" s="1">
        <v>52</v>
      </c>
      <c r="L46" s="1">
        <v>54</v>
      </c>
      <c r="M46" s="1">
        <v>32</v>
      </c>
      <c r="N46" s="1">
        <v>17</v>
      </c>
      <c r="O46" s="1">
        <v>34</v>
      </c>
      <c r="P46" s="1">
        <v>24</v>
      </c>
      <c r="Q46" s="1">
        <v>77</v>
      </c>
      <c r="R46" s="1">
        <v>62</v>
      </c>
      <c r="S46" s="1">
        <v>23</v>
      </c>
      <c r="T46" s="1">
        <v>25</v>
      </c>
      <c r="U46" s="1">
        <v>30</v>
      </c>
      <c r="V46" s="1">
        <v>54</v>
      </c>
      <c r="W46" s="1">
        <v>16</v>
      </c>
      <c r="X46" s="1">
        <v>23</v>
      </c>
      <c r="Y46" s="1">
        <v>106</v>
      </c>
      <c r="Z46" s="1">
        <v>51</v>
      </c>
      <c r="AA46" s="1">
        <v>25</v>
      </c>
      <c r="AB46" s="1">
        <v>19</v>
      </c>
      <c r="AC46" s="1">
        <v>74</v>
      </c>
      <c r="AD46" s="1">
        <v>28</v>
      </c>
      <c r="AE46" s="1">
        <v>26</v>
      </c>
      <c r="AF46" s="18">
        <f t="shared" si="0"/>
        <v>41.833333333333336</v>
      </c>
    </row>
    <row r="47" spans="1:32" x14ac:dyDescent="0.35">
      <c r="A47" s="1" t="s">
        <v>175</v>
      </c>
      <c r="B47" s="1">
        <v>39</v>
      </c>
      <c r="C47" s="1">
        <v>69</v>
      </c>
      <c r="D47" s="1">
        <v>21</v>
      </c>
      <c r="E47" s="1">
        <v>21</v>
      </c>
      <c r="F47" s="1">
        <v>21</v>
      </c>
      <c r="G47" s="1">
        <v>55</v>
      </c>
      <c r="H47" s="1">
        <v>25</v>
      </c>
      <c r="I47" s="1">
        <v>49</v>
      </c>
      <c r="J47" s="1">
        <v>85</v>
      </c>
      <c r="K47" s="1">
        <v>283</v>
      </c>
      <c r="L47" s="1">
        <v>40</v>
      </c>
      <c r="M47" s="1">
        <v>27</v>
      </c>
      <c r="N47" s="1">
        <v>81</v>
      </c>
      <c r="O47" s="1">
        <v>58</v>
      </c>
      <c r="P47" s="1">
        <v>41</v>
      </c>
      <c r="Q47" s="1">
        <v>20</v>
      </c>
      <c r="R47" s="1">
        <v>64</v>
      </c>
      <c r="S47" s="1">
        <v>74</v>
      </c>
      <c r="T47" s="1">
        <v>50</v>
      </c>
      <c r="U47" s="1">
        <v>17</v>
      </c>
      <c r="V47" s="1">
        <v>30</v>
      </c>
      <c r="W47" s="1">
        <v>36</v>
      </c>
      <c r="X47" s="1">
        <v>16</v>
      </c>
      <c r="Y47" s="1">
        <v>49</v>
      </c>
      <c r="Z47" s="1">
        <v>66</v>
      </c>
      <c r="AA47" s="1">
        <v>12</v>
      </c>
      <c r="AB47" s="1">
        <v>19</v>
      </c>
      <c r="AC47" s="1">
        <v>61</v>
      </c>
      <c r="AD47" s="1">
        <v>27</v>
      </c>
      <c r="AE47" s="1">
        <v>27</v>
      </c>
      <c r="AF47" s="18">
        <f t="shared" si="0"/>
        <v>49.43333333333333</v>
      </c>
    </row>
    <row r="48" spans="1:32" x14ac:dyDescent="0.35">
      <c r="A48" s="1" t="s">
        <v>31</v>
      </c>
      <c r="B48" s="1">
        <v>160</v>
      </c>
      <c r="C48" s="1">
        <v>41</v>
      </c>
      <c r="D48" s="1">
        <v>27</v>
      </c>
      <c r="E48" s="1">
        <v>103</v>
      </c>
      <c r="F48" s="1">
        <v>40</v>
      </c>
      <c r="G48" s="1">
        <v>24</v>
      </c>
      <c r="H48" s="1">
        <v>31</v>
      </c>
      <c r="I48" s="1">
        <v>14</v>
      </c>
      <c r="J48" s="1">
        <v>28</v>
      </c>
      <c r="K48" s="1">
        <v>34</v>
      </c>
      <c r="L48" s="1">
        <v>29</v>
      </c>
      <c r="M48" s="1">
        <v>26</v>
      </c>
      <c r="N48" s="1">
        <v>73</v>
      </c>
      <c r="O48" s="1">
        <v>23</v>
      </c>
      <c r="P48" s="1">
        <v>19</v>
      </c>
      <c r="Q48" s="1">
        <v>30</v>
      </c>
      <c r="R48" s="1">
        <v>14</v>
      </c>
      <c r="S48" s="1">
        <v>23</v>
      </c>
      <c r="T48" s="1">
        <v>60</v>
      </c>
      <c r="U48" s="1">
        <v>67</v>
      </c>
      <c r="V48" s="1">
        <v>37</v>
      </c>
      <c r="W48" s="1">
        <v>64</v>
      </c>
      <c r="X48" s="1">
        <v>23</v>
      </c>
      <c r="Y48" s="1">
        <v>30</v>
      </c>
      <c r="Z48" s="1">
        <v>44</v>
      </c>
      <c r="AA48" s="1">
        <v>42</v>
      </c>
      <c r="AB48" s="1">
        <v>29</v>
      </c>
      <c r="AC48" s="1">
        <v>183</v>
      </c>
      <c r="AD48" s="1">
        <v>23</v>
      </c>
      <c r="AE48" s="1">
        <v>23</v>
      </c>
      <c r="AF48" s="18">
        <f t="shared" si="0"/>
        <v>45.466666666666669</v>
      </c>
    </row>
    <row r="49" spans="1:32" x14ac:dyDescent="0.35">
      <c r="A49" s="1" t="s">
        <v>32</v>
      </c>
      <c r="B49" s="1">
        <v>29</v>
      </c>
      <c r="C49" s="1">
        <v>50</v>
      </c>
      <c r="D49" s="1">
        <v>26</v>
      </c>
      <c r="E49" s="1">
        <v>28</v>
      </c>
      <c r="F49" s="1">
        <v>35</v>
      </c>
      <c r="G49" s="1">
        <v>39</v>
      </c>
      <c r="H49" s="1">
        <v>13</v>
      </c>
      <c r="I49" s="1">
        <v>115</v>
      </c>
      <c r="J49" s="1">
        <v>25</v>
      </c>
      <c r="K49" s="1">
        <v>28</v>
      </c>
      <c r="L49" s="1">
        <v>41</v>
      </c>
      <c r="M49" s="1">
        <v>36</v>
      </c>
      <c r="N49" s="1">
        <v>26</v>
      </c>
      <c r="O49" s="1">
        <v>51</v>
      </c>
      <c r="P49" s="1">
        <v>35</v>
      </c>
      <c r="Q49" s="1">
        <v>64</v>
      </c>
      <c r="R49" s="1">
        <v>56</v>
      </c>
      <c r="S49" s="1">
        <v>39</v>
      </c>
      <c r="T49" s="1">
        <v>67</v>
      </c>
      <c r="U49" s="1">
        <v>24</v>
      </c>
      <c r="V49" s="1">
        <v>97</v>
      </c>
      <c r="W49" s="1">
        <v>37</v>
      </c>
      <c r="X49" s="1">
        <v>52</v>
      </c>
      <c r="Y49" s="1">
        <v>148</v>
      </c>
      <c r="Z49" s="1">
        <v>18</v>
      </c>
      <c r="AA49" s="1">
        <v>146</v>
      </c>
      <c r="AB49" s="1">
        <v>35</v>
      </c>
      <c r="AC49" s="1">
        <v>91</v>
      </c>
      <c r="AD49" s="1">
        <v>75</v>
      </c>
      <c r="AE49" s="1">
        <v>37</v>
      </c>
      <c r="AF49" s="18">
        <f t="shared" si="0"/>
        <v>52.1</v>
      </c>
    </row>
    <row r="50" spans="1:32" x14ac:dyDescent="0.35">
      <c r="A50" s="1" t="s">
        <v>33</v>
      </c>
      <c r="B50" s="1">
        <v>74</v>
      </c>
      <c r="C50" s="1">
        <v>45</v>
      </c>
      <c r="D50" s="1">
        <v>57</v>
      </c>
      <c r="E50" s="1">
        <v>31</v>
      </c>
      <c r="F50" s="1">
        <v>28</v>
      </c>
      <c r="G50" s="1">
        <v>70</v>
      </c>
      <c r="H50" s="1">
        <v>12</v>
      </c>
      <c r="I50" s="1">
        <v>92</v>
      </c>
      <c r="J50" s="1">
        <v>17</v>
      </c>
      <c r="K50" s="1">
        <v>73</v>
      </c>
      <c r="L50" s="1">
        <v>13</v>
      </c>
      <c r="M50" s="1">
        <v>35</v>
      </c>
      <c r="N50" s="1">
        <v>61</v>
      </c>
      <c r="O50" s="1">
        <v>23</v>
      </c>
      <c r="P50" s="1">
        <v>121</v>
      </c>
      <c r="Q50" s="1">
        <v>46</v>
      </c>
      <c r="R50" s="1">
        <v>234</v>
      </c>
      <c r="S50" s="1">
        <v>21</v>
      </c>
      <c r="T50" s="1">
        <v>27</v>
      </c>
      <c r="U50" s="1">
        <v>26</v>
      </c>
      <c r="V50" s="1">
        <v>29</v>
      </c>
      <c r="W50" s="1">
        <v>13</v>
      </c>
      <c r="X50" s="1">
        <v>42</v>
      </c>
      <c r="Y50" s="1">
        <v>25</v>
      </c>
      <c r="Z50" s="1">
        <v>41</v>
      </c>
      <c r="AA50" s="1">
        <v>16</v>
      </c>
      <c r="AB50" s="1">
        <v>36</v>
      </c>
      <c r="AC50" s="1">
        <v>18</v>
      </c>
      <c r="AD50" s="1">
        <v>19</v>
      </c>
      <c r="AE50" s="1">
        <v>23</v>
      </c>
      <c r="AF50" s="18">
        <f t="shared" si="0"/>
        <v>45.6</v>
      </c>
    </row>
    <row r="51" spans="1:32" x14ac:dyDescent="0.35">
      <c r="A51" s="1" t="s">
        <v>34</v>
      </c>
      <c r="B51" s="1">
        <v>17</v>
      </c>
      <c r="C51" s="1">
        <v>23</v>
      </c>
      <c r="D51" s="1">
        <v>87</v>
      </c>
      <c r="E51" s="1">
        <v>91</v>
      </c>
      <c r="F51" s="1">
        <v>100</v>
      </c>
      <c r="G51" s="1">
        <v>20</v>
      </c>
      <c r="H51" s="1">
        <v>32</v>
      </c>
      <c r="I51" s="1">
        <v>36</v>
      </c>
      <c r="J51" s="1">
        <v>146</v>
      </c>
      <c r="K51" s="1">
        <v>14</v>
      </c>
      <c r="L51" s="1">
        <v>29</v>
      </c>
      <c r="M51" s="1">
        <v>15</v>
      </c>
      <c r="N51" s="1">
        <v>20</v>
      </c>
      <c r="O51" s="1">
        <v>90</v>
      </c>
      <c r="P51" s="1">
        <v>86</v>
      </c>
      <c r="Q51" s="1">
        <v>54</v>
      </c>
      <c r="R51" s="1">
        <v>46</v>
      </c>
      <c r="S51" s="1">
        <v>49</v>
      </c>
      <c r="T51" s="1">
        <v>21</v>
      </c>
      <c r="U51" s="1">
        <v>44</v>
      </c>
      <c r="V51" s="1">
        <v>32</v>
      </c>
      <c r="W51" s="1">
        <v>35</v>
      </c>
      <c r="X51" s="1">
        <v>152</v>
      </c>
      <c r="Y51" s="1">
        <v>26</v>
      </c>
      <c r="Z51" s="1">
        <v>56</v>
      </c>
      <c r="AA51" s="1">
        <v>59</v>
      </c>
      <c r="AB51" s="1">
        <v>63</v>
      </c>
      <c r="AC51" s="1">
        <v>51</v>
      </c>
      <c r="AD51" s="1">
        <v>141</v>
      </c>
      <c r="AE51" s="1">
        <v>13</v>
      </c>
      <c r="AF51" s="18">
        <f t="shared" si="0"/>
        <v>54.93333333333333</v>
      </c>
    </row>
    <row r="52" spans="1:32" x14ac:dyDescent="0.35">
      <c r="A52" s="1" t="s">
        <v>35</v>
      </c>
      <c r="B52" s="1">
        <v>23</v>
      </c>
      <c r="C52" s="1">
        <v>34</v>
      </c>
      <c r="D52" s="1">
        <v>28</v>
      </c>
      <c r="E52" s="1">
        <v>38</v>
      </c>
      <c r="F52" s="1">
        <v>24</v>
      </c>
      <c r="G52" s="1">
        <v>27</v>
      </c>
      <c r="H52" s="1">
        <v>105</v>
      </c>
      <c r="I52" s="1">
        <v>34</v>
      </c>
      <c r="J52" s="1">
        <v>15</v>
      </c>
      <c r="K52" s="1">
        <v>19</v>
      </c>
      <c r="L52" s="1">
        <v>16</v>
      </c>
      <c r="M52" s="1">
        <v>41</v>
      </c>
      <c r="N52" s="1">
        <v>55</v>
      </c>
      <c r="O52" s="1">
        <v>21</v>
      </c>
      <c r="P52" s="1">
        <v>110</v>
      </c>
      <c r="Q52" s="1">
        <v>59</v>
      </c>
      <c r="R52" s="1">
        <v>33</v>
      </c>
      <c r="S52" s="1">
        <v>27</v>
      </c>
      <c r="T52" s="1">
        <v>42</v>
      </c>
      <c r="U52" s="1">
        <v>31</v>
      </c>
      <c r="V52" s="1">
        <v>19</v>
      </c>
      <c r="W52" s="1">
        <v>167</v>
      </c>
      <c r="X52" s="1">
        <v>16</v>
      </c>
      <c r="Y52" s="1">
        <v>24</v>
      </c>
      <c r="Z52" s="1">
        <v>62</v>
      </c>
      <c r="AA52" s="1">
        <v>32</v>
      </c>
      <c r="AB52" s="1">
        <v>56</v>
      </c>
      <c r="AC52" s="1">
        <v>17</v>
      </c>
      <c r="AD52" s="1">
        <v>98</v>
      </c>
      <c r="AE52" s="1">
        <v>20</v>
      </c>
      <c r="AF52" s="18">
        <f t="shared" si="0"/>
        <v>43.1</v>
      </c>
    </row>
    <row r="53" spans="1:32" x14ac:dyDescent="0.35">
      <c r="A53" s="1" t="s">
        <v>36</v>
      </c>
      <c r="B53" s="1">
        <v>85</v>
      </c>
      <c r="C53" s="1">
        <v>110</v>
      </c>
      <c r="D53" s="1">
        <v>33</v>
      </c>
      <c r="E53" s="1">
        <v>32</v>
      </c>
      <c r="F53" s="1">
        <v>120</v>
      </c>
      <c r="G53" s="1">
        <v>41</v>
      </c>
      <c r="H53" s="1">
        <v>79</v>
      </c>
      <c r="I53" s="1">
        <v>29</v>
      </c>
      <c r="J53" s="1">
        <v>164</v>
      </c>
      <c r="K53" s="1">
        <v>91</v>
      </c>
      <c r="L53" s="1">
        <v>19</v>
      </c>
      <c r="M53" s="1">
        <v>100</v>
      </c>
      <c r="N53" s="1">
        <v>40</v>
      </c>
      <c r="O53" s="1">
        <v>18</v>
      </c>
      <c r="P53" s="1">
        <v>19</v>
      </c>
      <c r="Q53" s="1">
        <v>49</v>
      </c>
      <c r="R53" s="1">
        <v>29</v>
      </c>
      <c r="S53" s="1">
        <v>15</v>
      </c>
      <c r="T53" s="1">
        <v>35</v>
      </c>
      <c r="U53" s="1">
        <v>68</v>
      </c>
      <c r="V53" s="1">
        <v>21</v>
      </c>
      <c r="W53" s="1">
        <v>18</v>
      </c>
      <c r="X53" s="1">
        <v>45</v>
      </c>
      <c r="Y53" s="1">
        <v>41</v>
      </c>
      <c r="Z53" s="1">
        <v>64</v>
      </c>
      <c r="AA53" s="1">
        <v>18</v>
      </c>
      <c r="AB53" s="1">
        <v>23</v>
      </c>
      <c r="AC53" s="1">
        <v>13</v>
      </c>
      <c r="AD53" s="1">
        <v>57</v>
      </c>
      <c r="AE53" s="1">
        <v>46</v>
      </c>
      <c r="AF53" s="18">
        <f t="shared" si="0"/>
        <v>50.733333333333334</v>
      </c>
    </row>
    <row r="54" spans="1:32" x14ac:dyDescent="0.35">
      <c r="A54" s="1" t="s">
        <v>37</v>
      </c>
      <c r="B54" s="1">
        <v>22</v>
      </c>
      <c r="C54" s="1">
        <v>17</v>
      </c>
      <c r="D54" s="1">
        <v>47</v>
      </c>
      <c r="E54" s="1">
        <v>38</v>
      </c>
      <c r="F54" s="1">
        <v>18</v>
      </c>
      <c r="G54" s="1">
        <v>91</v>
      </c>
      <c r="H54" s="1">
        <v>45</v>
      </c>
      <c r="I54" s="1">
        <v>23</v>
      </c>
      <c r="J54" s="1">
        <v>95</v>
      </c>
      <c r="K54" s="1">
        <v>27</v>
      </c>
      <c r="L54" s="1">
        <v>17</v>
      </c>
      <c r="M54" s="1">
        <v>29</v>
      </c>
      <c r="N54" s="1">
        <v>51</v>
      </c>
      <c r="O54" s="1">
        <v>19</v>
      </c>
      <c r="P54" s="1">
        <v>69</v>
      </c>
      <c r="Q54" s="1">
        <v>29</v>
      </c>
      <c r="R54" s="1">
        <v>72</v>
      </c>
      <c r="S54" s="1">
        <v>69</v>
      </c>
      <c r="T54" s="1">
        <v>36</v>
      </c>
      <c r="U54" s="1">
        <v>56</v>
      </c>
      <c r="V54" s="1">
        <v>115</v>
      </c>
      <c r="W54" s="1">
        <v>26</v>
      </c>
      <c r="X54" s="1">
        <v>29</v>
      </c>
      <c r="Y54" s="1">
        <v>24</v>
      </c>
      <c r="Z54" s="1">
        <v>13</v>
      </c>
      <c r="AA54" s="1">
        <v>16</v>
      </c>
      <c r="AB54" s="1">
        <v>23</v>
      </c>
      <c r="AC54" s="1">
        <v>15</v>
      </c>
      <c r="AD54" s="1">
        <v>21</v>
      </c>
      <c r="AE54" s="1">
        <v>92</v>
      </c>
      <c r="AF54" s="18">
        <f t="shared" si="0"/>
        <v>41.466666666666669</v>
      </c>
    </row>
    <row r="55" spans="1:32" x14ac:dyDescent="0.35">
      <c r="A55" s="1" t="s">
        <v>38</v>
      </c>
      <c r="B55" s="1">
        <v>17</v>
      </c>
      <c r="C55" s="1">
        <v>72</v>
      </c>
      <c r="D55" s="1">
        <v>85</v>
      </c>
      <c r="E55" s="1">
        <v>14</v>
      </c>
      <c r="F55" s="1">
        <v>21</v>
      </c>
      <c r="G55" s="1">
        <v>66</v>
      </c>
      <c r="H55" s="1">
        <v>38</v>
      </c>
      <c r="I55" s="1">
        <v>105</v>
      </c>
      <c r="J55" s="1">
        <v>24</v>
      </c>
      <c r="K55" s="1">
        <v>24</v>
      </c>
      <c r="L55" s="1">
        <v>14</v>
      </c>
      <c r="M55" s="1">
        <v>65</v>
      </c>
      <c r="N55" s="1">
        <v>20</v>
      </c>
      <c r="O55" s="1">
        <v>156</v>
      </c>
      <c r="P55" s="1">
        <v>68</v>
      </c>
      <c r="Q55" s="1">
        <v>48</v>
      </c>
      <c r="R55" s="1">
        <v>63</v>
      </c>
      <c r="S55" s="1">
        <v>44</v>
      </c>
      <c r="T55" s="1">
        <v>48</v>
      </c>
      <c r="U55" s="1">
        <v>53</v>
      </c>
      <c r="V55" s="1">
        <v>18</v>
      </c>
      <c r="W55" s="1">
        <v>31</v>
      </c>
      <c r="X55" s="1">
        <v>70</v>
      </c>
      <c r="Y55" s="1">
        <v>31</v>
      </c>
      <c r="Z55" s="1">
        <v>23</v>
      </c>
      <c r="AA55" s="1">
        <v>23</v>
      </c>
      <c r="AB55" s="1">
        <v>68</v>
      </c>
      <c r="AC55" s="1">
        <v>33</v>
      </c>
      <c r="AD55" s="1">
        <v>68</v>
      </c>
      <c r="AE55" s="1">
        <v>18</v>
      </c>
      <c r="AF55" s="18">
        <f t="shared" si="0"/>
        <v>47.6</v>
      </c>
    </row>
    <row r="56" spans="1:32" x14ac:dyDescent="0.35">
      <c r="A56" s="1" t="s">
        <v>39</v>
      </c>
      <c r="B56" s="1">
        <v>43</v>
      </c>
      <c r="C56" s="1">
        <v>39</v>
      </c>
      <c r="D56" s="1">
        <v>56</v>
      </c>
      <c r="E56" s="1">
        <v>115</v>
      </c>
      <c r="F56" s="1">
        <v>22</v>
      </c>
      <c r="G56" s="1">
        <v>29</v>
      </c>
      <c r="H56" s="1">
        <v>49</v>
      </c>
      <c r="I56" s="1">
        <v>130</v>
      </c>
      <c r="J56" s="1">
        <v>24</v>
      </c>
      <c r="K56" s="1">
        <v>21</v>
      </c>
      <c r="L56" s="1">
        <v>33</v>
      </c>
      <c r="M56" s="1">
        <v>30</v>
      </c>
      <c r="N56" s="1">
        <v>56</v>
      </c>
      <c r="O56" s="1">
        <v>22</v>
      </c>
      <c r="P56" s="1">
        <v>14</v>
      </c>
      <c r="Q56" s="1">
        <v>12</v>
      </c>
      <c r="R56" s="1">
        <v>45</v>
      </c>
      <c r="S56" s="1">
        <v>33</v>
      </c>
      <c r="T56" s="1">
        <v>48</v>
      </c>
      <c r="U56" s="1">
        <v>120</v>
      </c>
      <c r="V56" s="1">
        <v>16</v>
      </c>
      <c r="W56" s="1">
        <v>27</v>
      </c>
      <c r="X56" s="1">
        <v>36</v>
      </c>
      <c r="Y56" s="1">
        <v>32</v>
      </c>
      <c r="Z56" s="1">
        <v>12</v>
      </c>
      <c r="AA56" s="1">
        <v>13</v>
      </c>
      <c r="AB56" s="1">
        <v>23</v>
      </c>
      <c r="AC56" s="1">
        <v>17</v>
      </c>
      <c r="AD56" s="1">
        <v>24</v>
      </c>
      <c r="AE56" s="1">
        <v>98</v>
      </c>
      <c r="AF56" s="18">
        <f t="shared" si="0"/>
        <v>41.3</v>
      </c>
    </row>
    <row r="57" spans="1:32" x14ac:dyDescent="0.35">
      <c r="A57" s="1" t="s">
        <v>176</v>
      </c>
      <c r="B57" s="1">
        <v>20</v>
      </c>
      <c r="C57" s="1">
        <v>44</v>
      </c>
      <c r="D57" s="1">
        <v>71</v>
      </c>
      <c r="E57" s="1">
        <v>46</v>
      </c>
      <c r="F57" s="1">
        <v>40</v>
      </c>
      <c r="G57" s="1">
        <v>50</v>
      </c>
      <c r="H57" s="1">
        <v>47</v>
      </c>
      <c r="I57" s="1">
        <v>23</v>
      </c>
      <c r="J57" s="1">
        <v>63</v>
      </c>
      <c r="K57" s="1">
        <v>12</v>
      </c>
      <c r="L57" s="1">
        <v>69</v>
      </c>
      <c r="M57" s="1">
        <v>16</v>
      </c>
      <c r="N57" s="1">
        <v>21</v>
      </c>
      <c r="O57" s="1">
        <v>41</v>
      </c>
      <c r="P57" s="1">
        <v>101</v>
      </c>
      <c r="Q57" s="1">
        <v>22</v>
      </c>
      <c r="R57" s="1">
        <v>17</v>
      </c>
      <c r="S57" s="1">
        <v>38</v>
      </c>
      <c r="T57" s="1">
        <v>99</v>
      </c>
      <c r="U57" s="1">
        <v>214</v>
      </c>
      <c r="V57" s="1">
        <v>93</v>
      </c>
      <c r="W57" s="1">
        <v>17</v>
      </c>
      <c r="X57" s="1">
        <v>74</v>
      </c>
      <c r="Y57" s="1">
        <v>16</v>
      </c>
      <c r="Z57" s="1">
        <v>31</v>
      </c>
      <c r="AA57" s="1">
        <v>16</v>
      </c>
      <c r="AB57" s="1">
        <v>52</v>
      </c>
      <c r="AC57" s="1">
        <v>98</v>
      </c>
      <c r="AD57" s="1">
        <v>70</v>
      </c>
      <c r="AE57" s="1">
        <v>23</v>
      </c>
      <c r="AF57" s="18">
        <f t="shared" si="0"/>
        <v>51.466666666666669</v>
      </c>
    </row>
    <row r="58" spans="1:32" x14ac:dyDescent="0.35">
      <c r="A58" s="1" t="s">
        <v>40</v>
      </c>
      <c r="B58" s="1">
        <v>30</v>
      </c>
      <c r="C58" s="1">
        <v>65</v>
      </c>
      <c r="D58" s="1">
        <v>41</v>
      </c>
      <c r="E58" s="1">
        <v>14</v>
      </c>
      <c r="F58" s="1">
        <v>46</v>
      </c>
      <c r="G58" s="1">
        <v>29</v>
      </c>
      <c r="H58" s="1">
        <v>25</v>
      </c>
      <c r="I58" s="1">
        <v>21</v>
      </c>
      <c r="J58" s="1">
        <v>50</v>
      </c>
      <c r="K58" s="1">
        <v>17</v>
      </c>
      <c r="L58" s="1">
        <v>60</v>
      </c>
      <c r="M58" s="1">
        <v>79</v>
      </c>
      <c r="N58" s="1">
        <v>14</v>
      </c>
      <c r="O58" s="1">
        <v>15</v>
      </c>
      <c r="P58" s="1">
        <v>44</v>
      </c>
      <c r="Q58" s="1">
        <v>52</v>
      </c>
      <c r="R58" s="1">
        <v>148</v>
      </c>
      <c r="S58" s="1">
        <v>12</v>
      </c>
      <c r="T58" s="1">
        <v>15</v>
      </c>
      <c r="U58" s="1">
        <v>14</v>
      </c>
      <c r="V58" s="1">
        <v>24</v>
      </c>
      <c r="W58" s="1">
        <v>131</v>
      </c>
      <c r="X58" s="1">
        <v>48</v>
      </c>
      <c r="Y58" s="1">
        <v>17</v>
      </c>
      <c r="Z58" s="1">
        <v>24</v>
      </c>
      <c r="AA58" s="1">
        <v>20</v>
      </c>
      <c r="AB58" s="1">
        <v>43</v>
      </c>
      <c r="AC58" s="1">
        <v>67</v>
      </c>
      <c r="AD58" s="1">
        <v>16</v>
      </c>
      <c r="AE58" s="1">
        <v>67</v>
      </c>
      <c r="AF58" s="18">
        <f t="shared" si="0"/>
        <v>41.6</v>
      </c>
    </row>
    <row r="59" spans="1:32" x14ac:dyDescent="0.35">
      <c r="A59" s="1" t="s">
        <v>41</v>
      </c>
      <c r="B59" s="1">
        <v>14</v>
      </c>
      <c r="C59" s="1">
        <v>20</v>
      </c>
      <c r="D59" s="1">
        <v>141</v>
      </c>
      <c r="E59" s="1">
        <v>27</v>
      </c>
      <c r="F59" s="1">
        <v>14</v>
      </c>
      <c r="G59" s="1">
        <v>41</v>
      </c>
      <c r="H59" s="1">
        <v>72</v>
      </c>
      <c r="I59" s="1">
        <v>36</v>
      </c>
      <c r="J59" s="1">
        <v>37</v>
      </c>
      <c r="K59" s="1">
        <v>24</v>
      </c>
      <c r="L59" s="1">
        <v>76</v>
      </c>
      <c r="M59" s="1">
        <v>33</v>
      </c>
      <c r="N59" s="1">
        <v>12</v>
      </c>
      <c r="O59" s="1">
        <v>70</v>
      </c>
      <c r="P59" s="1">
        <v>17</v>
      </c>
      <c r="Q59" s="1">
        <v>21</v>
      </c>
      <c r="R59" s="1">
        <v>51</v>
      </c>
      <c r="S59" s="1">
        <v>53</v>
      </c>
      <c r="T59" s="1">
        <v>94</v>
      </c>
      <c r="U59" s="1">
        <v>12</v>
      </c>
      <c r="V59" s="1">
        <v>22</v>
      </c>
      <c r="W59" s="1">
        <v>26</v>
      </c>
      <c r="X59" s="1">
        <v>15</v>
      </c>
      <c r="Y59" s="1">
        <v>37</v>
      </c>
      <c r="Z59" s="1">
        <v>31</v>
      </c>
      <c r="AA59" s="1">
        <v>164</v>
      </c>
      <c r="AB59" s="1">
        <v>49</v>
      </c>
      <c r="AC59" s="1">
        <v>122</v>
      </c>
      <c r="AD59" s="1">
        <v>54</v>
      </c>
      <c r="AE59" s="1">
        <v>30</v>
      </c>
      <c r="AF59" s="18">
        <f t="shared" si="0"/>
        <v>47.166666666666664</v>
      </c>
    </row>
    <row r="60" spans="1:32" x14ac:dyDescent="0.35">
      <c r="A60" s="1" t="s">
        <v>42</v>
      </c>
      <c r="B60" s="1">
        <v>53</v>
      </c>
      <c r="C60" s="1">
        <v>18</v>
      </c>
      <c r="D60" s="1">
        <v>45</v>
      </c>
      <c r="E60" s="1">
        <v>75</v>
      </c>
      <c r="F60" s="1">
        <v>51</v>
      </c>
      <c r="G60" s="1">
        <v>19</v>
      </c>
      <c r="H60" s="1">
        <v>12</v>
      </c>
      <c r="I60" s="1">
        <v>31</v>
      </c>
      <c r="J60" s="1">
        <v>32</v>
      </c>
      <c r="K60" s="1">
        <v>78</v>
      </c>
      <c r="L60" s="1">
        <v>38</v>
      </c>
      <c r="M60" s="1">
        <v>16</v>
      </c>
      <c r="N60" s="1">
        <v>23</v>
      </c>
      <c r="O60" s="1">
        <v>20</v>
      </c>
      <c r="P60" s="1">
        <v>31</v>
      </c>
      <c r="Q60" s="1">
        <v>32</v>
      </c>
      <c r="R60" s="1">
        <v>13</v>
      </c>
      <c r="S60" s="1">
        <v>153</v>
      </c>
      <c r="T60" s="1">
        <v>49</v>
      </c>
      <c r="U60" s="1">
        <v>34</v>
      </c>
      <c r="V60" s="1">
        <v>30</v>
      </c>
      <c r="W60" s="1">
        <v>101</v>
      </c>
      <c r="X60" s="1">
        <v>39</v>
      </c>
      <c r="Y60" s="1">
        <v>31</v>
      </c>
      <c r="Z60" s="1">
        <v>56</v>
      </c>
      <c r="AA60" s="1">
        <v>65</v>
      </c>
      <c r="AB60" s="1">
        <v>36</v>
      </c>
      <c r="AC60" s="1">
        <v>20</v>
      </c>
      <c r="AD60" s="1">
        <v>17</v>
      </c>
      <c r="AE60" s="1">
        <v>57</v>
      </c>
      <c r="AF60" s="18">
        <f t="shared" si="0"/>
        <v>42.5</v>
      </c>
    </row>
    <row r="61" spans="1:32" x14ac:dyDescent="0.35">
      <c r="A61" s="1" t="s">
        <v>43</v>
      </c>
      <c r="B61" s="1">
        <v>22</v>
      </c>
      <c r="C61" s="1">
        <v>112</v>
      </c>
      <c r="D61" s="1">
        <v>29</v>
      </c>
      <c r="E61" s="1">
        <v>90</v>
      </c>
      <c r="F61" s="1">
        <v>67</v>
      </c>
      <c r="G61" s="1">
        <v>41</v>
      </c>
      <c r="H61" s="1">
        <v>17</v>
      </c>
      <c r="I61" s="1">
        <v>45</v>
      </c>
      <c r="J61" s="1">
        <v>18</v>
      </c>
      <c r="K61" s="1">
        <v>38</v>
      </c>
      <c r="L61" s="1">
        <v>14</v>
      </c>
      <c r="M61" s="1">
        <v>15</v>
      </c>
      <c r="N61" s="1">
        <v>26</v>
      </c>
      <c r="O61" s="1">
        <v>42</v>
      </c>
      <c r="P61" s="1">
        <v>96</v>
      </c>
      <c r="Q61" s="1">
        <v>21</v>
      </c>
      <c r="R61" s="1">
        <v>12</v>
      </c>
      <c r="S61" s="1">
        <v>15</v>
      </c>
      <c r="T61" s="1">
        <v>35</v>
      </c>
      <c r="U61" s="1">
        <v>21</v>
      </c>
      <c r="V61" s="1">
        <v>35</v>
      </c>
      <c r="W61" s="1">
        <v>49</v>
      </c>
      <c r="X61" s="1">
        <v>54</v>
      </c>
      <c r="Y61" s="1">
        <v>28</v>
      </c>
      <c r="Z61" s="1">
        <v>67</v>
      </c>
      <c r="AA61" s="1">
        <v>85</v>
      </c>
      <c r="AB61" s="1">
        <v>88</v>
      </c>
      <c r="AC61" s="1">
        <v>28</v>
      </c>
      <c r="AD61" s="1">
        <v>12</v>
      </c>
      <c r="AE61" s="1">
        <v>18</v>
      </c>
      <c r="AF61" s="18">
        <f t="shared" si="0"/>
        <v>41.333333333333336</v>
      </c>
    </row>
    <row r="62" spans="1:32" x14ac:dyDescent="0.35">
      <c r="A62" s="1" t="s">
        <v>44</v>
      </c>
      <c r="B62" s="1">
        <v>26</v>
      </c>
      <c r="C62" s="1">
        <v>39</v>
      </c>
      <c r="D62" s="1">
        <v>15</v>
      </c>
      <c r="E62" s="1">
        <v>29</v>
      </c>
      <c r="F62" s="1">
        <v>175</v>
      </c>
      <c r="G62" s="1">
        <v>78</v>
      </c>
      <c r="H62" s="1">
        <v>25</v>
      </c>
      <c r="I62" s="1">
        <v>17</v>
      </c>
      <c r="J62" s="1">
        <v>28</v>
      </c>
      <c r="K62" s="1">
        <v>19</v>
      </c>
      <c r="L62" s="1">
        <v>24</v>
      </c>
      <c r="M62" s="1">
        <v>47</v>
      </c>
      <c r="N62" s="1">
        <v>53</v>
      </c>
      <c r="O62" s="1">
        <v>38</v>
      </c>
      <c r="P62" s="1">
        <v>18</v>
      </c>
      <c r="Q62" s="1">
        <v>26</v>
      </c>
      <c r="R62" s="1">
        <v>12</v>
      </c>
      <c r="S62" s="1">
        <v>67</v>
      </c>
      <c r="T62" s="1">
        <v>28</v>
      </c>
      <c r="U62" s="1">
        <v>20</v>
      </c>
      <c r="V62" s="1">
        <v>39</v>
      </c>
      <c r="W62" s="1">
        <v>29</v>
      </c>
      <c r="X62" s="1">
        <v>79</v>
      </c>
      <c r="Y62" s="1">
        <v>29</v>
      </c>
      <c r="Z62" s="1">
        <v>58</v>
      </c>
      <c r="AA62" s="1">
        <v>52</v>
      </c>
      <c r="AB62" s="1">
        <v>63</v>
      </c>
      <c r="AC62" s="1">
        <v>140</v>
      </c>
      <c r="AD62" s="1">
        <v>13</v>
      </c>
      <c r="AE62" s="1">
        <v>14</v>
      </c>
      <c r="AF62" s="18">
        <f t="shared" si="0"/>
        <v>43.333333333333336</v>
      </c>
    </row>
    <row r="63" spans="1:32" x14ac:dyDescent="0.35">
      <c r="A63" s="1" t="s">
        <v>177</v>
      </c>
      <c r="B63" s="1">
        <v>60</v>
      </c>
      <c r="C63" s="1">
        <v>23</v>
      </c>
      <c r="D63" s="1">
        <v>27</v>
      </c>
      <c r="E63" s="1">
        <v>12</v>
      </c>
      <c r="F63" s="1">
        <v>39</v>
      </c>
      <c r="G63" s="1">
        <v>117</v>
      </c>
      <c r="H63" s="1">
        <v>28</v>
      </c>
      <c r="I63" s="1">
        <v>39</v>
      </c>
      <c r="J63" s="1">
        <v>19</v>
      </c>
      <c r="K63" s="1">
        <v>16</v>
      </c>
      <c r="L63" s="1">
        <v>19</v>
      </c>
      <c r="M63" s="1">
        <v>54</v>
      </c>
      <c r="N63" s="1">
        <v>52</v>
      </c>
      <c r="O63" s="1">
        <v>193</v>
      </c>
      <c r="P63" s="1">
        <v>49</v>
      </c>
      <c r="Q63" s="1">
        <v>53</v>
      </c>
      <c r="R63" s="1">
        <v>80</v>
      </c>
      <c r="S63" s="1">
        <v>21</v>
      </c>
      <c r="T63" s="1">
        <v>15</v>
      </c>
      <c r="U63" s="1">
        <v>50</v>
      </c>
      <c r="V63" s="1">
        <v>38</v>
      </c>
      <c r="W63" s="1">
        <v>113</v>
      </c>
      <c r="X63" s="1">
        <v>50</v>
      </c>
      <c r="Y63" s="1">
        <v>31</v>
      </c>
      <c r="Z63" s="1">
        <v>16</v>
      </c>
      <c r="AA63" s="1">
        <v>17</v>
      </c>
      <c r="AB63" s="1">
        <v>15</v>
      </c>
      <c r="AC63" s="1">
        <v>82</v>
      </c>
      <c r="AD63" s="1">
        <v>59</v>
      </c>
      <c r="AE63" s="1">
        <v>81</v>
      </c>
      <c r="AF63" s="18">
        <f t="shared" si="0"/>
        <v>48.93333333333333</v>
      </c>
    </row>
    <row r="64" spans="1:32" x14ac:dyDescent="0.35">
      <c r="A64" s="1" t="s">
        <v>178</v>
      </c>
      <c r="B64" s="1">
        <v>15</v>
      </c>
      <c r="C64" s="1">
        <v>22</v>
      </c>
      <c r="D64" s="1">
        <v>71</v>
      </c>
      <c r="E64" s="1">
        <v>19</v>
      </c>
      <c r="F64" s="1">
        <v>18</v>
      </c>
      <c r="G64" s="1">
        <v>34</v>
      </c>
      <c r="H64" s="1">
        <v>45</v>
      </c>
      <c r="I64" s="1">
        <v>113</v>
      </c>
      <c r="J64" s="1">
        <v>47</v>
      </c>
      <c r="K64" s="1">
        <v>17</v>
      </c>
      <c r="L64" s="1">
        <v>27</v>
      </c>
      <c r="M64" s="1">
        <v>28</v>
      </c>
      <c r="N64" s="1">
        <v>34</v>
      </c>
      <c r="O64" s="1">
        <v>17</v>
      </c>
      <c r="P64" s="1">
        <v>78</v>
      </c>
      <c r="Q64" s="1">
        <v>162</v>
      </c>
      <c r="R64" s="1">
        <v>57</v>
      </c>
      <c r="S64" s="1">
        <v>65</v>
      </c>
      <c r="T64" s="1">
        <v>19</v>
      </c>
      <c r="U64" s="1">
        <v>18</v>
      </c>
      <c r="V64" s="1">
        <v>38</v>
      </c>
      <c r="W64" s="1">
        <v>54</v>
      </c>
      <c r="X64" s="1">
        <v>24</v>
      </c>
      <c r="Y64" s="1">
        <v>45</v>
      </c>
      <c r="Z64" s="1">
        <v>67</v>
      </c>
      <c r="AA64" s="1">
        <v>33</v>
      </c>
      <c r="AB64" s="1">
        <v>84</v>
      </c>
      <c r="AC64" s="1">
        <v>25</v>
      </c>
      <c r="AD64" s="1">
        <v>68</v>
      </c>
      <c r="AE64" s="1">
        <v>14</v>
      </c>
      <c r="AF64" s="18">
        <f t="shared" si="0"/>
        <v>45.266666666666666</v>
      </c>
    </row>
    <row r="65" spans="1:32" x14ac:dyDescent="0.35">
      <c r="A65" s="1" t="s">
        <v>45</v>
      </c>
      <c r="B65" s="1">
        <v>34</v>
      </c>
      <c r="C65" s="1">
        <v>16</v>
      </c>
      <c r="D65" s="1">
        <v>61</v>
      </c>
      <c r="E65" s="1">
        <v>19</v>
      </c>
      <c r="F65" s="1">
        <v>97</v>
      </c>
      <c r="G65" s="1">
        <v>22</v>
      </c>
      <c r="H65" s="1">
        <v>38</v>
      </c>
      <c r="I65" s="1">
        <v>16</v>
      </c>
      <c r="J65" s="1">
        <v>62</v>
      </c>
      <c r="K65" s="1">
        <v>38</v>
      </c>
      <c r="L65" s="1">
        <v>16</v>
      </c>
      <c r="M65" s="1">
        <v>35</v>
      </c>
      <c r="N65" s="1">
        <v>15</v>
      </c>
      <c r="O65" s="1">
        <v>45</v>
      </c>
      <c r="P65" s="1">
        <v>20</v>
      </c>
      <c r="Q65" s="1">
        <v>44</v>
      </c>
      <c r="R65" s="1">
        <v>58</v>
      </c>
      <c r="S65" s="1">
        <v>15</v>
      </c>
      <c r="T65" s="1">
        <v>86</v>
      </c>
      <c r="U65" s="1">
        <v>31</v>
      </c>
      <c r="V65" s="1">
        <v>44</v>
      </c>
      <c r="W65" s="1">
        <v>22</v>
      </c>
      <c r="X65" s="1">
        <v>19</v>
      </c>
      <c r="Y65" s="1">
        <v>54</v>
      </c>
      <c r="Z65" s="1">
        <v>34</v>
      </c>
      <c r="AA65" s="1">
        <v>176</v>
      </c>
      <c r="AB65" s="1">
        <v>25</v>
      </c>
      <c r="AC65" s="1">
        <v>21</v>
      </c>
      <c r="AD65" s="1">
        <v>18</v>
      </c>
      <c r="AE65" s="1">
        <v>70</v>
      </c>
      <c r="AF65" s="18">
        <f t="shared" si="0"/>
        <v>41.7</v>
      </c>
    </row>
    <row r="66" spans="1:32" x14ac:dyDescent="0.35">
      <c r="A66" s="1" t="s">
        <v>46</v>
      </c>
      <c r="B66" s="1">
        <v>30</v>
      </c>
      <c r="C66" s="1">
        <v>44</v>
      </c>
      <c r="D66" s="1">
        <v>15</v>
      </c>
      <c r="E66" s="1">
        <v>46</v>
      </c>
      <c r="F66" s="1">
        <v>45</v>
      </c>
      <c r="G66" s="1">
        <v>30</v>
      </c>
      <c r="H66" s="1">
        <v>91</v>
      </c>
      <c r="I66" s="1">
        <v>34</v>
      </c>
      <c r="J66" s="1">
        <v>65</v>
      </c>
      <c r="K66" s="1">
        <v>14</v>
      </c>
      <c r="L66" s="1">
        <v>20</v>
      </c>
      <c r="M66" s="1">
        <v>66</v>
      </c>
      <c r="N66" s="1">
        <v>14</v>
      </c>
      <c r="O66" s="1">
        <v>17</v>
      </c>
      <c r="P66" s="1">
        <v>28</v>
      </c>
      <c r="Q66" s="1">
        <v>13</v>
      </c>
      <c r="R66" s="1">
        <v>45</v>
      </c>
      <c r="S66" s="1">
        <v>57</v>
      </c>
      <c r="T66" s="1">
        <v>23</v>
      </c>
      <c r="U66" s="1">
        <v>64</v>
      </c>
      <c r="V66" s="1">
        <v>18</v>
      </c>
      <c r="W66" s="1">
        <v>123</v>
      </c>
      <c r="X66" s="1">
        <v>31</v>
      </c>
      <c r="Y66" s="1">
        <v>52</v>
      </c>
      <c r="Z66" s="1">
        <v>19</v>
      </c>
      <c r="AA66" s="1">
        <v>47</v>
      </c>
      <c r="AB66" s="1">
        <v>27</v>
      </c>
      <c r="AC66" s="1">
        <v>24</v>
      </c>
      <c r="AD66" s="1">
        <v>149</v>
      </c>
      <c r="AE66" s="1">
        <v>29</v>
      </c>
      <c r="AF66" s="18">
        <f t="shared" si="0"/>
        <v>42.666666666666664</v>
      </c>
    </row>
    <row r="67" spans="1:32" x14ac:dyDescent="0.35">
      <c r="A67" s="1" t="s">
        <v>47</v>
      </c>
      <c r="B67" s="1">
        <v>31</v>
      </c>
      <c r="C67" s="1">
        <v>18</v>
      </c>
      <c r="D67" s="1">
        <v>38</v>
      </c>
      <c r="E67" s="1">
        <v>12</v>
      </c>
      <c r="F67" s="1">
        <v>17</v>
      </c>
      <c r="G67" s="1">
        <v>32</v>
      </c>
      <c r="H67" s="1">
        <v>117</v>
      </c>
      <c r="I67" s="1">
        <v>52</v>
      </c>
      <c r="J67" s="1">
        <v>101</v>
      </c>
      <c r="K67" s="1">
        <v>25</v>
      </c>
      <c r="L67" s="1">
        <v>20</v>
      </c>
      <c r="M67" s="1">
        <v>140</v>
      </c>
      <c r="N67" s="1">
        <v>26</v>
      </c>
      <c r="O67" s="1">
        <v>23</v>
      </c>
      <c r="P67" s="1">
        <v>22</v>
      </c>
      <c r="Q67" s="1">
        <v>51</v>
      </c>
      <c r="R67" s="1">
        <v>127</v>
      </c>
      <c r="S67" s="1">
        <v>59</v>
      </c>
      <c r="T67" s="1">
        <v>19</v>
      </c>
      <c r="U67" s="1">
        <v>62</v>
      </c>
      <c r="V67" s="1">
        <v>76</v>
      </c>
      <c r="W67" s="1">
        <v>68</v>
      </c>
      <c r="X67" s="1">
        <v>12</v>
      </c>
      <c r="Y67" s="1">
        <v>19</v>
      </c>
      <c r="Z67" s="1">
        <v>40</v>
      </c>
      <c r="AA67" s="1">
        <v>60</v>
      </c>
      <c r="AB67" s="1">
        <v>76</v>
      </c>
      <c r="AC67" s="1">
        <v>62</v>
      </c>
      <c r="AD67" s="1">
        <v>181</v>
      </c>
      <c r="AE67" s="1">
        <v>16</v>
      </c>
      <c r="AF67" s="18">
        <f t="shared" si="0"/>
        <v>53.4</v>
      </c>
    </row>
    <row r="68" spans="1:32" x14ac:dyDescent="0.35">
      <c r="A68" s="1" t="s">
        <v>48</v>
      </c>
      <c r="B68" s="1">
        <v>20</v>
      </c>
      <c r="C68" s="1">
        <v>70</v>
      </c>
      <c r="D68" s="1">
        <v>20</v>
      </c>
      <c r="E68" s="1">
        <v>169</v>
      </c>
      <c r="F68" s="1">
        <v>36</v>
      </c>
      <c r="G68" s="1">
        <v>67</v>
      </c>
      <c r="H68" s="1">
        <v>63</v>
      </c>
      <c r="I68" s="1">
        <v>18</v>
      </c>
      <c r="J68" s="1">
        <v>14</v>
      </c>
      <c r="K68" s="1">
        <v>33</v>
      </c>
      <c r="L68" s="1">
        <v>27</v>
      </c>
      <c r="M68" s="1">
        <v>17</v>
      </c>
      <c r="N68" s="1">
        <v>12</v>
      </c>
      <c r="O68" s="1">
        <v>49</v>
      </c>
      <c r="P68" s="1">
        <v>73</v>
      </c>
      <c r="Q68" s="1">
        <v>104</v>
      </c>
      <c r="R68" s="1">
        <v>90</v>
      </c>
      <c r="S68" s="1">
        <v>54</v>
      </c>
      <c r="T68" s="1">
        <v>117</v>
      </c>
      <c r="U68" s="1">
        <v>26</v>
      </c>
      <c r="V68" s="1">
        <v>21</v>
      </c>
      <c r="W68" s="1">
        <v>15</v>
      </c>
      <c r="X68" s="1">
        <v>92</v>
      </c>
      <c r="Y68" s="1">
        <v>21</v>
      </c>
      <c r="Z68" s="1">
        <v>44</v>
      </c>
      <c r="AA68" s="1">
        <v>16</v>
      </c>
      <c r="AB68" s="1">
        <v>121</v>
      </c>
      <c r="AC68" s="1">
        <v>14</v>
      </c>
      <c r="AD68" s="1">
        <v>46</v>
      </c>
      <c r="AE68" s="1">
        <v>43</v>
      </c>
      <c r="AF68" s="18">
        <f t="shared" ref="AF68:AF131" si="1">AVERAGE(B68:AE68)</f>
        <v>50.4</v>
      </c>
    </row>
    <row r="69" spans="1:32" x14ac:dyDescent="0.35">
      <c r="A69" s="1" t="s">
        <v>179</v>
      </c>
      <c r="B69" s="1">
        <v>27</v>
      </c>
      <c r="C69" s="1">
        <v>12</v>
      </c>
      <c r="D69" s="1">
        <v>17</v>
      </c>
      <c r="E69" s="1">
        <v>95</v>
      </c>
      <c r="F69" s="1">
        <v>60</v>
      </c>
      <c r="G69" s="1">
        <v>125</v>
      </c>
      <c r="H69" s="1">
        <v>26</v>
      </c>
      <c r="I69" s="1">
        <v>33</v>
      </c>
      <c r="J69" s="1">
        <v>26</v>
      </c>
      <c r="K69" s="1">
        <v>48</v>
      </c>
      <c r="L69" s="1">
        <v>33</v>
      </c>
      <c r="M69" s="1">
        <v>15</v>
      </c>
      <c r="N69" s="1">
        <v>17</v>
      </c>
      <c r="O69" s="1">
        <v>70</v>
      </c>
      <c r="P69" s="1">
        <v>49</v>
      </c>
      <c r="Q69" s="1">
        <v>43</v>
      </c>
      <c r="R69" s="1">
        <v>30</v>
      </c>
      <c r="S69" s="1">
        <v>50</v>
      </c>
      <c r="T69" s="1">
        <v>83</v>
      </c>
      <c r="U69" s="1">
        <v>31</v>
      </c>
      <c r="V69" s="1">
        <v>40</v>
      </c>
      <c r="W69" s="1">
        <v>150</v>
      </c>
      <c r="X69" s="1">
        <v>24</v>
      </c>
      <c r="Y69" s="1">
        <v>97</v>
      </c>
      <c r="Z69" s="1">
        <v>43</v>
      </c>
      <c r="AA69" s="1">
        <v>33</v>
      </c>
      <c r="AB69" s="1">
        <v>47</v>
      </c>
      <c r="AC69" s="1">
        <v>21</v>
      </c>
      <c r="AD69" s="1">
        <v>22</v>
      </c>
      <c r="AE69" s="1">
        <v>39</v>
      </c>
      <c r="AF69" s="18">
        <f t="shared" si="1"/>
        <v>46.866666666666667</v>
      </c>
    </row>
    <row r="70" spans="1:32" x14ac:dyDescent="0.35">
      <c r="A70" s="1" t="s">
        <v>49</v>
      </c>
      <c r="B70" s="1">
        <v>37</v>
      </c>
      <c r="C70" s="1">
        <v>36</v>
      </c>
      <c r="D70" s="1">
        <v>47</v>
      </c>
      <c r="E70" s="1">
        <v>16</v>
      </c>
      <c r="F70" s="1">
        <v>31</v>
      </c>
      <c r="G70" s="1">
        <v>28</v>
      </c>
      <c r="H70" s="1">
        <v>23</v>
      </c>
      <c r="I70" s="1">
        <v>15</v>
      </c>
      <c r="J70" s="1">
        <v>50</v>
      </c>
      <c r="K70" s="1">
        <v>19</v>
      </c>
      <c r="L70" s="1">
        <v>56</v>
      </c>
      <c r="M70" s="1">
        <v>22</v>
      </c>
      <c r="N70" s="1">
        <v>14</v>
      </c>
      <c r="O70" s="1">
        <v>26</v>
      </c>
      <c r="P70" s="1">
        <v>146</v>
      </c>
      <c r="Q70" s="1">
        <v>22</v>
      </c>
      <c r="R70" s="1">
        <v>27</v>
      </c>
      <c r="S70" s="1">
        <v>33</v>
      </c>
      <c r="T70" s="1">
        <v>72</v>
      </c>
      <c r="U70" s="1">
        <v>188</v>
      </c>
      <c r="V70" s="1">
        <v>155</v>
      </c>
      <c r="W70" s="1">
        <v>19</v>
      </c>
      <c r="X70" s="1">
        <v>15</v>
      </c>
      <c r="Y70" s="1">
        <v>39</v>
      </c>
      <c r="Z70" s="1">
        <v>20</v>
      </c>
      <c r="AA70" s="1">
        <v>49</v>
      </c>
      <c r="AB70" s="1">
        <v>59</v>
      </c>
      <c r="AC70" s="1">
        <v>175</v>
      </c>
      <c r="AD70" s="1">
        <v>12</v>
      </c>
      <c r="AE70" s="1">
        <v>97</v>
      </c>
      <c r="AF70" s="18">
        <f t="shared" si="1"/>
        <v>51.6</v>
      </c>
    </row>
    <row r="71" spans="1:32" x14ac:dyDescent="0.35">
      <c r="A71" s="1" t="s">
        <v>50</v>
      </c>
      <c r="B71" s="1">
        <v>95</v>
      </c>
      <c r="C71" s="1">
        <v>31</v>
      </c>
      <c r="D71" s="1">
        <v>113</v>
      </c>
      <c r="E71" s="1">
        <v>42</v>
      </c>
      <c r="F71" s="1">
        <v>15</v>
      </c>
      <c r="G71" s="1">
        <v>12</v>
      </c>
      <c r="H71" s="1">
        <v>13</v>
      </c>
      <c r="I71" s="1">
        <v>16</v>
      </c>
      <c r="J71" s="1">
        <v>130</v>
      </c>
      <c r="K71" s="1">
        <v>26</v>
      </c>
      <c r="L71" s="1">
        <v>43</v>
      </c>
      <c r="M71" s="1">
        <v>43</v>
      </c>
      <c r="N71" s="1">
        <v>28</v>
      </c>
      <c r="O71" s="1">
        <v>26</v>
      </c>
      <c r="P71" s="1">
        <v>42</v>
      </c>
      <c r="Q71" s="1">
        <v>36</v>
      </c>
      <c r="R71" s="1">
        <v>44</v>
      </c>
      <c r="S71" s="1">
        <v>33</v>
      </c>
      <c r="T71" s="1">
        <v>27</v>
      </c>
      <c r="U71" s="1">
        <v>23</v>
      </c>
      <c r="V71" s="1">
        <v>33</v>
      </c>
      <c r="W71" s="1">
        <v>36</v>
      </c>
      <c r="X71" s="1">
        <v>77</v>
      </c>
      <c r="Y71" s="1">
        <v>18</v>
      </c>
      <c r="Z71" s="1">
        <v>13</v>
      </c>
      <c r="AA71" s="1">
        <v>82</v>
      </c>
      <c r="AB71" s="1">
        <v>58</v>
      </c>
      <c r="AC71" s="1">
        <v>63</v>
      </c>
      <c r="AD71" s="1">
        <v>72</v>
      </c>
      <c r="AE71" s="1">
        <v>15</v>
      </c>
      <c r="AF71" s="18">
        <f t="shared" si="1"/>
        <v>43.5</v>
      </c>
    </row>
    <row r="72" spans="1:32" x14ac:dyDescent="0.35">
      <c r="A72" s="1" t="s">
        <v>51</v>
      </c>
      <c r="B72" s="1">
        <v>42</v>
      </c>
      <c r="C72" s="1">
        <v>30</v>
      </c>
      <c r="D72" s="1">
        <v>29</v>
      </c>
      <c r="E72" s="1">
        <v>47</v>
      </c>
      <c r="F72" s="1">
        <v>34</v>
      </c>
      <c r="G72" s="1">
        <v>57</v>
      </c>
      <c r="H72" s="1">
        <v>184</v>
      </c>
      <c r="I72" s="1">
        <v>20</v>
      </c>
      <c r="J72" s="1">
        <v>16</v>
      </c>
      <c r="K72" s="1">
        <v>36</v>
      </c>
      <c r="L72" s="1">
        <v>36</v>
      </c>
      <c r="M72" s="1">
        <v>14</v>
      </c>
      <c r="N72" s="1">
        <v>55</v>
      </c>
      <c r="O72" s="1">
        <v>13</v>
      </c>
      <c r="P72" s="1">
        <v>43</v>
      </c>
      <c r="Q72" s="1">
        <v>28</v>
      </c>
      <c r="R72" s="1">
        <v>77</v>
      </c>
      <c r="S72" s="1">
        <v>22</v>
      </c>
      <c r="T72" s="1">
        <v>58</v>
      </c>
      <c r="U72" s="1">
        <v>52</v>
      </c>
      <c r="V72" s="1">
        <v>14</v>
      </c>
      <c r="W72" s="1">
        <v>28</v>
      </c>
      <c r="X72" s="1">
        <v>40</v>
      </c>
      <c r="Y72" s="1">
        <v>33</v>
      </c>
      <c r="Z72" s="1">
        <v>37</v>
      </c>
      <c r="AA72" s="1">
        <v>50</v>
      </c>
      <c r="AB72" s="1">
        <v>25</v>
      </c>
      <c r="AC72" s="1">
        <v>40</v>
      </c>
      <c r="AD72" s="1">
        <v>84</v>
      </c>
      <c r="AE72" s="1">
        <v>19</v>
      </c>
      <c r="AF72" s="18">
        <f t="shared" si="1"/>
        <v>42.1</v>
      </c>
    </row>
    <row r="73" spans="1:32" x14ac:dyDescent="0.35">
      <c r="A73" s="1" t="s">
        <v>52</v>
      </c>
      <c r="B73" s="1">
        <v>80</v>
      </c>
      <c r="C73" s="1">
        <v>78</v>
      </c>
      <c r="D73" s="1">
        <v>23</v>
      </c>
      <c r="E73" s="1">
        <v>42</v>
      </c>
      <c r="F73" s="1">
        <v>118</v>
      </c>
      <c r="G73" s="1">
        <v>15</v>
      </c>
      <c r="H73" s="1">
        <v>90</v>
      </c>
      <c r="I73" s="1">
        <v>54</v>
      </c>
      <c r="J73" s="1">
        <v>21</v>
      </c>
      <c r="K73" s="1">
        <v>57</v>
      </c>
      <c r="L73" s="1">
        <v>58</v>
      </c>
      <c r="M73" s="1">
        <v>58</v>
      </c>
      <c r="N73" s="1">
        <v>26</v>
      </c>
      <c r="O73" s="1">
        <v>80</v>
      </c>
      <c r="P73" s="1">
        <v>64</v>
      </c>
      <c r="Q73" s="1">
        <v>141</v>
      </c>
      <c r="R73" s="1">
        <v>16</v>
      </c>
      <c r="S73" s="1">
        <v>29</v>
      </c>
      <c r="T73" s="1">
        <v>42</v>
      </c>
      <c r="U73" s="1">
        <v>30</v>
      </c>
      <c r="V73" s="1">
        <v>44</v>
      </c>
      <c r="W73" s="1">
        <v>66</v>
      </c>
      <c r="X73" s="1">
        <v>17</v>
      </c>
      <c r="Y73" s="1">
        <v>40</v>
      </c>
      <c r="Z73" s="1">
        <v>56</v>
      </c>
      <c r="AA73" s="1">
        <v>58</v>
      </c>
      <c r="AB73" s="1">
        <v>38</v>
      </c>
      <c r="AC73" s="1">
        <v>26</v>
      </c>
      <c r="AD73" s="1">
        <v>66</v>
      </c>
      <c r="AE73" s="1">
        <v>63</v>
      </c>
      <c r="AF73" s="18">
        <f t="shared" si="1"/>
        <v>53.2</v>
      </c>
    </row>
    <row r="74" spans="1:32" x14ac:dyDescent="0.35">
      <c r="A74" s="1" t="s">
        <v>53</v>
      </c>
      <c r="B74" s="1">
        <v>57</v>
      </c>
      <c r="C74" s="1">
        <v>15</v>
      </c>
      <c r="D74" s="1">
        <v>28</v>
      </c>
      <c r="E74" s="1">
        <v>53</v>
      </c>
      <c r="F74" s="1">
        <v>18</v>
      </c>
      <c r="G74" s="1">
        <v>32</v>
      </c>
      <c r="H74" s="1">
        <v>45</v>
      </c>
      <c r="I74" s="1">
        <v>39</v>
      </c>
      <c r="J74" s="1">
        <v>15</v>
      </c>
      <c r="K74" s="1">
        <v>28</v>
      </c>
      <c r="L74" s="1">
        <v>48</v>
      </c>
      <c r="M74" s="1">
        <v>21</v>
      </c>
      <c r="N74" s="1">
        <v>56</v>
      </c>
      <c r="O74" s="1">
        <v>23</v>
      </c>
      <c r="P74" s="1">
        <v>35</v>
      </c>
      <c r="Q74" s="1">
        <v>12</v>
      </c>
      <c r="R74" s="1">
        <v>18</v>
      </c>
      <c r="S74" s="1">
        <v>84</v>
      </c>
      <c r="T74" s="1">
        <v>27</v>
      </c>
      <c r="U74" s="1">
        <v>23</v>
      </c>
      <c r="V74" s="1">
        <v>48</v>
      </c>
      <c r="W74" s="1">
        <v>14</v>
      </c>
      <c r="X74" s="1">
        <v>64</v>
      </c>
      <c r="Y74" s="1">
        <v>92</v>
      </c>
      <c r="Z74" s="1">
        <v>18</v>
      </c>
      <c r="AA74" s="1">
        <v>16</v>
      </c>
      <c r="AB74" s="1">
        <v>18</v>
      </c>
      <c r="AC74" s="1">
        <v>86</v>
      </c>
      <c r="AD74" s="1">
        <v>104</v>
      </c>
      <c r="AE74" s="1">
        <v>61</v>
      </c>
      <c r="AF74" s="18">
        <f t="shared" si="1"/>
        <v>39.93333333333333</v>
      </c>
    </row>
    <row r="75" spans="1:32" x14ac:dyDescent="0.35">
      <c r="A75" s="1" t="s">
        <v>54</v>
      </c>
      <c r="B75" s="1">
        <v>12</v>
      </c>
      <c r="C75" s="1">
        <v>30</v>
      </c>
      <c r="D75" s="1">
        <v>20</v>
      </c>
      <c r="E75" s="1">
        <v>61</v>
      </c>
      <c r="F75" s="1">
        <v>13</v>
      </c>
      <c r="G75" s="1">
        <v>32</v>
      </c>
      <c r="H75" s="1">
        <v>89</v>
      </c>
      <c r="I75" s="1">
        <v>34</v>
      </c>
      <c r="J75" s="1">
        <v>21</v>
      </c>
      <c r="K75" s="1">
        <v>19</v>
      </c>
      <c r="L75" s="1">
        <v>50</v>
      </c>
      <c r="M75" s="1">
        <v>23</v>
      </c>
      <c r="N75" s="1">
        <v>103</v>
      </c>
      <c r="O75" s="1">
        <v>94</v>
      </c>
      <c r="P75" s="1">
        <v>46</v>
      </c>
      <c r="Q75" s="1">
        <v>38</v>
      </c>
      <c r="R75" s="1">
        <v>47</v>
      </c>
      <c r="S75" s="1">
        <v>34</v>
      </c>
      <c r="T75" s="1">
        <v>30</v>
      </c>
      <c r="U75" s="1">
        <v>26</v>
      </c>
      <c r="V75" s="1">
        <v>29</v>
      </c>
      <c r="W75" s="1">
        <v>52</v>
      </c>
      <c r="X75" s="1">
        <v>71</v>
      </c>
      <c r="Y75" s="1">
        <v>105</v>
      </c>
      <c r="Z75" s="1">
        <v>21</v>
      </c>
      <c r="AA75" s="1">
        <v>12</v>
      </c>
      <c r="AB75" s="1">
        <v>73</v>
      </c>
      <c r="AC75" s="1">
        <v>74</v>
      </c>
      <c r="AD75" s="1">
        <v>51</v>
      </c>
      <c r="AE75" s="1">
        <v>81</v>
      </c>
      <c r="AF75" s="18">
        <f t="shared" si="1"/>
        <v>46.366666666666667</v>
      </c>
    </row>
    <row r="76" spans="1:32" x14ac:dyDescent="0.35">
      <c r="A76" s="1" t="s">
        <v>180</v>
      </c>
      <c r="B76" s="1">
        <v>217</v>
      </c>
      <c r="C76" s="1">
        <v>37</v>
      </c>
      <c r="D76" s="1">
        <v>12</v>
      </c>
      <c r="E76" s="1">
        <v>30</v>
      </c>
      <c r="F76" s="1">
        <v>59</v>
      </c>
      <c r="G76" s="1">
        <v>22</v>
      </c>
      <c r="H76" s="1">
        <v>24</v>
      </c>
      <c r="I76" s="1">
        <v>20</v>
      </c>
      <c r="J76" s="1">
        <v>38</v>
      </c>
      <c r="K76" s="1">
        <v>45</v>
      </c>
      <c r="L76" s="1">
        <v>20</v>
      </c>
      <c r="M76" s="1">
        <v>18</v>
      </c>
      <c r="N76" s="1">
        <v>31</v>
      </c>
      <c r="O76" s="1">
        <v>13</v>
      </c>
      <c r="P76" s="1">
        <v>24</v>
      </c>
      <c r="Q76" s="1">
        <v>44</v>
      </c>
      <c r="R76" s="1">
        <v>43</v>
      </c>
      <c r="S76" s="1">
        <v>12</v>
      </c>
      <c r="T76" s="1">
        <v>59</v>
      </c>
      <c r="U76" s="1">
        <v>27</v>
      </c>
      <c r="V76" s="1">
        <v>18</v>
      </c>
      <c r="W76" s="1">
        <v>33</v>
      </c>
      <c r="X76" s="1">
        <v>18</v>
      </c>
      <c r="Y76" s="1">
        <v>78</v>
      </c>
      <c r="Z76" s="1">
        <v>41</v>
      </c>
      <c r="AA76" s="1">
        <v>104</v>
      </c>
      <c r="AB76" s="1">
        <v>32</v>
      </c>
      <c r="AC76" s="1">
        <v>45</v>
      </c>
      <c r="AD76" s="1">
        <v>17</v>
      </c>
      <c r="AE76" s="1">
        <v>38</v>
      </c>
      <c r="AF76" s="18">
        <f t="shared" si="1"/>
        <v>40.633333333333333</v>
      </c>
    </row>
    <row r="77" spans="1:32" x14ac:dyDescent="0.35">
      <c r="A77" s="1" t="s">
        <v>55</v>
      </c>
      <c r="B77" s="1">
        <v>13</v>
      </c>
      <c r="C77" s="1">
        <v>48</v>
      </c>
      <c r="D77" s="1">
        <v>12</v>
      </c>
      <c r="E77" s="1">
        <v>70</v>
      </c>
      <c r="F77" s="1">
        <v>60</v>
      </c>
      <c r="G77" s="1">
        <v>22</v>
      </c>
      <c r="H77" s="1">
        <v>27</v>
      </c>
      <c r="I77" s="1">
        <v>68</v>
      </c>
      <c r="J77" s="1">
        <v>70</v>
      </c>
      <c r="K77" s="1">
        <v>18</v>
      </c>
      <c r="L77" s="1">
        <v>28</v>
      </c>
      <c r="M77" s="1">
        <v>27</v>
      </c>
      <c r="N77" s="1">
        <v>34</v>
      </c>
      <c r="O77" s="1">
        <v>57</v>
      </c>
      <c r="P77" s="1">
        <v>20</v>
      </c>
      <c r="Q77" s="1">
        <v>45</v>
      </c>
      <c r="R77" s="1">
        <v>39</v>
      </c>
      <c r="S77" s="1">
        <v>64</v>
      </c>
      <c r="T77" s="1">
        <v>48</v>
      </c>
      <c r="U77" s="1">
        <v>64</v>
      </c>
      <c r="V77" s="1">
        <v>68</v>
      </c>
      <c r="W77" s="1">
        <v>26</v>
      </c>
      <c r="X77" s="1">
        <v>99</v>
      </c>
      <c r="Y77" s="1">
        <v>72</v>
      </c>
      <c r="Z77" s="1">
        <v>37</v>
      </c>
      <c r="AA77" s="1">
        <v>118</v>
      </c>
      <c r="AB77" s="1">
        <v>20</v>
      </c>
      <c r="AC77" s="1">
        <v>52</v>
      </c>
      <c r="AD77" s="1">
        <v>132</v>
      </c>
      <c r="AE77" s="1">
        <v>93</v>
      </c>
      <c r="AF77" s="18">
        <f t="shared" si="1"/>
        <v>51.7</v>
      </c>
    </row>
    <row r="78" spans="1:32" x14ac:dyDescent="0.35">
      <c r="A78" s="1" t="s">
        <v>56</v>
      </c>
      <c r="B78" s="1">
        <v>51</v>
      </c>
      <c r="C78" s="1">
        <v>46</v>
      </c>
      <c r="D78" s="1">
        <v>32</v>
      </c>
      <c r="E78" s="1">
        <v>25</v>
      </c>
      <c r="F78" s="1">
        <v>59</v>
      </c>
      <c r="G78" s="1">
        <v>13</v>
      </c>
      <c r="H78" s="1">
        <v>35</v>
      </c>
      <c r="I78" s="1">
        <v>44</v>
      </c>
      <c r="J78" s="1">
        <v>57</v>
      </c>
      <c r="K78" s="1">
        <v>14</v>
      </c>
      <c r="L78" s="1">
        <v>51</v>
      </c>
      <c r="M78" s="1">
        <v>15</v>
      </c>
      <c r="N78" s="1">
        <v>29</v>
      </c>
      <c r="O78" s="1">
        <v>31</v>
      </c>
      <c r="P78" s="1">
        <v>32</v>
      </c>
      <c r="Q78" s="1">
        <v>23</v>
      </c>
      <c r="R78" s="1">
        <v>14</v>
      </c>
      <c r="S78" s="1">
        <v>29</v>
      </c>
      <c r="T78" s="1">
        <v>210</v>
      </c>
      <c r="U78" s="1">
        <v>19</v>
      </c>
      <c r="V78" s="1">
        <v>24</v>
      </c>
      <c r="W78" s="1">
        <v>22</v>
      </c>
      <c r="X78" s="1">
        <v>47</v>
      </c>
      <c r="Y78" s="1">
        <v>43</v>
      </c>
      <c r="Z78" s="1">
        <v>71</v>
      </c>
      <c r="AA78" s="1">
        <v>19</v>
      </c>
      <c r="AB78" s="1">
        <v>88</v>
      </c>
      <c r="AC78" s="1">
        <v>12</v>
      </c>
      <c r="AD78" s="1">
        <v>119</v>
      </c>
      <c r="AE78" s="1">
        <v>12</v>
      </c>
      <c r="AF78" s="18">
        <f t="shared" si="1"/>
        <v>42.866666666666667</v>
      </c>
    </row>
    <row r="79" spans="1:32" x14ac:dyDescent="0.35">
      <c r="A79" s="1" t="s">
        <v>57</v>
      </c>
      <c r="B79" s="1">
        <v>61</v>
      </c>
      <c r="C79" s="1">
        <v>39</v>
      </c>
      <c r="D79" s="1">
        <v>15</v>
      </c>
      <c r="E79" s="1">
        <v>43</v>
      </c>
      <c r="F79" s="1">
        <v>60</v>
      </c>
      <c r="G79" s="1">
        <v>38</v>
      </c>
      <c r="H79" s="1">
        <v>50</v>
      </c>
      <c r="I79" s="1">
        <v>52</v>
      </c>
      <c r="J79" s="1">
        <v>12</v>
      </c>
      <c r="K79" s="1">
        <v>56</v>
      </c>
      <c r="L79" s="1">
        <v>19</v>
      </c>
      <c r="M79" s="1">
        <v>143</v>
      </c>
      <c r="N79" s="1">
        <v>35</v>
      </c>
      <c r="O79" s="1">
        <v>30</v>
      </c>
      <c r="P79" s="1">
        <v>52</v>
      </c>
      <c r="Q79" s="1">
        <v>74</v>
      </c>
      <c r="R79" s="1">
        <v>63</v>
      </c>
      <c r="S79" s="1">
        <v>39</v>
      </c>
      <c r="T79" s="1">
        <v>62</v>
      </c>
      <c r="U79" s="1">
        <v>99</v>
      </c>
      <c r="V79" s="1">
        <v>12</v>
      </c>
      <c r="W79" s="1">
        <v>23</v>
      </c>
      <c r="X79" s="1">
        <v>63</v>
      </c>
      <c r="Y79" s="1">
        <v>95</v>
      </c>
      <c r="Z79" s="1">
        <v>27</v>
      </c>
      <c r="AA79" s="1">
        <v>41</v>
      </c>
      <c r="AB79" s="1">
        <v>55</v>
      </c>
      <c r="AC79" s="1">
        <v>60</v>
      </c>
      <c r="AD79" s="1">
        <v>38</v>
      </c>
      <c r="AE79" s="1">
        <v>70</v>
      </c>
      <c r="AF79" s="18">
        <f t="shared" si="1"/>
        <v>50.866666666666667</v>
      </c>
    </row>
    <row r="80" spans="1:32" x14ac:dyDescent="0.35">
      <c r="A80" s="1" t="s">
        <v>58</v>
      </c>
      <c r="B80" s="1">
        <v>67</v>
      </c>
      <c r="C80" s="1">
        <v>53</v>
      </c>
      <c r="D80" s="1">
        <v>18</v>
      </c>
      <c r="E80" s="1">
        <v>36</v>
      </c>
      <c r="F80" s="1">
        <v>59</v>
      </c>
      <c r="G80" s="1">
        <v>25</v>
      </c>
      <c r="H80" s="1">
        <v>18</v>
      </c>
      <c r="I80" s="1">
        <v>25</v>
      </c>
      <c r="J80" s="1">
        <v>48</v>
      </c>
      <c r="K80" s="1">
        <v>12</v>
      </c>
      <c r="L80" s="1">
        <v>15</v>
      </c>
      <c r="M80" s="1">
        <v>61</v>
      </c>
      <c r="N80" s="1">
        <v>70</v>
      </c>
      <c r="O80" s="1">
        <v>37</v>
      </c>
      <c r="P80" s="1">
        <v>88</v>
      </c>
      <c r="Q80" s="1">
        <v>45</v>
      </c>
      <c r="R80" s="1">
        <v>35</v>
      </c>
      <c r="S80" s="1">
        <v>29</v>
      </c>
      <c r="T80" s="1">
        <v>59</v>
      </c>
      <c r="U80" s="1">
        <v>16</v>
      </c>
      <c r="V80" s="1">
        <v>24</v>
      </c>
      <c r="W80" s="1">
        <v>44</v>
      </c>
      <c r="X80" s="1">
        <v>14</v>
      </c>
      <c r="Y80" s="1">
        <v>74</v>
      </c>
      <c r="Z80" s="1">
        <v>93</v>
      </c>
      <c r="AA80" s="1">
        <v>72</v>
      </c>
      <c r="AB80" s="1">
        <v>48</v>
      </c>
      <c r="AC80" s="1">
        <v>80</v>
      </c>
      <c r="AD80" s="1">
        <v>20</v>
      </c>
      <c r="AE80" s="1">
        <v>46</v>
      </c>
      <c r="AF80" s="18">
        <f t="shared" si="1"/>
        <v>44.366666666666667</v>
      </c>
    </row>
    <row r="81" spans="1:32" x14ac:dyDescent="0.35">
      <c r="A81" s="1" t="s">
        <v>59</v>
      </c>
      <c r="B81" s="1">
        <v>24</v>
      </c>
      <c r="C81" s="1">
        <v>43</v>
      </c>
      <c r="D81" s="1">
        <v>64</v>
      </c>
      <c r="E81" s="1">
        <v>13</v>
      </c>
      <c r="F81" s="1">
        <v>83</v>
      </c>
      <c r="G81" s="1">
        <v>17</v>
      </c>
      <c r="H81" s="1">
        <v>21</v>
      </c>
      <c r="I81" s="1">
        <v>87</v>
      </c>
      <c r="J81" s="1">
        <v>41</v>
      </c>
      <c r="K81" s="1">
        <v>23</v>
      </c>
      <c r="L81" s="1">
        <v>71</v>
      </c>
      <c r="M81" s="1">
        <v>46</v>
      </c>
      <c r="N81" s="1">
        <v>50</v>
      </c>
      <c r="O81" s="1">
        <v>25</v>
      </c>
      <c r="P81" s="1">
        <v>45</v>
      </c>
      <c r="Q81" s="1">
        <v>13</v>
      </c>
      <c r="R81" s="1">
        <v>41</v>
      </c>
      <c r="S81" s="1">
        <v>104</v>
      </c>
      <c r="T81" s="1">
        <v>21</v>
      </c>
      <c r="U81" s="1">
        <v>42</v>
      </c>
      <c r="V81" s="1">
        <v>22</v>
      </c>
      <c r="W81" s="1">
        <v>35</v>
      </c>
      <c r="X81" s="1">
        <v>42</v>
      </c>
      <c r="Y81" s="1">
        <v>100</v>
      </c>
      <c r="Z81" s="1">
        <v>124</v>
      </c>
      <c r="AA81" s="1">
        <v>14</v>
      </c>
      <c r="AB81" s="1">
        <v>63</v>
      </c>
      <c r="AC81" s="1">
        <v>15</v>
      </c>
      <c r="AD81" s="1">
        <v>26</v>
      </c>
      <c r="AE81" s="1">
        <v>16</v>
      </c>
      <c r="AF81" s="18">
        <f t="shared" si="1"/>
        <v>44.366666666666667</v>
      </c>
    </row>
    <row r="82" spans="1:32" x14ac:dyDescent="0.35">
      <c r="A82" s="1" t="s">
        <v>181</v>
      </c>
      <c r="B82" s="1">
        <v>49</v>
      </c>
      <c r="C82" s="1">
        <v>58</v>
      </c>
      <c r="D82" s="1">
        <v>68</v>
      </c>
      <c r="E82" s="1">
        <v>60</v>
      </c>
      <c r="F82" s="1">
        <v>33</v>
      </c>
      <c r="G82" s="1">
        <v>18</v>
      </c>
      <c r="H82" s="1">
        <v>81</v>
      </c>
      <c r="I82" s="1">
        <v>43</v>
      </c>
      <c r="J82" s="1">
        <v>23</v>
      </c>
      <c r="K82" s="1">
        <v>57</v>
      </c>
      <c r="L82" s="1">
        <v>48</v>
      </c>
      <c r="M82" s="1">
        <v>40</v>
      </c>
      <c r="N82" s="1">
        <v>35</v>
      </c>
      <c r="O82" s="1">
        <v>25</v>
      </c>
      <c r="P82" s="1">
        <v>52</v>
      </c>
      <c r="Q82" s="1">
        <v>13</v>
      </c>
      <c r="R82" s="1">
        <v>39</v>
      </c>
      <c r="S82" s="1">
        <v>57</v>
      </c>
      <c r="T82" s="1">
        <v>137</v>
      </c>
      <c r="U82" s="1">
        <v>84</v>
      </c>
      <c r="V82" s="1">
        <v>58</v>
      </c>
      <c r="W82" s="1">
        <v>17</v>
      </c>
      <c r="X82" s="1">
        <v>69</v>
      </c>
      <c r="Y82" s="1">
        <v>16</v>
      </c>
      <c r="Z82" s="1">
        <v>18</v>
      </c>
      <c r="AA82" s="1">
        <v>43</v>
      </c>
      <c r="AB82" s="1">
        <v>72</v>
      </c>
      <c r="AC82" s="1">
        <v>120</v>
      </c>
      <c r="AD82" s="1">
        <v>15</v>
      </c>
      <c r="AE82" s="1">
        <v>22</v>
      </c>
      <c r="AF82" s="18">
        <f t="shared" si="1"/>
        <v>49</v>
      </c>
    </row>
    <row r="83" spans="1:32" x14ac:dyDescent="0.35">
      <c r="A83" s="1" t="s">
        <v>60</v>
      </c>
      <c r="B83" s="1">
        <v>37</v>
      </c>
      <c r="C83" s="1">
        <v>18</v>
      </c>
      <c r="D83" s="1">
        <v>26</v>
      </c>
      <c r="E83" s="1">
        <v>33</v>
      </c>
      <c r="F83" s="1">
        <v>42</v>
      </c>
      <c r="G83" s="1">
        <v>21</v>
      </c>
      <c r="H83" s="1">
        <v>55</v>
      </c>
      <c r="I83" s="1">
        <v>80</v>
      </c>
      <c r="J83" s="1">
        <v>12</v>
      </c>
      <c r="K83" s="1">
        <v>57</v>
      </c>
      <c r="L83" s="1">
        <v>79</v>
      </c>
      <c r="M83" s="1">
        <v>229</v>
      </c>
      <c r="N83" s="1">
        <v>14</v>
      </c>
      <c r="O83" s="1">
        <v>13</v>
      </c>
      <c r="P83" s="1">
        <v>68</v>
      </c>
      <c r="Q83" s="1">
        <v>63</v>
      </c>
      <c r="R83" s="1">
        <v>57</v>
      </c>
      <c r="S83" s="1">
        <v>45</v>
      </c>
      <c r="T83" s="1">
        <v>33</v>
      </c>
      <c r="U83" s="1">
        <v>87</v>
      </c>
      <c r="V83" s="1">
        <v>28</v>
      </c>
      <c r="W83" s="1">
        <v>48</v>
      </c>
      <c r="X83" s="1">
        <v>166</v>
      </c>
      <c r="Y83" s="1">
        <v>52</v>
      </c>
      <c r="Z83" s="1">
        <v>18</v>
      </c>
      <c r="AA83" s="1">
        <v>27</v>
      </c>
      <c r="AB83" s="1">
        <v>16</v>
      </c>
      <c r="AC83" s="1">
        <v>107</v>
      </c>
      <c r="AD83" s="1">
        <v>23</v>
      </c>
      <c r="AE83" s="1">
        <v>18</v>
      </c>
      <c r="AF83" s="18">
        <f t="shared" si="1"/>
        <v>52.4</v>
      </c>
    </row>
    <row r="84" spans="1:32" x14ac:dyDescent="0.35">
      <c r="A84" s="1" t="s">
        <v>61</v>
      </c>
      <c r="B84" s="1">
        <v>21</v>
      </c>
      <c r="C84" s="1">
        <v>60</v>
      </c>
      <c r="D84" s="1">
        <v>13</v>
      </c>
      <c r="E84" s="1">
        <v>13</v>
      </c>
      <c r="F84" s="1">
        <v>54</v>
      </c>
      <c r="G84" s="1">
        <v>40</v>
      </c>
      <c r="H84" s="1">
        <v>23</v>
      </c>
      <c r="I84" s="1">
        <v>136</v>
      </c>
      <c r="J84" s="1">
        <v>26</v>
      </c>
      <c r="K84" s="1">
        <v>46</v>
      </c>
      <c r="L84" s="1">
        <v>15</v>
      </c>
      <c r="M84" s="1">
        <v>79</v>
      </c>
      <c r="N84" s="1">
        <v>22</v>
      </c>
      <c r="O84" s="1">
        <v>14</v>
      </c>
      <c r="P84" s="1">
        <v>68</v>
      </c>
      <c r="Q84" s="1">
        <v>79</v>
      </c>
      <c r="R84" s="1">
        <v>50</v>
      </c>
      <c r="S84" s="1">
        <v>13</v>
      </c>
      <c r="T84" s="1">
        <v>14</v>
      </c>
      <c r="U84" s="1">
        <v>23</v>
      </c>
      <c r="V84" s="1">
        <v>17</v>
      </c>
      <c r="W84" s="1">
        <v>12</v>
      </c>
      <c r="X84" s="1">
        <v>54</v>
      </c>
      <c r="Y84" s="1">
        <v>108</v>
      </c>
      <c r="Z84" s="1">
        <v>60</v>
      </c>
      <c r="AA84" s="1">
        <v>75</v>
      </c>
      <c r="AB84" s="1">
        <v>39</v>
      </c>
      <c r="AC84" s="1">
        <v>19</v>
      </c>
      <c r="AD84" s="1">
        <v>35</v>
      </c>
      <c r="AE84" s="1">
        <v>18</v>
      </c>
      <c r="AF84" s="18">
        <f t="shared" si="1"/>
        <v>41.533333333333331</v>
      </c>
    </row>
    <row r="85" spans="1:32" x14ac:dyDescent="0.35">
      <c r="A85" s="1" t="s">
        <v>62</v>
      </c>
      <c r="B85" s="1">
        <v>93</v>
      </c>
      <c r="C85" s="1">
        <v>70</v>
      </c>
      <c r="D85" s="1">
        <v>48</v>
      </c>
      <c r="E85" s="1">
        <v>31</v>
      </c>
      <c r="F85" s="1">
        <v>31</v>
      </c>
      <c r="G85" s="1">
        <v>39</v>
      </c>
      <c r="H85" s="1">
        <v>25</v>
      </c>
      <c r="I85" s="1">
        <v>31</v>
      </c>
      <c r="J85" s="1">
        <v>54</v>
      </c>
      <c r="K85" s="1">
        <v>30</v>
      </c>
      <c r="L85" s="1">
        <v>28</v>
      </c>
      <c r="M85" s="1">
        <v>41</v>
      </c>
      <c r="N85" s="1">
        <v>66</v>
      </c>
      <c r="O85" s="1">
        <v>18</v>
      </c>
      <c r="P85" s="1">
        <v>104</v>
      </c>
      <c r="Q85" s="1">
        <v>55</v>
      </c>
      <c r="R85" s="1">
        <v>22</v>
      </c>
      <c r="S85" s="1">
        <v>58</v>
      </c>
      <c r="T85" s="1">
        <v>37</v>
      </c>
      <c r="U85" s="1">
        <v>95</v>
      </c>
      <c r="V85" s="1">
        <v>41</v>
      </c>
      <c r="W85" s="1">
        <v>33</v>
      </c>
      <c r="X85" s="1">
        <v>30</v>
      </c>
      <c r="Y85" s="1">
        <v>110</v>
      </c>
      <c r="Z85" s="1">
        <v>39</v>
      </c>
      <c r="AA85" s="1">
        <v>27</v>
      </c>
      <c r="AB85" s="1">
        <v>12</v>
      </c>
      <c r="AC85" s="1">
        <v>31</v>
      </c>
      <c r="AD85" s="1">
        <v>13</v>
      </c>
      <c r="AE85" s="1">
        <v>33</v>
      </c>
      <c r="AF85" s="18">
        <f t="shared" si="1"/>
        <v>44.833333333333336</v>
      </c>
    </row>
    <row r="86" spans="1:32" x14ac:dyDescent="0.35">
      <c r="A86" s="1" t="s">
        <v>63</v>
      </c>
      <c r="B86" s="1">
        <v>12</v>
      </c>
      <c r="C86" s="1">
        <v>31</v>
      </c>
      <c r="D86" s="1">
        <v>13</v>
      </c>
      <c r="E86" s="1">
        <v>32</v>
      </c>
      <c r="F86" s="1">
        <v>42</v>
      </c>
      <c r="G86" s="1">
        <v>58</v>
      </c>
      <c r="H86" s="1">
        <v>109</v>
      </c>
      <c r="I86" s="1">
        <v>29</v>
      </c>
      <c r="J86" s="1">
        <v>43</v>
      </c>
      <c r="K86" s="1">
        <v>13</v>
      </c>
      <c r="L86" s="1">
        <v>72</v>
      </c>
      <c r="M86" s="1">
        <v>85</v>
      </c>
      <c r="N86" s="1">
        <v>111</v>
      </c>
      <c r="O86" s="1">
        <v>96</v>
      </c>
      <c r="P86" s="1">
        <v>82</v>
      </c>
      <c r="Q86" s="1">
        <v>139</v>
      </c>
      <c r="R86" s="1">
        <v>166</v>
      </c>
      <c r="S86" s="1">
        <v>39</v>
      </c>
      <c r="T86" s="1">
        <v>66</v>
      </c>
      <c r="U86" s="1">
        <v>24</v>
      </c>
      <c r="V86" s="1">
        <v>66</v>
      </c>
      <c r="W86" s="1">
        <v>13</v>
      </c>
      <c r="X86" s="1">
        <v>16</v>
      </c>
      <c r="Y86" s="1">
        <v>97</v>
      </c>
      <c r="Z86" s="1">
        <v>28</v>
      </c>
      <c r="AA86" s="1">
        <v>45</v>
      </c>
      <c r="AB86" s="1">
        <v>19</v>
      </c>
      <c r="AC86" s="1">
        <v>12</v>
      </c>
      <c r="AD86" s="1">
        <v>82</v>
      </c>
      <c r="AE86" s="1">
        <v>63</v>
      </c>
      <c r="AF86" s="18">
        <f t="shared" si="1"/>
        <v>56.766666666666666</v>
      </c>
    </row>
    <row r="87" spans="1:32" x14ac:dyDescent="0.35">
      <c r="A87" s="1" t="s">
        <v>64</v>
      </c>
      <c r="B87" s="1">
        <v>63</v>
      </c>
      <c r="C87" s="1">
        <v>25</v>
      </c>
      <c r="D87" s="1">
        <v>19</v>
      </c>
      <c r="E87" s="1">
        <v>12</v>
      </c>
      <c r="F87" s="1">
        <v>20</v>
      </c>
      <c r="G87" s="1">
        <v>38</v>
      </c>
      <c r="H87" s="1">
        <v>48</v>
      </c>
      <c r="I87" s="1">
        <v>18</v>
      </c>
      <c r="J87" s="1">
        <v>24</v>
      </c>
      <c r="K87" s="1">
        <v>25</v>
      </c>
      <c r="L87" s="1">
        <v>22</v>
      </c>
      <c r="M87" s="1">
        <v>27</v>
      </c>
      <c r="N87" s="1">
        <v>13</v>
      </c>
      <c r="O87" s="1">
        <v>33</v>
      </c>
      <c r="P87" s="1">
        <v>17</v>
      </c>
      <c r="Q87" s="1">
        <v>12</v>
      </c>
      <c r="R87" s="1">
        <v>81</v>
      </c>
      <c r="S87" s="1">
        <v>20</v>
      </c>
      <c r="T87" s="1">
        <v>14</v>
      </c>
      <c r="U87" s="1">
        <v>95</v>
      </c>
      <c r="V87" s="1">
        <v>69</v>
      </c>
      <c r="W87" s="1">
        <v>49</v>
      </c>
      <c r="X87" s="1">
        <v>51</v>
      </c>
      <c r="Y87" s="1">
        <v>40</v>
      </c>
      <c r="Z87" s="1">
        <v>27</v>
      </c>
      <c r="AA87" s="1">
        <v>58</v>
      </c>
      <c r="AB87" s="1">
        <v>66</v>
      </c>
      <c r="AC87" s="1">
        <v>168</v>
      </c>
      <c r="AD87" s="1">
        <v>23</v>
      </c>
      <c r="AE87" s="1">
        <v>41</v>
      </c>
      <c r="AF87" s="18">
        <f t="shared" si="1"/>
        <v>40.6</v>
      </c>
    </row>
    <row r="88" spans="1:32" x14ac:dyDescent="0.35">
      <c r="A88" s="1" t="s">
        <v>182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8">
        <f t="shared" si="1"/>
        <v>0</v>
      </c>
    </row>
    <row r="89" spans="1:32" x14ac:dyDescent="0.35">
      <c r="A89" s="1" t="s">
        <v>65</v>
      </c>
      <c r="B89" s="1">
        <v>125</v>
      </c>
      <c r="C89" s="1">
        <v>19</v>
      </c>
      <c r="D89" s="1">
        <v>29</v>
      </c>
      <c r="E89" s="1">
        <v>21</v>
      </c>
      <c r="F89" s="1">
        <v>15</v>
      </c>
      <c r="G89" s="1">
        <v>64</v>
      </c>
      <c r="H89" s="1">
        <v>49</v>
      </c>
      <c r="I89" s="1">
        <v>27</v>
      </c>
      <c r="J89" s="1">
        <v>71</v>
      </c>
      <c r="K89" s="1">
        <v>33</v>
      </c>
      <c r="L89" s="1">
        <v>20</v>
      </c>
      <c r="M89" s="1">
        <v>56</v>
      </c>
      <c r="N89" s="1">
        <v>22</v>
      </c>
      <c r="O89" s="1">
        <v>17</v>
      </c>
      <c r="P89" s="1">
        <v>18</v>
      </c>
      <c r="Q89" s="1">
        <v>27</v>
      </c>
      <c r="R89" s="1">
        <v>13</v>
      </c>
      <c r="S89" s="1">
        <v>21</v>
      </c>
      <c r="T89" s="1">
        <v>55</v>
      </c>
      <c r="U89" s="1">
        <v>16</v>
      </c>
      <c r="V89" s="1">
        <v>42</v>
      </c>
      <c r="W89" s="1">
        <v>54</v>
      </c>
      <c r="X89" s="1">
        <v>37</v>
      </c>
      <c r="Y89" s="1">
        <v>26</v>
      </c>
      <c r="Z89" s="1">
        <v>41</v>
      </c>
      <c r="AA89" s="1">
        <v>60</v>
      </c>
      <c r="AB89" s="1">
        <v>17</v>
      </c>
      <c r="AC89" s="1">
        <v>42</v>
      </c>
      <c r="AD89" s="1">
        <v>20</v>
      </c>
      <c r="AE89" s="1">
        <v>113</v>
      </c>
      <c r="AF89" s="18">
        <f t="shared" si="1"/>
        <v>39</v>
      </c>
    </row>
    <row r="90" spans="1:32" x14ac:dyDescent="0.35">
      <c r="A90" s="1" t="s">
        <v>66</v>
      </c>
      <c r="B90" s="1">
        <v>52</v>
      </c>
      <c r="C90" s="1">
        <v>23</v>
      </c>
      <c r="D90" s="1">
        <v>32</v>
      </c>
      <c r="E90" s="1">
        <v>30</v>
      </c>
      <c r="F90" s="1">
        <v>59</v>
      </c>
      <c r="G90" s="1">
        <v>22</v>
      </c>
      <c r="H90" s="1">
        <v>13</v>
      </c>
      <c r="I90" s="1">
        <v>14</v>
      </c>
      <c r="J90" s="1">
        <v>131</v>
      </c>
      <c r="K90" s="1">
        <v>89</v>
      </c>
      <c r="L90" s="1">
        <v>39</v>
      </c>
      <c r="M90" s="1">
        <v>25</v>
      </c>
      <c r="N90" s="1">
        <v>70</v>
      </c>
      <c r="O90" s="1">
        <v>22</v>
      </c>
      <c r="P90" s="1">
        <v>52</v>
      </c>
      <c r="Q90" s="1">
        <v>55</v>
      </c>
      <c r="R90" s="1">
        <v>20</v>
      </c>
      <c r="S90" s="1">
        <v>51</v>
      </c>
      <c r="T90" s="1">
        <v>113</v>
      </c>
      <c r="U90" s="1">
        <v>60</v>
      </c>
      <c r="V90" s="1">
        <v>100</v>
      </c>
      <c r="W90" s="1">
        <v>128</v>
      </c>
      <c r="X90" s="1">
        <v>60</v>
      </c>
      <c r="Y90" s="1">
        <v>18</v>
      </c>
      <c r="Z90" s="1">
        <v>78</v>
      </c>
      <c r="AA90" s="1">
        <v>54</v>
      </c>
      <c r="AB90" s="1">
        <v>45</v>
      </c>
      <c r="AC90" s="1">
        <v>75</v>
      </c>
      <c r="AD90" s="1">
        <v>59</v>
      </c>
      <c r="AE90" s="1">
        <v>39</v>
      </c>
      <c r="AF90" s="18">
        <f t="shared" si="1"/>
        <v>54.266666666666666</v>
      </c>
    </row>
    <row r="91" spans="1:32" x14ac:dyDescent="0.35">
      <c r="A91" s="1" t="s">
        <v>67</v>
      </c>
      <c r="B91" s="1">
        <v>55</v>
      </c>
      <c r="C91" s="1">
        <v>65</v>
      </c>
      <c r="D91" s="1">
        <v>27</v>
      </c>
      <c r="E91" s="1">
        <v>41</v>
      </c>
      <c r="F91" s="1">
        <v>17</v>
      </c>
      <c r="G91" s="1">
        <v>41</v>
      </c>
      <c r="H91" s="1">
        <v>82</v>
      </c>
      <c r="I91" s="1">
        <v>17</v>
      </c>
      <c r="J91" s="1">
        <v>120</v>
      </c>
      <c r="K91" s="1">
        <v>12</v>
      </c>
      <c r="L91" s="1">
        <v>43</v>
      </c>
      <c r="M91" s="1">
        <v>42</v>
      </c>
      <c r="N91" s="1">
        <v>42</v>
      </c>
      <c r="O91" s="1">
        <v>33</v>
      </c>
      <c r="P91" s="1">
        <v>57</v>
      </c>
      <c r="Q91" s="1">
        <v>96</v>
      </c>
      <c r="R91" s="1">
        <v>27</v>
      </c>
      <c r="S91" s="1">
        <v>82</v>
      </c>
      <c r="T91" s="1">
        <v>43</v>
      </c>
      <c r="U91" s="1">
        <v>43</v>
      </c>
      <c r="V91" s="1">
        <v>30</v>
      </c>
      <c r="W91" s="1">
        <v>34</v>
      </c>
      <c r="X91" s="1">
        <v>33</v>
      </c>
      <c r="Y91" s="1">
        <v>40</v>
      </c>
      <c r="Z91" s="1">
        <v>17</v>
      </c>
      <c r="AA91" s="1">
        <v>228</v>
      </c>
      <c r="AB91" s="1">
        <v>135</v>
      </c>
      <c r="AC91" s="1">
        <v>29</v>
      </c>
      <c r="AD91" s="1">
        <v>32</v>
      </c>
      <c r="AE91" s="1">
        <v>22</v>
      </c>
      <c r="AF91" s="18">
        <f t="shared" si="1"/>
        <v>52.833333333333336</v>
      </c>
    </row>
    <row r="92" spans="1:32" x14ac:dyDescent="0.35">
      <c r="A92" s="1" t="s">
        <v>68</v>
      </c>
      <c r="B92" s="1">
        <v>37</v>
      </c>
      <c r="C92" s="1">
        <v>30</v>
      </c>
      <c r="D92" s="1">
        <v>19</v>
      </c>
      <c r="E92" s="1">
        <v>27</v>
      </c>
      <c r="F92" s="1">
        <v>25</v>
      </c>
      <c r="G92" s="1">
        <v>55</v>
      </c>
      <c r="H92" s="1">
        <v>12</v>
      </c>
      <c r="I92" s="1">
        <v>43</v>
      </c>
      <c r="J92" s="1">
        <v>13</v>
      </c>
      <c r="K92" s="1">
        <v>40</v>
      </c>
      <c r="L92" s="1">
        <v>90</v>
      </c>
      <c r="M92" s="1">
        <v>80</v>
      </c>
      <c r="N92" s="1">
        <v>125</v>
      </c>
      <c r="O92" s="1">
        <v>18</v>
      </c>
      <c r="P92" s="1">
        <v>57</v>
      </c>
      <c r="Q92" s="1">
        <v>13</v>
      </c>
      <c r="R92" s="1">
        <v>144</v>
      </c>
      <c r="S92" s="1">
        <v>16</v>
      </c>
      <c r="T92" s="1">
        <v>78</v>
      </c>
      <c r="U92" s="1">
        <v>31</v>
      </c>
      <c r="V92" s="1">
        <v>40</v>
      </c>
      <c r="W92" s="1">
        <v>17</v>
      </c>
      <c r="X92" s="1">
        <v>38</v>
      </c>
      <c r="Y92" s="1">
        <v>74</v>
      </c>
      <c r="Z92" s="1">
        <v>46</v>
      </c>
      <c r="AA92" s="1">
        <v>125</v>
      </c>
      <c r="AB92" s="1">
        <v>38</v>
      </c>
      <c r="AC92" s="1">
        <v>31</v>
      </c>
      <c r="AD92" s="1">
        <v>44</v>
      </c>
      <c r="AE92" s="1">
        <v>26</v>
      </c>
      <c r="AF92" s="18">
        <f t="shared" si="1"/>
        <v>47.733333333333334</v>
      </c>
    </row>
    <row r="93" spans="1:32" x14ac:dyDescent="0.35">
      <c r="A93" s="1" t="s">
        <v>69</v>
      </c>
      <c r="B93" s="1">
        <v>29</v>
      </c>
      <c r="C93" s="1">
        <v>63</v>
      </c>
      <c r="D93" s="1">
        <v>107</v>
      </c>
      <c r="E93" s="1">
        <v>18</v>
      </c>
      <c r="F93" s="1">
        <v>66</v>
      </c>
      <c r="G93" s="1">
        <v>50</v>
      </c>
      <c r="H93" s="1">
        <v>16</v>
      </c>
      <c r="I93" s="1">
        <v>12</v>
      </c>
      <c r="J93" s="1">
        <v>40</v>
      </c>
      <c r="K93" s="1">
        <v>12</v>
      </c>
      <c r="L93" s="1">
        <v>48</v>
      </c>
      <c r="M93" s="1">
        <v>53</v>
      </c>
      <c r="N93" s="1">
        <v>16</v>
      </c>
      <c r="O93" s="1">
        <v>71</v>
      </c>
      <c r="P93" s="1">
        <v>52</v>
      </c>
      <c r="Q93" s="1">
        <v>24</v>
      </c>
      <c r="R93" s="1">
        <v>133</v>
      </c>
      <c r="S93" s="1">
        <v>12</v>
      </c>
      <c r="T93" s="1">
        <v>119</v>
      </c>
      <c r="U93" s="1">
        <v>15</v>
      </c>
      <c r="V93" s="1">
        <v>88</v>
      </c>
      <c r="W93" s="1">
        <v>77</v>
      </c>
      <c r="X93" s="1">
        <v>17</v>
      </c>
      <c r="Y93" s="1">
        <v>22</v>
      </c>
      <c r="Z93" s="1">
        <v>23</v>
      </c>
      <c r="AA93" s="1">
        <v>106</v>
      </c>
      <c r="AB93" s="1">
        <v>54</v>
      </c>
      <c r="AC93" s="1">
        <v>20</v>
      </c>
      <c r="AD93" s="1">
        <v>33</v>
      </c>
      <c r="AE93" s="1">
        <v>14</v>
      </c>
      <c r="AF93" s="18">
        <f t="shared" si="1"/>
        <v>47</v>
      </c>
    </row>
    <row r="94" spans="1:32" x14ac:dyDescent="0.35">
      <c r="A94" s="1" t="s">
        <v>70</v>
      </c>
      <c r="B94" s="1">
        <v>24</v>
      </c>
      <c r="C94" s="1">
        <v>30</v>
      </c>
      <c r="D94" s="1">
        <v>146</v>
      </c>
      <c r="E94" s="1">
        <v>41</v>
      </c>
      <c r="F94" s="1">
        <v>21</v>
      </c>
      <c r="G94" s="1">
        <v>42</v>
      </c>
      <c r="H94" s="1">
        <v>70</v>
      </c>
      <c r="I94" s="1">
        <v>40</v>
      </c>
      <c r="J94" s="1">
        <v>19</v>
      </c>
      <c r="K94" s="1">
        <v>33</v>
      </c>
      <c r="L94" s="1">
        <v>172</v>
      </c>
      <c r="M94" s="1">
        <v>51</v>
      </c>
      <c r="N94" s="1">
        <v>134</v>
      </c>
      <c r="O94" s="1">
        <v>66</v>
      </c>
      <c r="P94" s="1">
        <v>23</v>
      </c>
      <c r="Q94" s="1">
        <v>19</v>
      </c>
      <c r="R94" s="1">
        <v>41</v>
      </c>
      <c r="S94" s="1">
        <v>160</v>
      </c>
      <c r="T94" s="1">
        <v>94</v>
      </c>
      <c r="U94" s="1">
        <v>28</v>
      </c>
      <c r="V94" s="1">
        <v>82</v>
      </c>
      <c r="W94" s="1">
        <v>98</v>
      </c>
      <c r="X94" s="1">
        <v>19</v>
      </c>
      <c r="Y94" s="1">
        <v>54</v>
      </c>
      <c r="Z94" s="1">
        <v>34</v>
      </c>
      <c r="AA94" s="1">
        <v>108</v>
      </c>
      <c r="AB94" s="1">
        <v>14</v>
      </c>
      <c r="AC94" s="1">
        <v>86</v>
      </c>
      <c r="AD94" s="1">
        <v>16</v>
      </c>
      <c r="AE94" s="1">
        <v>79</v>
      </c>
      <c r="AF94" s="18">
        <f t="shared" si="1"/>
        <v>61.466666666666669</v>
      </c>
    </row>
    <row r="95" spans="1:32" x14ac:dyDescent="0.35">
      <c r="A95" s="1" t="s">
        <v>71</v>
      </c>
      <c r="B95" s="1">
        <v>70</v>
      </c>
      <c r="C95" s="1">
        <v>46</v>
      </c>
      <c r="D95" s="1">
        <v>68</v>
      </c>
      <c r="E95" s="1">
        <v>16</v>
      </c>
      <c r="F95" s="1">
        <v>141</v>
      </c>
      <c r="G95" s="1">
        <v>35</v>
      </c>
      <c r="H95" s="1">
        <v>14</v>
      </c>
      <c r="I95" s="1">
        <v>19</v>
      </c>
      <c r="J95" s="1">
        <v>94</v>
      </c>
      <c r="K95" s="1">
        <v>61</v>
      </c>
      <c r="L95" s="1">
        <v>44</v>
      </c>
      <c r="M95" s="1">
        <v>18</v>
      </c>
      <c r="N95" s="1">
        <v>20</v>
      </c>
      <c r="O95" s="1">
        <v>43</v>
      </c>
      <c r="P95" s="1">
        <v>103</v>
      </c>
      <c r="Q95" s="1">
        <v>27</v>
      </c>
      <c r="R95" s="1">
        <v>24</v>
      </c>
      <c r="S95" s="1">
        <v>71</v>
      </c>
      <c r="T95" s="1">
        <v>50</v>
      </c>
      <c r="U95" s="1">
        <v>41</v>
      </c>
      <c r="V95" s="1">
        <v>34</v>
      </c>
      <c r="W95" s="1">
        <v>88</v>
      </c>
      <c r="X95" s="1">
        <v>33</v>
      </c>
      <c r="Y95" s="1">
        <v>30</v>
      </c>
      <c r="Z95" s="1">
        <v>12</v>
      </c>
      <c r="AA95" s="1">
        <v>17</v>
      </c>
      <c r="AB95" s="1">
        <v>70</v>
      </c>
      <c r="AC95" s="1">
        <v>57</v>
      </c>
      <c r="AD95" s="1">
        <v>110</v>
      </c>
      <c r="AE95" s="1">
        <v>61</v>
      </c>
      <c r="AF95" s="18">
        <f t="shared" si="1"/>
        <v>50.56666666666667</v>
      </c>
    </row>
    <row r="96" spans="1:32" x14ac:dyDescent="0.35">
      <c r="A96" s="1" t="s">
        <v>72</v>
      </c>
      <c r="B96" s="1">
        <v>97</v>
      </c>
      <c r="C96" s="1">
        <v>47</v>
      </c>
      <c r="D96" s="1">
        <v>54</v>
      </c>
      <c r="E96" s="1">
        <v>27</v>
      </c>
      <c r="F96" s="1">
        <v>67</v>
      </c>
      <c r="G96" s="1">
        <v>50</v>
      </c>
      <c r="H96" s="1">
        <v>87</v>
      </c>
      <c r="I96" s="1">
        <v>32</v>
      </c>
      <c r="J96" s="1">
        <v>81</v>
      </c>
      <c r="K96" s="1">
        <v>34</v>
      </c>
      <c r="L96" s="1">
        <v>34</v>
      </c>
      <c r="M96" s="1">
        <v>13</v>
      </c>
      <c r="N96" s="1">
        <v>48</v>
      </c>
      <c r="O96" s="1">
        <v>13</v>
      </c>
      <c r="P96" s="1">
        <v>92</v>
      </c>
      <c r="Q96" s="1">
        <v>15</v>
      </c>
      <c r="R96" s="1">
        <v>57</v>
      </c>
      <c r="S96" s="1">
        <v>88</v>
      </c>
      <c r="T96" s="1">
        <v>14</v>
      </c>
      <c r="U96" s="1">
        <v>17</v>
      </c>
      <c r="V96" s="1">
        <v>27</v>
      </c>
      <c r="W96" s="1">
        <v>27</v>
      </c>
      <c r="X96" s="1">
        <v>15</v>
      </c>
      <c r="Y96" s="1">
        <v>41</v>
      </c>
      <c r="Z96" s="1">
        <v>48</v>
      </c>
      <c r="AA96" s="1">
        <v>48</v>
      </c>
      <c r="AB96" s="1">
        <v>33</v>
      </c>
      <c r="AC96" s="1">
        <v>115</v>
      </c>
      <c r="AD96" s="1">
        <v>18</v>
      </c>
      <c r="AE96" s="1">
        <v>19</v>
      </c>
      <c r="AF96" s="18">
        <f t="shared" si="1"/>
        <v>45.266666666666666</v>
      </c>
    </row>
    <row r="97" spans="1:32" x14ac:dyDescent="0.35">
      <c r="A97" s="1" t="s">
        <v>73</v>
      </c>
      <c r="B97" s="1">
        <v>27</v>
      </c>
      <c r="C97" s="1">
        <v>16</v>
      </c>
      <c r="D97" s="1">
        <v>90</v>
      </c>
      <c r="E97" s="1">
        <v>125</v>
      </c>
      <c r="F97" s="1">
        <v>64</v>
      </c>
      <c r="G97" s="1">
        <v>49</v>
      </c>
      <c r="H97" s="1">
        <v>33</v>
      </c>
      <c r="I97" s="1">
        <v>45</v>
      </c>
      <c r="J97" s="1">
        <v>27</v>
      </c>
      <c r="K97" s="1">
        <v>50</v>
      </c>
      <c r="L97" s="1">
        <v>30</v>
      </c>
      <c r="M97" s="1">
        <v>67</v>
      </c>
      <c r="N97" s="1">
        <v>26</v>
      </c>
      <c r="O97" s="1">
        <v>55</v>
      </c>
      <c r="P97" s="1">
        <v>19</v>
      </c>
      <c r="Q97" s="1">
        <v>33</v>
      </c>
      <c r="R97" s="1">
        <v>20</v>
      </c>
      <c r="S97" s="1">
        <v>154</v>
      </c>
      <c r="T97" s="1">
        <v>123</v>
      </c>
      <c r="U97" s="1">
        <v>21</v>
      </c>
      <c r="V97" s="1">
        <v>25</v>
      </c>
      <c r="W97" s="1">
        <v>22</v>
      </c>
      <c r="X97" s="1">
        <v>23</v>
      </c>
      <c r="Y97" s="1">
        <v>150</v>
      </c>
      <c r="Z97" s="1">
        <v>18</v>
      </c>
      <c r="AA97" s="1">
        <v>40</v>
      </c>
      <c r="AB97" s="1">
        <v>97</v>
      </c>
      <c r="AC97" s="1">
        <v>97</v>
      </c>
      <c r="AD97" s="1">
        <v>34</v>
      </c>
      <c r="AE97" s="1">
        <v>120</v>
      </c>
      <c r="AF97" s="18">
        <f t="shared" si="1"/>
        <v>56.666666666666664</v>
      </c>
    </row>
    <row r="98" spans="1:32" x14ac:dyDescent="0.35">
      <c r="A98" s="1" t="s">
        <v>74</v>
      </c>
      <c r="B98" s="1">
        <v>93</v>
      </c>
      <c r="C98" s="1">
        <v>20</v>
      </c>
      <c r="D98" s="1">
        <v>14</v>
      </c>
      <c r="E98" s="1">
        <v>39</v>
      </c>
      <c r="F98" s="1">
        <v>25</v>
      </c>
      <c r="G98" s="1">
        <v>91</v>
      </c>
      <c r="H98" s="1">
        <v>18</v>
      </c>
      <c r="I98" s="1">
        <v>41</v>
      </c>
      <c r="J98" s="1">
        <v>56</v>
      </c>
      <c r="K98" s="1">
        <v>45</v>
      </c>
      <c r="L98" s="1">
        <v>73</v>
      </c>
      <c r="M98" s="1">
        <v>21</v>
      </c>
      <c r="N98" s="1">
        <v>58</v>
      </c>
      <c r="O98" s="1">
        <v>14</v>
      </c>
      <c r="P98" s="1">
        <v>21</v>
      </c>
      <c r="Q98" s="1">
        <v>142</v>
      </c>
      <c r="R98" s="1">
        <v>12</v>
      </c>
      <c r="S98" s="1">
        <v>57</v>
      </c>
      <c r="T98" s="1">
        <v>200</v>
      </c>
      <c r="U98" s="1">
        <v>77</v>
      </c>
      <c r="V98" s="1">
        <v>25</v>
      </c>
      <c r="W98" s="1">
        <v>48</v>
      </c>
      <c r="X98" s="1">
        <v>36</v>
      </c>
      <c r="Y98" s="1">
        <v>36</v>
      </c>
      <c r="Z98" s="1">
        <v>36</v>
      </c>
      <c r="AA98" s="1">
        <v>40</v>
      </c>
      <c r="AB98" s="1">
        <v>87</v>
      </c>
      <c r="AC98" s="1">
        <v>17</v>
      </c>
      <c r="AD98" s="1">
        <v>29</v>
      </c>
      <c r="AE98" s="1">
        <v>13</v>
      </c>
      <c r="AF98" s="18">
        <f t="shared" si="1"/>
        <v>49.466666666666669</v>
      </c>
    </row>
    <row r="99" spans="1:32" x14ac:dyDescent="0.35">
      <c r="A99" s="1" t="s">
        <v>75</v>
      </c>
      <c r="B99" s="1">
        <v>13</v>
      </c>
      <c r="C99" s="1">
        <v>21</v>
      </c>
      <c r="D99" s="1">
        <v>43</v>
      </c>
      <c r="E99" s="1">
        <v>29</v>
      </c>
      <c r="F99" s="1">
        <v>20</v>
      </c>
      <c r="G99" s="1">
        <v>22</v>
      </c>
      <c r="H99" s="1">
        <v>27</v>
      </c>
      <c r="I99" s="1">
        <v>12</v>
      </c>
      <c r="J99" s="1">
        <v>143</v>
      </c>
      <c r="K99" s="1">
        <v>13</v>
      </c>
      <c r="L99" s="1">
        <v>73</v>
      </c>
      <c r="M99" s="1">
        <v>38</v>
      </c>
      <c r="N99" s="1">
        <v>19</v>
      </c>
      <c r="O99" s="1">
        <v>205</v>
      </c>
      <c r="P99" s="1">
        <v>40</v>
      </c>
      <c r="Q99" s="1">
        <v>20</v>
      </c>
      <c r="R99" s="1">
        <v>67</v>
      </c>
      <c r="S99" s="1">
        <v>19</v>
      </c>
      <c r="T99" s="1">
        <v>29</v>
      </c>
      <c r="U99" s="1">
        <v>21</v>
      </c>
      <c r="V99" s="1">
        <v>18</v>
      </c>
      <c r="W99" s="1">
        <v>26</v>
      </c>
      <c r="X99" s="1">
        <v>76</v>
      </c>
      <c r="Y99" s="1">
        <v>20</v>
      </c>
      <c r="Z99" s="1">
        <v>37</v>
      </c>
      <c r="AA99" s="1">
        <v>30</v>
      </c>
      <c r="AB99" s="1">
        <v>33</v>
      </c>
      <c r="AC99" s="1">
        <v>44</v>
      </c>
      <c r="AD99" s="1">
        <v>131</v>
      </c>
      <c r="AE99" s="1">
        <v>52</v>
      </c>
      <c r="AF99" s="18">
        <f t="shared" si="1"/>
        <v>44.7</v>
      </c>
    </row>
    <row r="100" spans="1:32" x14ac:dyDescent="0.35">
      <c r="A100" s="1" t="s">
        <v>76</v>
      </c>
      <c r="B100" s="1">
        <v>15</v>
      </c>
      <c r="C100" s="1">
        <v>46</v>
      </c>
      <c r="D100" s="1">
        <v>119</v>
      </c>
      <c r="E100" s="1">
        <v>99</v>
      </c>
      <c r="F100" s="1">
        <v>14</v>
      </c>
      <c r="G100" s="1">
        <v>74</v>
      </c>
      <c r="H100" s="1">
        <v>31</v>
      </c>
      <c r="I100" s="1">
        <v>64</v>
      </c>
      <c r="J100" s="1">
        <v>233</v>
      </c>
      <c r="K100" s="1">
        <v>38</v>
      </c>
      <c r="L100" s="1">
        <v>24</v>
      </c>
      <c r="M100" s="1">
        <v>17</v>
      </c>
      <c r="N100" s="1">
        <v>17</v>
      </c>
      <c r="O100" s="1">
        <v>50</v>
      </c>
      <c r="P100" s="1">
        <v>42</v>
      </c>
      <c r="Q100" s="1">
        <v>36</v>
      </c>
      <c r="R100" s="1">
        <v>39</v>
      </c>
      <c r="S100" s="1">
        <v>56</v>
      </c>
      <c r="T100" s="1">
        <v>53</v>
      </c>
      <c r="U100" s="1">
        <v>41</v>
      </c>
      <c r="V100" s="1">
        <v>30</v>
      </c>
      <c r="W100" s="1">
        <v>74</v>
      </c>
      <c r="X100" s="1">
        <v>14</v>
      </c>
      <c r="Y100" s="1">
        <v>14</v>
      </c>
      <c r="Z100" s="1">
        <v>50</v>
      </c>
      <c r="AA100" s="1">
        <v>43</v>
      </c>
      <c r="AB100" s="1">
        <v>27</v>
      </c>
      <c r="AC100" s="1">
        <v>25</v>
      </c>
      <c r="AD100" s="1">
        <v>55</v>
      </c>
      <c r="AE100" s="1">
        <v>101</v>
      </c>
      <c r="AF100" s="18">
        <f t="shared" si="1"/>
        <v>51.366666666666667</v>
      </c>
    </row>
    <row r="101" spans="1:32" x14ac:dyDescent="0.35">
      <c r="A101" s="1" t="s">
        <v>77</v>
      </c>
      <c r="B101" s="1">
        <v>41</v>
      </c>
      <c r="C101" s="1">
        <v>40</v>
      </c>
      <c r="D101" s="1">
        <v>16</v>
      </c>
      <c r="E101" s="1">
        <v>23</v>
      </c>
      <c r="F101" s="1">
        <v>17</v>
      </c>
      <c r="G101" s="1">
        <v>19</v>
      </c>
      <c r="H101" s="1">
        <v>78</v>
      </c>
      <c r="I101" s="1">
        <v>15</v>
      </c>
      <c r="J101" s="1">
        <v>189</v>
      </c>
      <c r="K101" s="1">
        <v>94</v>
      </c>
      <c r="L101" s="1">
        <v>41</v>
      </c>
      <c r="M101" s="1">
        <v>29</v>
      </c>
      <c r="N101" s="1">
        <v>55</v>
      </c>
      <c r="O101" s="1">
        <v>79</v>
      </c>
      <c r="P101" s="1">
        <v>25</v>
      </c>
      <c r="Q101" s="1">
        <v>31</v>
      </c>
      <c r="R101" s="1">
        <v>59</v>
      </c>
      <c r="S101" s="1">
        <v>26</v>
      </c>
      <c r="T101" s="1">
        <v>31</v>
      </c>
      <c r="U101" s="1">
        <v>27</v>
      </c>
      <c r="V101" s="1">
        <v>53</v>
      </c>
      <c r="W101" s="1">
        <v>34</v>
      </c>
      <c r="X101" s="1">
        <v>44</v>
      </c>
      <c r="Y101" s="1">
        <v>35</v>
      </c>
      <c r="Z101" s="1">
        <v>37</v>
      </c>
      <c r="AA101" s="1">
        <v>43</v>
      </c>
      <c r="AB101" s="1">
        <v>74</v>
      </c>
      <c r="AC101" s="1">
        <v>14</v>
      </c>
      <c r="AD101" s="1">
        <v>43</v>
      </c>
      <c r="AE101" s="1">
        <v>42</v>
      </c>
      <c r="AF101" s="18">
        <f t="shared" si="1"/>
        <v>45.133333333333333</v>
      </c>
    </row>
    <row r="102" spans="1:32" x14ac:dyDescent="0.35">
      <c r="A102" s="1" t="s">
        <v>78</v>
      </c>
      <c r="B102" s="1">
        <v>53</v>
      </c>
      <c r="C102" s="1">
        <v>28</v>
      </c>
      <c r="D102" s="1">
        <v>63</v>
      </c>
      <c r="E102" s="1">
        <v>19</v>
      </c>
      <c r="F102" s="1">
        <v>102</v>
      </c>
      <c r="G102" s="1">
        <v>35</v>
      </c>
      <c r="H102" s="1">
        <v>12</v>
      </c>
      <c r="I102" s="1">
        <v>73</v>
      </c>
      <c r="J102" s="1">
        <v>175</v>
      </c>
      <c r="K102" s="1">
        <v>54</v>
      </c>
      <c r="L102" s="1">
        <v>28</v>
      </c>
      <c r="M102" s="1">
        <v>52</v>
      </c>
      <c r="N102" s="1">
        <v>14</v>
      </c>
      <c r="O102" s="1">
        <v>22</v>
      </c>
      <c r="P102" s="1">
        <v>33</v>
      </c>
      <c r="Q102" s="1">
        <v>34</v>
      </c>
      <c r="R102" s="1">
        <v>92</v>
      </c>
      <c r="S102" s="1">
        <v>28</v>
      </c>
      <c r="T102" s="1">
        <v>39</v>
      </c>
      <c r="U102" s="1">
        <v>119</v>
      </c>
      <c r="V102" s="1">
        <v>14</v>
      </c>
      <c r="W102" s="1">
        <v>18</v>
      </c>
      <c r="X102" s="1">
        <v>109</v>
      </c>
      <c r="Y102" s="1">
        <v>32</v>
      </c>
      <c r="Z102" s="1">
        <v>21</v>
      </c>
      <c r="AA102" s="1">
        <v>19</v>
      </c>
      <c r="AB102" s="1">
        <v>99</v>
      </c>
      <c r="AC102" s="1">
        <v>49</v>
      </c>
      <c r="AD102" s="1">
        <v>25</v>
      </c>
      <c r="AE102" s="1">
        <v>34</v>
      </c>
      <c r="AF102" s="18">
        <f t="shared" si="1"/>
        <v>49.833333333333336</v>
      </c>
    </row>
    <row r="103" spans="1:32" x14ac:dyDescent="0.35">
      <c r="A103" s="1" t="s">
        <v>79</v>
      </c>
      <c r="B103" s="1">
        <v>87</v>
      </c>
      <c r="C103" s="1">
        <v>49</v>
      </c>
      <c r="D103" s="1">
        <v>35</v>
      </c>
      <c r="E103" s="1">
        <v>29</v>
      </c>
      <c r="F103" s="1">
        <v>28</v>
      </c>
      <c r="G103" s="1">
        <v>70</v>
      </c>
      <c r="H103" s="1">
        <v>109</v>
      </c>
      <c r="I103" s="1">
        <v>85</v>
      </c>
      <c r="J103" s="1">
        <v>28</v>
      </c>
      <c r="K103" s="1">
        <v>39</v>
      </c>
      <c r="L103" s="1">
        <v>85</v>
      </c>
      <c r="M103" s="1">
        <v>12</v>
      </c>
      <c r="N103" s="1">
        <v>14</v>
      </c>
      <c r="O103" s="1">
        <v>47</v>
      </c>
      <c r="P103" s="1">
        <v>38</v>
      </c>
      <c r="Q103" s="1">
        <v>19</v>
      </c>
      <c r="R103" s="1">
        <v>30</v>
      </c>
      <c r="S103" s="1">
        <v>78</v>
      </c>
      <c r="T103" s="1">
        <v>24</v>
      </c>
      <c r="U103" s="1">
        <v>12</v>
      </c>
      <c r="V103" s="1">
        <v>66</v>
      </c>
      <c r="W103" s="1">
        <v>29</v>
      </c>
      <c r="X103" s="1">
        <v>57</v>
      </c>
      <c r="Y103" s="1">
        <v>82</v>
      </c>
      <c r="Z103" s="1">
        <v>20</v>
      </c>
      <c r="AA103" s="1">
        <v>22</v>
      </c>
      <c r="AB103" s="1">
        <v>69</v>
      </c>
      <c r="AC103" s="1">
        <v>30</v>
      </c>
      <c r="AD103" s="1">
        <v>30</v>
      </c>
      <c r="AE103" s="1">
        <v>69</v>
      </c>
      <c r="AF103" s="18">
        <f t="shared" si="1"/>
        <v>46.4</v>
      </c>
    </row>
    <row r="104" spans="1:32" x14ac:dyDescent="0.35">
      <c r="A104" s="1" t="s">
        <v>183</v>
      </c>
      <c r="B104" s="1">
        <v>25</v>
      </c>
      <c r="C104" s="1">
        <v>47</v>
      </c>
      <c r="D104" s="1">
        <v>59</v>
      </c>
      <c r="E104" s="1">
        <v>19</v>
      </c>
      <c r="F104" s="1">
        <v>12</v>
      </c>
      <c r="G104" s="1">
        <v>41</v>
      </c>
      <c r="H104" s="1">
        <v>56</v>
      </c>
      <c r="I104" s="1">
        <v>16</v>
      </c>
      <c r="J104" s="1">
        <v>31</v>
      </c>
      <c r="K104" s="1">
        <v>17</v>
      </c>
      <c r="L104" s="1">
        <v>145</v>
      </c>
      <c r="M104" s="1">
        <v>55</v>
      </c>
      <c r="N104" s="1">
        <v>73</v>
      </c>
      <c r="O104" s="1">
        <v>23</v>
      </c>
      <c r="P104" s="1">
        <v>19</v>
      </c>
      <c r="Q104" s="1">
        <v>61</v>
      </c>
      <c r="R104" s="1">
        <v>39</v>
      </c>
      <c r="S104" s="1">
        <v>64</v>
      </c>
      <c r="T104" s="1">
        <v>107</v>
      </c>
      <c r="U104" s="1">
        <v>159</v>
      </c>
      <c r="V104" s="1">
        <v>71</v>
      </c>
      <c r="W104" s="1">
        <v>49</v>
      </c>
      <c r="X104" s="1">
        <v>26</v>
      </c>
      <c r="Y104" s="1">
        <v>49</v>
      </c>
      <c r="Z104" s="1">
        <v>37</v>
      </c>
      <c r="AA104" s="1">
        <v>50</v>
      </c>
      <c r="AB104" s="1">
        <v>82</v>
      </c>
      <c r="AC104" s="1">
        <v>43</v>
      </c>
      <c r="AD104" s="1">
        <v>37</v>
      </c>
      <c r="AE104" s="1">
        <v>20</v>
      </c>
      <c r="AF104" s="18">
        <f t="shared" si="1"/>
        <v>51.06666666666667</v>
      </c>
    </row>
    <row r="105" spans="1:32" x14ac:dyDescent="0.35">
      <c r="A105" s="1" t="s">
        <v>80</v>
      </c>
      <c r="B105" s="1">
        <v>28</v>
      </c>
      <c r="C105" s="1">
        <v>36</v>
      </c>
      <c r="D105" s="1">
        <v>88</v>
      </c>
      <c r="E105" s="1">
        <v>16</v>
      </c>
      <c r="F105" s="1">
        <v>97</v>
      </c>
      <c r="G105" s="1">
        <v>72</v>
      </c>
      <c r="H105" s="1">
        <v>13</v>
      </c>
      <c r="I105" s="1">
        <v>79</v>
      </c>
      <c r="J105" s="1">
        <v>70</v>
      </c>
      <c r="K105" s="1">
        <v>95</v>
      </c>
      <c r="L105" s="1">
        <v>19</v>
      </c>
      <c r="M105" s="1">
        <v>64</v>
      </c>
      <c r="N105" s="1">
        <v>57</v>
      </c>
      <c r="O105" s="1">
        <v>14</v>
      </c>
      <c r="P105" s="1">
        <v>40</v>
      </c>
      <c r="Q105" s="1">
        <v>43</v>
      </c>
      <c r="R105" s="1">
        <v>57</v>
      </c>
      <c r="S105" s="1">
        <v>14</v>
      </c>
      <c r="T105" s="1">
        <v>74</v>
      </c>
      <c r="U105" s="1">
        <v>74</v>
      </c>
      <c r="V105" s="1">
        <v>14</v>
      </c>
      <c r="W105" s="1">
        <v>149</v>
      </c>
      <c r="X105" s="1">
        <v>111</v>
      </c>
      <c r="Y105" s="1">
        <v>32</v>
      </c>
      <c r="Z105" s="1">
        <v>52</v>
      </c>
      <c r="AA105" s="1">
        <v>57</v>
      </c>
      <c r="AB105" s="1">
        <v>46</v>
      </c>
      <c r="AC105" s="1">
        <v>222</v>
      </c>
      <c r="AD105" s="1">
        <v>38</v>
      </c>
      <c r="AE105" s="1">
        <v>23</v>
      </c>
      <c r="AF105" s="18">
        <f t="shared" si="1"/>
        <v>59.8</v>
      </c>
    </row>
    <row r="106" spans="1:32" x14ac:dyDescent="0.35">
      <c r="A106" s="1" t="s">
        <v>81</v>
      </c>
      <c r="B106" s="1">
        <v>13</v>
      </c>
      <c r="C106" s="1">
        <v>47</v>
      </c>
      <c r="D106" s="1">
        <v>12</v>
      </c>
      <c r="E106" s="1">
        <v>110</v>
      </c>
      <c r="F106" s="1">
        <v>19</v>
      </c>
      <c r="G106" s="1">
        <v>23</v>
      </c>
      <c r="H106" s="1">
        <v>27</v>
      </c>
      <c r="I106" s="1">
        <v>22</v>
      </c>
      <c r="J106" s="1">
        <v>16</v>
      </c>
      <c r="K106" s="1">
        <v>67</v>
      </c>
      <c r="L106" s="1">
        <v>20</v>
      </c>
      <c r="M106" s="1">
        <v>51</v>
      </c>
      <c r="N106" s="1">
        <v>105</v>
      </c>
      <c r="O106" s="1">
        <v>13</v>
      </c>
      <c r="P106" s="1">
        <v>26</v>
      </c>
      <c r="Q106" s="1">
        <v>23</v>
      </c>
      <c r="R106" s="1">
        <v>51</v>
      </c>
      <c r="S106" s="1">
        <v>61</v>
      </c>
      <c r="T106" s="1">
        <v>39</v>
      </c>
      <c r="U106" s="1">
        <v>46</v>
      </c>
      <c r="V106" s="1">
        <v>30</v>
      </c>
      <c r="W106" s="1">
        <v>24</v>
      </c>
      <c r="X106" s="1">
        <v>99</v>
      </c>
      <c r="Y106" s="1">
        <v>14</v>
      </c>
      <c r="Z106" s="1">
        <v>81</v>
      </c>
      <c r="AA106" s="1">
        <v>20</v>
      </c>
      <c r="AB106" s="1">
        <v>23</v>
      </c>
      <c r="AC106" s="1">
        <v>40</v>
      </c>
      <c r="AD106" s="1">
        <v>29</v>
      </c>
      <c r="AE106" s="1">
        <v>123</v>
      </c>
      <c r="AF106" s="18">
        <f t="shared" si="1"/>
        <v>42.466666666666669</v>
      </c>
    </row>
    <row r="107" spans="1:32" x14ac:dyDescent="0.35">
      <c r="A107" s="1" t="s">
        <v>82</v>
      </c>
      <c r="B107" s="1">
        <v>29</v>
      </c>
      <c r="C107" s="1">
        <v>94</v>
      </c>
      <c r="D107" s="1">
        <v>29</v>
      </c>
      <c r="E107" s="1">
        <v>22</v>
      </c>
      <c r="F107" s="1">
        <v>19</v>
      </c>
      <c r="G107" s="1">
        <v>103</v>
      </c>
      <c r="H107" s="1">
        <v>23</v>
      </c>
      <c r="I107" s="1">
        <v>56</v>
      </c>
      <c r="J107" s="1">
        <v>62</v>
      </c>
      <c r="K107" s="1">
        <v>16</v>
      </c>
      <c r="L107" s="1">
        <v>43</v>
      </c>
      <c r="M107" s="1">
        <v>14</v>
      </c>
      <c r="N107" s="1">
        <v>18</v>
      </c>
      <c r="O107" s="1">
        <v>23</v>
      </c>
      <c r="P107" s="1">
        <v>46</v>
      </c>
      <c r="Q107" s="1">
        <v>124</v>
      </c>
      <c r="R107" s="1">
        <v>90</v>
      </c>
      <c r="S107" s="1">
        <v>113</v>
      </c>
      <c r="T107" s="1">
        <v>89</v>
      </c>
      <c r="U107" s="1">
        <v>28</v>
      </c>
      <c r="V107" s="1">
        <v>12</v>
      </c>
      <c r="W107" s="1">
        <v>21</v>
      </c>
      <c r="X107" s="1">
        <v>99</v>
      </c>
      <c r="Y107" s="1">
        <v>38</v>
      </c>
      <c r="Z107" s="1">
        <v>46</v>
      </c>
      <c r="AA107" s="1">
        <v>18</v>
      </c>
      <c r="AB107" s="1">
        <v>44</v>
      </c>
      <c r="AC107" s="1">
        <v>46</v>
      </c>
      <c r="AD107" s="1">
        <v>54</v>
      </c>
      <c r="AE107" s="1">
        <v>22</v>
      </c>
      <c r="AF107" s="18">
        <f t="shared" si="1"/>
        <v>48.033333333333331</v>
      </c>
    </row>
    <row r="108" spans="1:32" x14ac:dyDescent="0.35">
      <c r="A108" s="1" t="s">
        <v>83</v>
      </c>
      <c r="B108" s="1">
        <v>13</v>
      </c>
      <c r="C108" s="1">
        <v>51</v>
      </c>
      <c r="D108" s="1">
        <v>58</v>
      </c>
      <c r="E108" s="1">
        <v>15</v>
      </c>
      <c r="F108" s="1">
        <v>17</v>
      </c>
      <c r="G108" s="1">
        <v>32</v>
      </c>
      <c r="H108" s="1">
        <v>119</v>
      </c>
      <c r="I108" s="1">
        <v>41</v>
      </c>
      <c r="J108" s="1">
        <v>19</v>
      </c>
      <c r="K108" s="1">
        <v>23</v>
      </c>
      <c r="L108" s="1">
        <v>14</v>
      </c>
      <c r="M108" s="1">
        <v>25</v>
      </c>
      <c r="N108" s="1">
        <v>53</v>
      </c>
      <c r="O108" s="1">
        <v>94</v>
      </c>
      <c r="P108" s="1">
        <v>66</v>
      </c>
      <c r="Q108" s="1">
        <v>29</v>
      </c>
      <c r="R108" s="1">
        <v>35</v>
      </c>
      <c r="S108" s="1">
        <v>49</v>
      </c>
      <c r="T108" s="1">
        <v>27</v>
      </c>
      <c r="U108" s="1">
        <v>90</v>
      </c>
      <c r="V108" s="1">
        <v>85</v>
      </c>
      <c r="W108" s="1">
        <v>21</v>
      </c>
      <c r="X108" s="1">
        <v>38</v>
      </c>
      <c r="Y108" s="1">
        <v>16</v>
      </c>
      <c r="Z108" s="1">
        <v>18</v>
      </c>
      <c r="AA108" s="1">
        <v>78</v>
      </c>
      <c r="AB108" s="1">
        <v>33</v>
      </c>
      <c r="AC108" s="1">
        <v>15</v>
      </c>
      <c r="AD108" s="1">
        <v>69</v>
      </c>
      <c r="AE108" s="1">
        <v>28</v>
      </c>
      <c r="AF108" s="18">
        <f t="shared" si="1"/>
        <v>42.366666666666667</v>
      </c>
    </row>
    <row r="109" spans="1:32" x14ac:dyDescent="0.35">
      <c r="A109" s="1" t="s">
        <v>84</v>
      </c>
      <c r="B109" s="1">
        <v>27</v>
      </c>
      <c r="C109" s="1">
        <v>23</v>
      </c>
      <c r="D109" s="1">
        <v>35</v>
      </c>
      <c r="E109" s="1">
        <v>15</v>
      </c>
      <c r="F109" s="1">
        <v>14</v>
      </c>
      <c r="G109" s="1">
        <v>49</v>
      </c>
      <c r="H109" s="1">
        <v>40</v>
      </c>
      <c r="I109" s="1">
        <v>25</v>
      </c>
      <c r="J109" s="1">
        <v>43</v>
      </c>
      <c r="K109" s="1">
        <v>25</v>
      </c>
      <c r="L109" s="1">
        <v>15</v>
      </c>
      <c r="M109" s="1">
        <v>57</v>
      </c>
      <c r="N109" s="1">
        <v>26</v>
      </c>
      <c r="O109" s="1">
        <v>51</v>
      </c>
      <c r="P109" s="1">
        <v>18</v>
      </c>
      <c r="Q109" s="1">
        <v>14</v>
      </c>
      <c r="R109" s="1">
        <v>30</v>
      </c>
      <c r="S109" s="1">
        <v>23</v>
      </c>
      <c r="T109" s="1">
        <v>38</v>
      </c>
      <c r="U109" s="1">
        <v>17</v>
      </c>
      <c r="V109" s="1">
        <v>62</v>
      </c>
      <c r="W109" s="1">
        <v>18</v>
      </c>
      <c r="X109" s="1">
        <v>20</v>
      </c>
      <c r="Y109" s="1">
        <v>75</v>
      </c>
      <c r="Z109" s="1">
        <v>16</v>
      </c>
      <c r="AA109" s="1">
        <v>41</v>
      </c>
      <c r="AB109" s="1">
        <v>13</v>
      </c>
      <c r="AC109" s="1">
        <v>146</v>
      </c>
      <c r="AD109" s="1">
        <v>17</v>
      </c>
      <c r="AE109" s="1">
        <v>26</v>
      </c>
      <c r="AF109" s="18">
        <f t="shared" si="1"/>
        <v>33.966666666666669</v>
      </c>
    </row>
    <row r="110" spans="1:32" x14ac:dyDescent="0.35">
      <c r="A110" s="1" t="s">
        <v>85</v>
      </c>
      <c r="B110" s="1">
        <v>18</v>
      </c>
      <c r="C110" s="1">
        <v>14</v>
      </c>
      <c r="D110" s="1">
        <v>14</v>
      </c>
      <c r="E110" s="1">
        <v>44</v>
      </c>
      <c r="F110" s="1">
        <v>205</v>
      </c>
      <c r="G110" s="1">
        <v>87</v>
      </c>
      <c r="H110" s="1">
        <v>25</v>
      </c>
      <c r="I110" s="1">
        <v>22</v>
      </c>
      <c r="J110" s="1">
        <v>19</v>
      </c>
      <c r="K110" s="1">
        <v>26</v>
      </c>
      <c r="L110" s="1">
        <v>12</v>
      </c>
      <c r="M110" s="1">
        <v>14</v>
      </c>
      <c r="N110" s="1">
        <v>81</v>
      </c>
      <c r="O110" s="1">
        <v>48</v>
      </c>
      <c r="P110" s="1">
        <v>88</v>
      </c>
      <c r="Q110" s="1">
        <v>115</v>
      </c>
      <c r="R110" s="1">
        <v>73</v>
      </c>
      <c r="S110" s="1">
        <v>26</v>
      </c>
      <c r="T110" s="1">
        <v>98</v>
      </c>
      <c r="U110" s="1">
        <v>28</v>
      </c>
      <c r="V110" s="1">
        <v>73</v>
      </c>
      <c r="W110" s="1">
        <v>43</v>
      </c>
      <c r="X110" s="1">
        <v>28</v>
      </c>
      <c r="Y110" s="1">
        <v>57</v>
      </c>
      <c r="Z110" s="1">
        <v>56</v>
      </c>
      <c r="AA110" s="1">
        <v>27</v>
      </c>
      <c r="AB110" s="1">
        <v>15</v>
      </c>
      <c r="AC110" s="1">
        <v>25</v>
      </c>
      <c r="AD110" s="1">
        <v>13</v>
      </c>
      <c r="AE110" s="1">
        <v>50</v>
      </c>
      <c r="AF110" s="18">
        <f t="shared" si="1"/>
        <v>48.133333333333333</v>
      </c>
    </row>
    <row r="111" spans="1:32" x14ac:dyDescent="0.35">
      <c r="A111" s="1" t="s">
        <v>86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8">
        <f t="shared" si="1"/>
        <v>0</v>
      </c>
    </row>
    <row r="112" spans="1:32" x14ac:dyDescent="0.35">
      <c r="A112" s="1" t="s">
        <v>87</v>
      </c>
      <c r="B112" s="1">
        <v>32</v>
      </c>
      <c r="C112" s="1">
        <v>28</v>
      </c>
      <c r="D112" s="1">
        <v>23</v>
      </c>
      <c r="E112" s="1">
        <v>57</v>
      </c>
      <c r="F112" s="1">
        <v>22</v>
      </c>
      <c r="G112" s="1">
        <v>40</v>
      </c>
      <c r="H112" s="1">
        <v>33</v>
      </c>
      <c r="I112" s="1">
        <v>44</v>
      </c>
      <c r="J112" s="1">
        <v>19</v>
      </c>
      <c r="K112" s="1">
        <v>47</v>
      </c>
      <c r="L112" s="1">
        <v>32</v>
      </c>
      <c r="M112" s="1">
        <v>35</v>
      </c>
      <c r="N112" s="1">
        <v>39</v>
      </c>
      <c r="O112" s="1">
        <v>21</v>
      </c>
      <c r="P112" s="1">
        <v>42</v>
      </c>
      <c r="Q112" s="1">
        <v>12</v>
      </c>
      <c r="R112" s="1">
        <v>14</v>
      </c>
      <c r="S112" s="1">
        <v>62</v>
      </c>
      <c r="T112" s="1">
        <v>14</v>
      </c>
      <c r="U112" s="1">
        <v>22</v>
      </c>
      <c r="V112" s="1">
        <v>19</v>
      </c>
      <c r="W112" s="1">
        <v>43</v>
      </c>
      <c r="X112" s="1">
        <v>50</v>
      </c>
      <c r="Y112" s="1">
        <v>24</v>
      </c>
      <c r="Z112" s="1">
        <v>98</v>
      </c>
      <c r="AA112" s="1">
        <v>32</v>
      </c>
      <c r="AB112" s="1">
        <v>22</v>
      </c>
      <c r="AC112" s="1">
        <v>66</v>
      </c>
      <c r="AD112" s="1">
        <v>78</v>
      </c>
      <c r="AE112" s="1">
        <v>81</v>
      </c>
      <c r="AF112" s="18">
        <f t="shared" si="1"/>
        <v>38.366666666666667</v>
      </c>
    </row>
    <row r="113" spans="1:32" x14ac:dyDescent="0.35">
      <c r="A113" s="1" t="s">
        <v>88</v>
      </c>
      <c r="B113" s="1">
        <v>202</v>
      </c>
      <c r="C113" s="1">
        <v>77</v>
      </c>
      <c r="D113" s="1">
        <v>30</v>
      </c>
      <c r="E113" s="1">
        <v>14</v>
      </c>
      <c r="F113" s="1">
        <v>51</v>
      </c>
      <c r="G113" s="1">
        <v>136</v>
      </c>
      <c r="H113" s="1">
        <v>56</v>
      </c>
      <c r="I113" s="1">
        <v>20</v>
      </c>
      <c r="J113" s="1">
        <v>43</v>
      </c>
      <c r="K113" s="1">
        <v>21</v>
      </c>
      <c r="L113" s="1">
        <v>31</v>
      </c>
      <c r="M113" s="1">
        <v>15</v>
      </c>
      <c r="N113" s="1">
        <v>56</v>
      </c>
      <c r="O113" s="1">
        <v>24</v>
      </c>
      <c r="P113" s="1">
        <v>86</v>
      </c>
      <c r="Q113" s="1">
        <v>18</v>
      </c>
      <c r="R113" s="1">
        <v>34</v>
      </c>
      <c r="S113" s="1">
        <v>46</v>
      </c>
      <c r="T113" s="1">
        <v>33</v>
      </c>
      <c r="U113" s="1">
        <v>93</v>
      </c>
      <c r="V113" s="1">
        <v>40</v>
      </c>
      <c r="W113" s="1">
        <v>18</v>
      </c>
      <c r="X113" s="1">
        <v>29</v>
      </c>
      <c r="Y113" s="1">
        <v>72</v>
      </c>
      <c r="Z113" s="1">
        <v>53</v>
      </c>
      <c r="AA113" s="1">
        <v>23</v>
      </c>
      <c r="AB113" s="1">
        <v>107</v>
      </c>
      <c r="AC113" s="1">
        <v>35</v>
      </c>
      <c r="AD113" s="1">
        <v>49</v>
      </c>
      <c r="AE113" s="1">
        <v>38</v>
      </c>
      <c r="AF113" s="18">
        <f t="shared" si="1"/>
        <v>51.666666666666664</v>
      </c>
    </row>
    <row r="114" spans="1:32" x14ac:dyDescent="0.35">
      <c r="A114" s="1" t="s">
        <v>89</v>
      </c>
      <c r="B114" s="1">
        <v>19</v>
      </c>
      <c r="C114" s="1">
        <v>65</v>
      </c>
      <c r="D114" s="1">
        <v>31</v>
      </c>
      <c r="E114" s="1">
        <v>24</v>
      </c>
      <c r="F114" s="1">
        <v>34</v>
      </c>
      <c r="G114" s="1">
        <v>44</v>
      </c>
      <c r="H114" s="1">
        <v>49</v>
      </c>
      <c r="I114" s="1">
        <v>171</v>
      </c>
      <c r="J114" s="1">
        <v>61</v>
      </c>
      <c r="K114" s="1">
        <v>35</v>
      </c>
      <c r="L114" s="1">
        <v>62</v>
      </c>
      <c r="M114" s="1">
        <v>65</v>
      </c>
      <c r="N114" s="1">
        <v>57</v>
      </c>
      <c r="O114" s="1">
        <v>40</v>
      </c>
      <c r="P114" s="1">
        <v>97</v>
      </c>
      <c r="Q114" s="1">
        <v>40</v>
      </c>
      <c r="R114" s="1">
        <v>36</v>
      </c>
      <c r="S114" s="1">
        <v>76</v>
      </c>
      <c r="T114" s="1">
        <v>51</v>
      </c>
      <c r="U114" s="1">
        <v>37</v>
      </c>
      <c r="V114" s="1">
        <v>48</v>
      </c>
      <c r="W114" s="1">
        <v>133</v>
      </c>
      <c r="X114" s="1">
        <v>16</v>
      </c>
      <c r="Y114" s="1">
        <v>26</v>
      </c>
      <c r="Z114" s="1">
        <v>16</v>
      </c>
      <c r="AA114" s="1">
        <v>59</v>
      </c>
      <c r="AB114" s="1">
        <v>86</v>
      </c>
      <c r="AC114" s="1">
        <v>61</v>
      </c>
      <c r="AD114" s="1">
        <v>19</v>
      </c>
      <c r="AE114" s="1">
        <v>41</v>
      </c>
      <c r="AF114" s="18">
        <f t="shared" si="1"/>
        <v>53.3</v>
      </c>
    </row>
    <row r="115" spans="1:32" x14ac:dyDescent="0.35">
      <c r="A115" s="1" t="s">
        <v>196</v>
      </c>
      <c r="B115" s="1">
        <v>36</v>
      </c>
      <c r="C115" s="1">
        <v>71</v>
      </c>
      <c r="D115" s="1">
        <v>25</v>
      </c>
      <c r="E115" s="1">
        <v>43</v>
      </c>
      <c r="F115" s="1">
        <v>17</v>
      </c>
      <c r="G115" s="1">
        <v>52</v>
      </c>
      <c r="H115" s="1">
        <v>17</v>
      </c>
      <c r="I115" s="1">
        <v>29</v>
      </c>
      <c r="J115" s="1">
        <v>13</v>
      </c>
      <c r="K115" s="1">
        <v>25</v>
      </c>
      <c r="L115" s="1">
        <v>35</v>
      </c>
      <c r="M115" s="1">
        <v>12</v>
      </c>
      <c r="N115" s="1">
        <v>24</v>
      </c>
      <c r="O115" s="1">
        <v>91</v>
      </c>
      <c r="P115" s="1">
        <v>32</v>
      </c>
      <c r="Q115" s="1">
        <v>48</v>
      </c>
      <c r="R115" s="1">
        <v>29</v>
      </c>
      <c r="S115" s="1">
        <v>20</v>
      </c>
      <c r="T115" s="1">
        <v>45</v>
      </c>
      <c r="U115" s="1">
        <v>18</v>
      </c>
      <c r="V115" s="1">
        <v>57</v>
      </c>
      <c r="W115" s="1">
        <v>88</v>
      </c>
      <c r="X115" s="1">
        <v>61</v>
      </c>
      <c r="Y115" s="1">
        <v>118</v>
      </c>
      <c r="Z115" s="1">
        <v>28</v>
      </c>
      <c r="AA115" s="1">
        <v>61</v>
      </c>
      <c r="AB115" s="1">
        <v>17</v>
      </c>
      <c r="AC115" s="1">
        <v>29</v>
      </c>
      <c r="AD115" s="1">
        <v>19</v>
      </c>
      <c r="AE115" s="1">
        <v>38</v>
      </c>
      <c r="AF115" s="18">
        <f t="shared" si="1"/>
        <v>39.93333333333333</v>
      </c>
    </row>
    <row r="116" spans="1:32" x14ac:dyDescent="0.35">
      <c r="A116" s="1" t="s">
        <v>90</v>
      </c>
      <c r="B116" s="1">
        <v>57</v>
      </c>
      <c r="C116" s="1">
        <v>14</v>
      </c>
      <c r="D116" s="1">
        <v>16</v>
      </c>
      <c r="E116" s="1">
        <v>20</v>
      </c>
      <c r="F116" s="1">
        <v>13</v>
      </c>
      <c r="G116" s="1">
        <v>44</v>
      </c>
      <c r="H116" s="1">
        <v>52</v>
      </c>
      <c r="I116" s="1">
        <v>39</v>
      </c>
      <c r="J116" s="1">
        <v>63</v>
      </c>
      <c r="K116" s="1">
        <v>47</v>
      </c>
      <c r="L116" s="1">
        <v>38</v>
      </c>
      <c r="M116" s="1">
        <v>40</v>
      </c>
      <c r="N116" s="1">
        <v>56</v>
      </c>
      <c r="O116" s="1">
        <v>51</v>
      </c>
      <c r="P116" s="1">
        <v>119</v>
      </c>
      <c r="Q116" s="1">
        <v>71</v>
      </c>
      <c r="R116" s="1">
        <v>16</v>
      </c>
      <c r="S116" s="1">
        <v>183</v>
      </c>
      <c r="T116" s="1">
        <v>33</v>
      </c>
      <c r="U116" s="1">
        <v>40</v>
      </c>
      <c r="V116" s="1">
        <v>39</v>
      </c>
      <c r="W116" s="1">
        <v>55</v>
      </c>
      <c r="X116" s="1">
        <v>46</v>
      </c>
      <c r="Y116" s="1">
        <v>63</v>
      </c>
      <c r="Z116" s="1">
        <v>17</v>
      </c>
      <c r="AA116" s="1">
        <v>14</v>
      </c>
      <c r="AB116" s="1">
        <v>114</v>
      </c>
      <c r="AC116" s="1">
        <v>33</v>
      </c>
      <c r="AD116" s="1">
        <v>79</v>
      </c>
      <c r="AE116" s="1">
        <v>87</v>
      </c>
      <c r="AF116" s="18">
        <f t="shared" si="1"/>
        <v>51.966666666666669</v>
      </c>
    </row>
    <row r="117" spans="1:32" x14ac:dyDescent="0.35">
      <c r="A117" s="1" t="s">
        <v>91</v>
      </c>
      <c r="B117" s="1">
        <v>35</v>
      </c>
      <c r="C117" s="1">
        <v>24</v>
      </c>
      <c r="D117" s="1">
        <v>13</v>
      </c>
      <c r="E117" s="1">
        <v>38</v>
      </c>
      <c r="F117" s="1">
        <v>14</v>
      </c>
      <c r="G117" s="1">
        <v>41</v>
      </c>
      <c r="H117" s="1">
        <v>31</v>
      </c>
      <c r="I117" s="1">
        <v>75</v>
      </c>
      <c r="J117" s="1">
        <v>25</v>
      </c>
      <c r="K117" s="1">
        <v>111</v>
      </c>
      <c r="L117" s="1">
        <v>113</v>
      </c>
      <c r="M117" s="1">
        <v>19</v>
      </c>
      <c r="N117" s="1">
        <v>38</v>
      </c>
      <c r="O117" s="1">
        <v>30</v>
      </c>
      <c r="P117" s="1">
        <v>59</v>
      </c>
      <c r="Q117" s="1">
        <v>29</v>
      </c>
      <c r="R117" s="1">
        <v>17</v>
      </c>
      <c r="S117" s="1">
        <v>69</v>
      </c>
      <c r="T117" s="1">
        <v>56</v>
      </c>
      <c r="U117" s="1">
        <v>42</v>
      </c>
      <c r="V117" s="1">
        <v>147</v>
      </c>
      <c r="W117" s="1">
        <v>72</v>
      </c>
      <c r="X117" s="1">
        <v>83</v>
      </c>
      <c r="Y117" s="1">
        <v>39</v>
      </c>
      <c r="Z117" s="1">
        <v>72</v>
      </c>
      <c r="AA117" s="1">
        <v>78</v>
      </c>
      <c r="AB117" s="1">
        <v>60</v>
      </c>
      <c r="AC117" s="1">
        <v>76</v>
      </c>
      <c r="AD117" s="1">
        <v>60</v>
      </c>
      <c r="AE117" s="1">
        <v>54</v>
      </c>
      <c r="AF117" s="18">
        <f t="shared" si="1"/>
        <v>54</v>
      </c>
    </row>
    <row r="118" spans="1:32" x14ac:dyDescent="0.35">
      <c r="A118" s="1" t="s">
        <v>92</v>
      </c>
      <c r="B118" s="1">
        <v>18</v>
      </c>
      <c r="C118" s="1">
        <v>47</v>
      </c>
      <c r="D118" s="1">
        <v>20</v>
      </c>
      <c r="E118" s="1">
        <v>32</v>
      </c>
      <c r="F118" s="1">
        <v>54</v>
      </c>
      <c r="G118" s="1">
        <v>49</v>
      </c>
      <c r="H118" s="1">
        <v>30</v>
      </c>
      <c r="I118" s="1">
        <v>21</v>
      </c>
      <c r="J118" s="1">
        <v>43</v>
      </c>
      <c r="K118" s="1">
        <v>42</v>
      </c>
      <c r="L118" s="1">
        <v>14</v>
      </c>
      <c r="M118" s="1">
        <v>56</v>
      </c>
      <c r="N118" s="1">
        <v>40</v>
      </c>
      <c r="O118" s="1">
        <v>26</v>
      </c>
      <c r="P118" s="1">
        <v>20</v>
      </c>
      <c r="Q118" s="1">
        <v>28</v>
      </c>
      <c r="R118" s="1">
        <v>58</v>
      </c>
      <c r="S118" s="1">
        <v>141</v>
      </c>
      <c r="T118" s="1">
        <v>69</v>
      </c>
      <c r="U118" s="1">
        <v>17</v>
      </c>
      <c r="V118" s="1">
        <v>27</v>
      </c>
      <c r="W118" s="1">
        <v>17</v>
      </c>
      <c r="X118" s="1">
        <v>131</v>
      </c>
      <c r="Y118" s="1">
        <v>55</v>
      </c>
      <c r="Z118" s="1">
        <v>30</v>
      </c>
      <c r="AA118" s="1">
        <v>25</v>
      </c>
      <c r="AB118" s="1">
        <v>47</v>
      </c>
      <c r="AC118" s="1">
        <v>142</v>
      </c>
      <c r="AD118" s="1">
        <v>120</v>
      </c>
      <c r="AE118" s="1">
        <v>12</v>
      </c>
      <c r="AF118" s="18">
        <f t="shared" si="1"/>
        <v>47.7</v>
      </c>
    </row>
    <row r="119" spans="1:32" x14ac:dyDescent="0.35">
      <c r="A119" s="1" t="s">
        <v>93</v>
      </c>
      <c r="B119" s="1">
        <v>51</v>
      </c>
      <c r="C119" s="1">
        <v>44</v>
      </c>
      <c r="D119" s="1">
        <v>13</v>
      </c>
      <c r="E119" s="1">
        <v>212</v>
      </c>
      <c r="F119" s="1">
        <v>45</v>
      </c>
      <c r="G119" s="1">
        <v>54</v>
      </c>
      <c r="H119" s="1">
        <v>59</v>
      </c>
      <c r="I119" s="1">
        <v>50</v>
      </c>
      <c r="J119" s="1">
        <v>21</v>
      </c>
      <c r="K119" s="1">
        <v>13</v>
      </c>
      <c r="L119" s="1">
        <v>39</v>
      </c>
      <c r="M119" s="1">
        <v>84</v>
      </c>
      <c r="N119" s="1">
        <v>93</v>
      </c>
      <c r="O119" s="1">
        <v>80</v>
      </c>
      <c r="P119" s="1">
        <v>29</v>
      </c>
      <c r="Q119" s="1">
        <v>34</v>
      </c>
      <c r="R119" s="1">
        <v>15</v>
      </c>
      <c r="S119" s="1">
        <v>58</v>
      </c>
      <c r="T119" s="1">
        <v>101</v>
      </c>
      <c r="U119" s="1">
        <v>143</v>
      </c>
      <c r="V119" s="1">
        <v>82</v>
      </c>
      <c r="W119" s="1">
        <v>74</v>
      </c>
      <c r="X119" s="1">
        <v>18</v>
      </c>
      <c r="Y119" s="1">
        <v>88</v>
      </c>
      <c r="Z119" s="1">
        <v>15</v>
      </c>
      <c r="AA119" s="1">
        <v>20</v>
      </c>
      <c r="AB119" s="1">
        <v>37</v>
      </c>
      <c r="AC119" s="1">
        <v>29</v>
      </c>
      <c r="AD119" s="1">
        <v>258</v>
      </c>
      <c r="AE119" s="1">
        <v>38</v>
      </c>
      <c r="AF119" s="18">
        <f t="shared" si="1"/>
        <v>63.233333333333334</v>
      </c>
    </row>
    <row r="120" spans="1:32" x14ac:dyDescent="0.35">
      <c r="A120" s="1" t="s">
        <v>94</v>
      </c>
      <c r="B120" s="1">
        <v>102</v>
      </c>
      <c r="C120" s="1">
        <v>34</v>
      </c>
      <c r="D120" s="1">
        <v>19</v>
      </c>
      <c r="E120" s="1">
        <v>12</v>
      </c>
      <c r="F120" s="1">
        <v>99</v>
      </c>
      <c r="G120" s="1">
        <v>13</v>
      </c>
      <c r="H120" s="1">
        <v>36</v>
      </c>
      <c r="I120" s="1">
        <v>15</v>
      </c>
      <c r="J120" s="1">
        <v>28</v>
      </c>
      <c r="K120" s="1">
        <v>17</v>
      </c>
      <c r="L120" s="1">
        <v>30</v>
      </c>
      <c r="M120" s="1">
        <v>15</v>
      </c>
      <c r="N120" s="1">
        <v>18</v>
      </c>
      <c r="O120" s="1">
        <v>23</v>
      </c>
      <c r="P120" s="1">
        <v>64</v>
      </c>
      <c r="Q120" s="1">
        <v>38</v>
      </c>
      <c r="R120" s="1">
        <v>60</v>
      </c>
      <c r="S120" s="1">
        <v>33</v>
      </c>
      <c r="T120" s="1">
        <v>166</v>
      </c>
      <c r="U120" s="1">
        <v>12</v>
      </c>
      <c r="V120" s="1">
        <v>70</v>
      </c>
      <c r="W120" s="1">
        <v>24</v>
      </c>
      <c r="X120" s="1">
        <v>31</v>
      </c>
      <c r="Y120" s="1">
        <v>34</v>
      </c>
      <c r="Z120" s="1">
        <v>90</v>
      </c>
      <c r="AA120" s="1">
        <v>28</v>
      </c>
      <c r="AB120" s="1">
        <v>12</v>
      </c>
      <c r="AC120" s="1">
        <v>16</v>
      </c>
      <c r="AD120" s="1">
        <v>50</v>
      </c>
      <c r="AE120" s="1">
        <v>95</v>
      </c>
      <c r="AF120" s="18">
        <f t="shared" si="1"/>
        <v>42.8</v>
      </c>
    </row>
    <row r="121" spans="1:32" x14ac:dyDescent="0.35">
      <c r="A121" s="1" t="s">
        <v>95</v>
      </c>
      <c r="B121" s="1">
        <v>16</v>
      </c>
      <c r="C121" s="1">
        <v>73</v>
      </c>
      <c r="D121" s="1">
        <v>15</v>
      </c>
      <c r="E121" s="1">
        <v>61</v>
      </c>
      <c r="F121" s="1">
        <v>20</v>
      </c>
      <c r="G121" s="1">
        <v>12</v>
      </c>
      <c r="H121" s="1">
        <v>55</v>
      </c>
      <c r="I121" s="1">
        <v>60</v>
      </c>
      <c r="J121" s="1">
        <v>16</v>
      </c>
      <c r="K121" s="1">
        <v>15</v>
      </c>
      <c r="L121" s="1">
        <v>119</v>
      </c>
      <c r="M121" s="1">
        <v>98</v>
      </c>
      <c r="N121" s="1">
        <v>21</v>
      </c>
      <c r="O121" s="1">
        <v>36</v>
      </c>
      <c r="P121" s="1">
        <v>42</v>
      </c>
      <c r="Q121" s="1">
        <v>16</v>
      </c>
      <c r="R121" s="1">
        <v>16</v>
      </c>
      <c r="S121" s="1">
        <v>13</v>
      </c>
      <c r="T121" s="1">
        <v>25</v>
      </c>
      <c r="U121" s="1">
        <v>43</v>
      </c>
      <c r="V121" s="1">
        <v>30</v>
      </c>
      <c r="W121" s="1">
        <v>20</v>
      </c>
      <c r="X121" s="1">
        <v>16</v>
      </c>
      <c r="Y121" s="1">
        <v>16</v>
      </c>
      <c r="Z121" s="1">
        <v>104</v>
      </c>
      <c r="AA121" s="1">
        <v>58</v>
      </c>
      <c r="AB121" s="1">
        <v>57</v>
      </c>
      <c r="AC121" s="1">
        <v>60</v>
      </c>
      <c r="AD121" s="1">
        <v>46</v>
      </c>
      <c r="AE121" s="1">
        <v>94</v>
      </c>
      <c r="AF121" s="18">
        <f t="shared" si="1"/>
        <v>42.43333333333333</v>
      </c>
    </row>
    <row r="122" spans="1:32" x14ac:dyDescent="0.35">
      <c r="A122" s="1" t="s">
        <v>96</v>
      </c>
      <c r="B122" s="1">
        <v>41</v>
      </c>
      <c r="C122" s="1">
        <v>59</v>
      </c>
      <c r="D122" s="1">
        <v>25</v>
      </c>
      <c r="E122" s="1">
        <v>29</v>
      </c>
      <c r="F122" s="1">
        <v>44</v>
      </c>
      <c r="G122" s="1">
        <v>48</v>
      </c>
      <c r="H122" s="1">
        <v>30</v>
      </c>
      <c r="I122" s="1">
        <v>76</v>
      </c>
      <c r="J122" s="1">
        <v>99</v>
      </c>
      <c r="K122" s="1">
        <v>15</v>
      </c>
      <c r="L122" s="1">
        <v>14</v>
      </c>
      <c r="M122" s="1">
        <v>61</v>
      </c>
      <c r="N122" s="1">
        <v>37</v>
      </c>
      <c r="O122" s="1">
        <v>33</v>
      </c>
      <c r="P122" s="1">
        <v>89</v>
      </c>
      <c r="Q122" s="1">
        <v>16</v>
      </c>
      <c r="R122" s="1">
        <v>65</v>
      </c>
      <c r="S122" s="1">
        <v>14</v>
      </c>
      <c r="T122" s="1">
        <v>38</v>
      </c>
      <c r="U122" s="1">
        <v>14</v>
      </c>
      <c r="V122" s="1">
        <v>57</v>
      </c>
      <c r="W122" s="1">
        <v>23</v>
      </c>
      <c r="X122" s="1">
        <v>40</v>
      </c>
      <c r="Y122" s="1">
        <v>51</v>
      </c>
      <c r="Z122" s="1">
        <v>42</v>
      </c>
      <c r="AA122" s="1">
        <v>23</v>
      </c>
      <c r="AB122" s="1">
        <v>31</v>
      </c>
      <c r="AC122" s="1">
        <v>15</v>
      </c>
      <c r="AD122" s="1">
        <v>16</v>
      </c>
      <c r="AE122" s="1">
        <v>13</v>
      </c>
      <c r="AF122" s="18">
        <f t="shared" si="1"/>
        <v>38.6</v>
      </c>
    </row>
    <row r="123" spans="1:32" x14ac:dyDescent="0.35">
      <c r="A123" s="1" t="s">
        <v>97</v>
      </c>
      <c r="B123" s="1">
        <v>36</v>
      </c>
      <c r="C123" s="1">
        <v>152</v>
      </c>
      <c r="D123" s="1">
        <v>22</v>
      </c>
      <c r="E123" s="1">
        <v>17</v>
      </c>
      <c r="F123" s="1">
        <v>40</v>
      </c>
      <c r="G123" s="1">
        <v>26</v>
      </c>
      <c r="H123" s="1">
        <v>105</v>
      </c>
      <c r="I123" s="1">
        <v>22</v>
      </c>
      <c r="J123" s="1">
        <v>16</v>
      </c>
      <c r="K123" s="1">
        <v>216</v>
      </c>
      <c r="L123" s="1">
        <v>28</v>
      </c>
      <c r="M123" s="1">
        <v>12</v>
      </c>
      <c r="N123" s="1">
        <v>41</v>
      </c>
      <c r="O123" s="1">
        <v>46</v>
      </c>
      <c r="P123" s="1">
        <v>20</v>
      </c>
      <c r="Q123" s="1">
        <v>13</v>
      </c>
      <c r="R123" s="1">
        <v>46</v>
      </c>
      <c r="S123" s="1">
        <v>29</v>
      </c>
      <c r="T123" s="1">
        <v>30</v>
      </c>
      <c r="U123" s="1">
        <v>12</v>
      </c>
      <c r="V123" s="1">
        <v>15</v>
      </c>
      <c r="W123" s="1">
        <v>13</v>
      </c>
      <c r="X123" s="1">
        <v>40</v>
      </c>
      <c r="Y123" s="1">
        <v>29</v>
      </c>
      <c r="Z123" s="1">
        <v>25</v>
      </c>
      <c r="AA123" s="1">
        <v>21</v>
      </c>
      <c r="AB123" s="1">
        <v>60</v>
      </c>
      <c r="AC123" s="1">
        <v>59</v>
      </c>
      <c r="AD123" s="1">
        <v>30</v>
      </c>
      <c r="AE123" s="1">
        <v>12</v>
      </c>
      <c r="AF123" s="18">
        <f t="shared" si="1"/>
        <v>41.1</v>
      </c>
    </row>
    <row r="124" spans="1:32" x14ac:dyDescent="0.35">
      <c r="A124" s="1" t="s">
        <v>98</v>
      </c>
      <c r="B124" s="1">
        <v>96</v>
      </c>
      <c r="C124" s="1">
        <v>40</v>
      </c>
      <c r="D124" s="1">
        <v>125</v>
      </c>
      <c r="E124" s="1">
        <v>23</v>
      </c>
      <c r="F124" s="1">
        <v>87</v>
      </c>
      <c r="G124" s="1">
        <v>12</v>
      </c>
      <c r="H124" s="1">
        <v>33</v>
      </c>
      <c r="I124" s="1">
        <v>43</v>
      </c>
      <c r="J124" s="1">
        <v>27</v>
      </c>
      <c r="K124" s="1">
        <v>18</v>
      </c>
      <c r="L124" s="1">
        <v>36</v>
      </c>
      <c r="M124" s="1">
        <v>119</v>
      </c>
      <c r="N124" s="1">
        <v>70</v>
      </c>
      <c r="O124" s="1">
        <v>20</v>
      </c>
      <c r="P124" s="1">
        <v>32</v>
      </c>
      <c r="Q124" s="1">
        <v>66</v>
      </c>
      <c r="R124" s="1">
        <v>49</v>
      </c>
      <c r="S124" s="1">
        <v>76</v>
      </c>
      <c r="T124" s="1">
        <v>127</v>
      </c>
      <c r="U124" s="1">
        <v>75</v>
      </c>
      <c r="V124" s="1">
        <v>27</v>
      </c>
      <c r="W124" s="1">
        <v>46</v>
      </c>
      <c r="X124" s="1">
        <v>69</v>
      </c>
      <c r="Y124" s="1">
        <v>18</v>
      </c>
      <c r="Z124" s="1">
        <v>19</v>
      </c>
      <c r="AA124" s="1">
        <v>138</v>
      </c>
      <c r="AB124" s="1">
        <v>26</v>
      </c>
      <c r="AC124" s="1">
        <v>20</v>
      </c>
      <c r="AD124" s="1">
        <v>32</v>
      </c>
      <c r="AE124" s="1">
        <v>28</v>
      </c>
      <c r="AF124" s="18">
        <f t="shared" si="1"/>
        <v>53.233333333333334</v>
      </c>
    </row>
    <row r="125" spans="1:32" x14ac:dyDescent="0.35">
      <c r="A125" s="1" t="s">
        <v>184</v>
      </c>
      <c r="B125" s="1">
        <v>113</v>
      </c>
      <c r="C125" s="1">
        <v>46</v>
      </c>
      <c r="D125" s="1">
        <v>46</v>
      </c>
      <c r="E125" s="1">
        <v>163</v>
      </c>
      <c r="F125" s="1">
        <v>39</v>
      </c>
      <c r="G125" s="1">
        <v>14</v>
      </c>
      <c r="H125" s="1">
        <v>111</v>
      </c>
      <c r="I125" s="1">
        <v>16</v>
      </c>
      <c r="J125" s="1">
        <v>53</v>
      </c>
      <c r="K125" s="1">
        <v>59</v>
      </c>
      <c r="L125" s="1">
        <v>20</v>
      </c>
      <c r="M125" s="1">
        <v>41</v>
      </c>
      <c r="N125" s="1">
        <v>25</v>
      </c>
      <c r="O125" s="1">
        <v>30</v>
      </c>
      <c r="P125" s="1">
        <v>55</v>
      </c>
      <c r="Q125" s="1">
        <v>37</v>
      </c>
      <c r="R125" s="1">
        <v>45</v>
      </c>
      <c r="S125" s="1">
        <v>31</v>
      </c>
      <c r="T125" s="1">
        <v>13</v>
      </c>
      <c r="U125" s="1">
        <v>13</v>
      </c>
      <c r="V125" s="1">
        <v>16</v>
      </c>
      <c r="W125" s="1">
        <v>19</v>
      </c>
      <c r="X125" s="1">
        <v>144</v>
      </c>
      <c r="Y125" s="1">
        <v>40</v>
      </c>
      <c r="Z125" s="1">
        <v>16</v>
      </c>
      <c r="AA125" s="1">
        <v>16</v>
      </c>
      <c r="AB125" s="1">
        <v>31</v>
      </c>
      <c r="AC125" s="1">
        <v>40</v>
      </c>
      <c r="AD125" s="1">
        <v>41</v>
      </c>
      <c r="AE125" s="1">
        <v>17</v>
      </c>
      <c r="AF125" s="18">
        <f t="shared" si="1"/>
        <v>45</v>
      </c>
    </row>
    <row r="126" spans="1:32" x14ac:dyDescent="0.35">
      <c r="A126" s="1" t="s">
        <v>99</v>
      </c>
      <c r="B126" s="1">
        <v>22</v>
      </c>
      <c r="C126" s="1">
        <v>13</v>
      </c>
      <c r="D126" s="1">
        <v>53</v>
      </c>
      <c r="E126" s="1">
        <v>18</v>
      </c>
      <c r="F126" s="1">
        <v>35</v>
      </c>
      <c r="G126" s="1">
        <v>13</v>
      </c>
      <c r="H126" s="1">
        <v>24</v>
      </c>
      <c r="I126" s="1">
        <v>32</v>
      </c>
      <c r="J126" s="1">
        <v>88</v>
      </c>
      <c r="K126" s="1">
        <v>38</v>
      </c>
      <c r="L126" s="1">
        <v>35</v>
      </c>
      <c r="M126" s="1">
        <v>51</v>
      </c>
      <c r="N126" s="1">
        <v>12</v>
      </c>
      <c r="O126" s="1">
        <v>16</v>
      </c>
      <c r="P126" s="1">
        <v>44</v>
      </c>
      <c r="Q126" s="1">
        <v>34</v>
      </c>
      <c r="R126" s="1">
        <v>57</v>
      </c>
      <c r="S126" s="1">
        <v>31</v>
      </c>
      <c r="T126" s="1">
        <v>25</v>
      </c>
      <c r="U126" s="1">
        <v>139</v>
      </c>
      <c r="V126" s="1">
        <v>16</v>
      </c>
      <c r="W126" s="1">
        <v>19</v>
      </c>
      <c r="X126" s="1">
        <v>58</v>
      </c>
      <c r="Y126" s="1">
        <v>14</v>
      </c>
      <c r="Z126" s="1">
        <v>17</v>
      </c>
      <c r="AA126" s="1">
        <v>260</v>
      </c>
      <c r="AB126" s="1">
        <v>14</v>
      </c>
      <c r="AC126" s="1">
        <v>24</v>
      </c>
      <c r="AD126" s="1">
        <v>46</v>
      </c>
      <c r="AE126" s="1">
        <v>30</v>
      </c>
      <c r="AF126" s="18">
        <f t="shared" si="1"/>
        <v>42.6</v>
      </c>
    </row>
    <row r="127" spans="1:32" x14ac:dyDescent="0.35">
      <c r="A127" s="1" t="s">
        <v>100</v>
      </c>
      <c r="B127" s="1">
        <v>27</v>
      </c>
      <c r="C127" s="1">
        <v>15</v>
      </c>
      <c r="D127" s="1">
        <v>27</v>
      </c>
      <c r="E127" s="1">
        <v>57</v>
      </c>
      <c r="F127" s="1">
        <v>15</v>
      </c>
      <c r="G127" s="1">
        <v>25</v>
      </c>
      <c r="H127" s="1">
        <v>43</v>
      </c>
      <c r="I127" s="1">
        <v>26</v>
      </c>
      <c r="J127" s="1">
        <v>44</v>
      </c>
      <c r="K127" s="1">
        <v>15</v>
      </c>
      <c r="L127" s="1">
        <v>23</v>
      </c>
      <c r="M127" s="1">
        <v>32</v>
      </c>
      <c r="N127" s="1">
        <v>42</v>
      </c>
      <c r="O127" s="1">
        <v>23</v>
      </c>
      <c r="P127" s="1">
        <v>89</v>
      </c>
      <c r="Q127" s="1">
        <v>245</v>
      </c>
      <c r="R127" s="1">
        <v>18</v>
      </c>
      <c r="S127" s="1">
        <v>47</v>
      </c>
      <c r="T127" s="1">
        <v>49</v>
      </c>
      <c r="U127" s="1">
        <v>15</v>
      </c>
      <c r="V127" s="1">
        <v>15</v>
      </c>
      <c r="W127" s="1">
        <v>14</v>
      </c>
      <c r="X127" s="1">
        <v>24</v>
      </c>
      <c r="Y127" s="1">
        <v>27</v>
      </c>
      <c r="Z127" s="1">
        <v>45</v>
      </c>
      <c r="AA127" s="1">
        <v>58</v>
      </c>
      <c r="AB127" s="1">
        <v>25</v>
      </c>
      <c r="AC127" s="1">
        <v>16</v>
      </c>
      <c r="AD127" s="1">
        <v>100</v>
      </c>
      <c r="AE127" s="1">
        <v>18</v>
      </c>
      <c r="AF127" s="18">
        <f t="shared" si="1"/>
        <v>40.633333333333333</v>
      </c>
    </row>
    <row r="128" spans="1:32" x14ac:dyDescent="0.35">
      <c r="A128" s="1" t="s">
        <v>101</v>
      </c>
      <c r="B128" s="1">
        <v>42</v>
      </c>
      <c r="C128" s="1">
        <v>76</v>
      </c>
      <c r="D128" s="1">
        <v>111</v>
      </c>
      <c r="E128" s="1">
        <v>81</v>
      </c>
      <c r="F128" s="1">
        <v>28</v>
      </c>
      <c r="G128" s="1">
        <v>45</v>
      </c>
      <c r="H128" s="1">
        <v>77</v>
      </c>
      <c r="I128" s="1">
        <v>42</v>
      </c>
      <c r="J128" s="1">
        <v>36</v>
      </c>
      <c r="K128" s="1">
        <v>57</v>
      </c>
      <c r="L128" s="1">
        <v>22</v>
      </c>
      <c r="M128" s="1">
        <v>17</v>
      </c>
      <c r="N128" s="1">
        <v>34</v>
      </c>
      <c r="O128" s="1">
        <v>51</v>
      </c>
      <c r="P128" s="1">
        <v>21</v>
      </c>
      <c r="Q128" s="1">
        <v>45</v>
      </c>
      <c r="R128" s="1">
        <v>21</v>
      </c>
      <c r="S128" s="1">
        <v>23</v>
      </c>
      <c r="T128" s="1">
        <v>12</v>
      </c>
      <c r="U128" s="1">
        <v>64</v>
      </c>
      <c r="V128" s="1">
        <v>41</v>
      </c>
      <c r="W128" s="1">
        <v>17</v>
      </c>
      <c r="X128" s="1">
        <v>48</v>
      </c>
      <c r="Y128" s="1">
        <v>95</v>
      </c>
      <c r="Z128" s="1">
        <v>15</v>
      </c>
      <c r="AA128" s="1">
        <v>22</v>
      </c>
      <c r="AB128" s="1">
        <v>77</v>
      </c>
      <c r="AC128" s="1">
        <v>26</v>
      </c>
      <c r="AD128" s="1">
        <v>12</v>
      </c>
      <c r="AE128" s="1">
        <v>38</v>
      </c>
      <c r="AF128" s="18">
        <f t="shared" si="1"/>
        <v>43.2</v>
      </c>
    </row>
    <row r="129" spans="1:32" x14ac:dyDescent="0.35">
      <c r="A129" s="1" t="s">
        <v>185</v>
      </c>
      <c r="B129" s="1">
        <v>31</v>
      </c>
      <c r="C129" s="1">
        <v>39</v>
      </c>
      <c r="D129" s="1">
        <v>19</v>
      </c>
      <c r="E129" s="1">
        <v>13</v>
      </c>
      <c r="F129" s="1">
        <v>26</v>
      </c>
      <c r="G129" s="1">
        <v>19</v>
      </c>
      <c r="H129" s="1">
        <v>74</v>
      </c>
      <c r="I129" s="1">
        <v>30</v>
      </c>
      <c r="J129" s="1">
        <v>87</v>
      </c>
      <c r="K129" s="1">
        <v>121</v>
      </c>
      <c r="L129" s="1">
        <v>32</v>
      </c>
      <c r="M129" s="1">
        <v>49</v>
      </c>
      <c r="N129" s="1">
        <v>33</v>
      </c>
      <c r="O129" s="1">
        <v>24</v>
      </c>
      <c r="P129" s="1">
        <v>126</v>
      </c>
      <c r="Q129" s="1">
        <v>62</v>
      </c>
      <c r="R129" s="1">
        <v>15</v>
      </c>
      <c r="S129" s="1">
        <v>31</v>
      </c>
      <c r="T129" s="1">
        <v>18</v>
      </c>
      <c r="U129" s="1">
        <v>59</v>
      </c>
      <c r="V129" s="1">
        <v>22</v>
      </c>
      <c r="W129" s="1">
        <v>26</v>
      </c>
      <c r="X129" s="1">
        <v>12</v>
      </c>
      <c r="Y129" s="1">
        <v>63</v>
      </c>
      <c r="Z129" s="1">
        <v>88</v>
      </c>
      <c r="AA129" s="1">
        <v>16</v>
      </c>
      <c r="AB129" s="1">
        <v>18</v>
      </c>
      <c r="AC129" s="1">
        <v>91</v>
      </c>
      <c r="AD129" s="1">
        <v>30</v>
      </c>
      <c r="AE129" s="1">
        <v>15</v>
      </c>
      <c r="AF129" s="18">
        <f t="shared" si="1"/>
        <v>42.966666666666669</v>
      </c>
    </row>
    <row r="130" spans="1:32" x14ac:dyDescent="0.35">
      <c r="A130" s="1" t="s">
        <v>102</v>
      </c>
      <c r="B130" s="1">
        <v>77</v>
      </c>
      <c r="C130" s="1">
        <v>18</v>
      </c>
      <c r="D130" s="1">
        <v>110</v>
      </c>
      <c r="E130" s="1">
        <v>81</v>
      </c>
      <c r="F130" s="1">
        <v>78</v>
      </c>
      <c r="G130" s="1">
        <v>18</v>
      </c>
      <c r="H130" s="1">
        <v>15</v>
      </c>
      <c r="I130" s="1">
        <v>78</v>
      </c>
      <c r="J130" s="1">
        <v>129</v>
      </c>
      <c r="K130" s="1">
        <v>24</v>
      </c>
      <c r="L130" s="1">
        <v>15</v>
      </c>
      <c r="M130" s="1">
        <v>99</v>
      </c>
      <c r="N130" s="1">
        <v>74</v>
      </c>
      <c r="O130" s="1">
        <v>45</v>
      </c>
      <c r="P130" s="1">
        <v>29</v>
      </c>
      <c r="Q130" s="1">
        <v>56</v>
      </c>
      <c r="R130" s="1">
        <v>69</v>
      </c>
      <c r="S130" s="1">
        <v>37</v>
      </c>
      <c r="T130" s="1">
        <v>39</v>
      </c>
      <c r="U130" s="1">
        <v>12</v>
      </c>
      <c r="V130" s="1">
        <v>12</v>
      </c>
      <c r="W130" s="1">
        <v>87</v>
      </c>
      <c r="X130" s="1">
        <v>31</v>
      </c>
      <c r="Y130" s="1">
        <v>12</v>
      </c>
      <c r="Z130" s="1">
        <v>20</v>
      </c>
      <c r="AA130" s="1">
        <v>32</v>
      </c>
      <c r="AB130" s="1">
        <v>14</v>
      </c>
      <c r="AC130" s="1">
        <v>23</v>
      </c>
      <c r="AD130" s="1">
        <v>43</v>
      </c>
      <c r="AE130" s="1">
        <v>27</v>
      </c>
      <c r="AF130" s="18">
        <f t="shared" si="1"/>
        <v>46.8</v>
      </c>
    </row>
    <row r="131" spans="1:32" x14ac:dyDescent="0.35">
      <c r="A131" s="1" t="s">
        <v>103</v>
      </c>
      <c r="B131" s="1">
        <v>15</v>
      </c>
      <c r="C131" s="1">
        <v>62</v>
      </c>
      <c r="D131" s="1">
        <v>33</v>
      </c>
      <c r="E131" s="1">
        <v>59</v>
      </c>
      <c r="F131" s="1">
        <v>29</v>
      </c>
      <c r="G131" s="1">
        <v>79</v>
      </c>
      <c r="H131" s="1">
        <v>117</v>
      </c>
      <c r="I131" s="1">
        <v>35</v>
      </c>
      <c r="J131" s="1">
        <v>55</v>
      </c>
      <c r="K131" s="1">
        <v>30</v>
      </c>
      <c r="L131" s="1">
        <v>36</v>
      </c>
      <c r="M131" s="1">
        <v>54</v>
      </c>
      <c r="N131" s="1">
        <v>37</v>
      </c>
      <c r="O131" s="1">
        <v>59</v>
      </c>
      <c r="P131" s="1">
        <v>88</v>
      </c>
      <c r="Q131" s="1">
        <v>80</v>
      </c>
      <c r="R131" s="1">
        <v>28</v>
      </c>
      <c r="S131" s="1">
        <v>80</v>
      </c>
      <c r="T131" s="1">
        <v>39</v>
      </c>
      <c r="U131" s="1">
        <v>23</v>
      </c>
      <c r="V131" s="1">
        <v>20</v>
      </c>
      <c r="W131" s="1">
        <v>66</v>
      </c>
      <c r="X131" s="1">
        <v>31</v>
      </c>
      <c r="Y131" s="1">
        <v>28</v>
      </c>
      <c r="Z131" s="1">
        <v>50</v>
      </c>
      <c r="AA131" s="1">
        <v>25</v>
      </c>
      <c r="AB131" s="1">
        <v>13</v>
      </c>
      <c r="AC131" s="1">
        <v>46</v>
      </c>
      <c r="AD131" s="1">
        <v>68</v>
      </c>
      <c r="AE131" s="1">
        <v>93</v>
      </c>
      <c r="AF131" s="18">
        <f t="shared" si="1"/>
        <v>49.266666666666666</v>
      </c>
    </row>
    <row r="132" spans="1:32" x14ac:dyDescent="0.35">
      <c r="A132" s="1" t="s">
        <v>186</v>
      </c>
      <c r="B132" s="1">
        <v>74</v>
      </c>
      <c r="C132" s="1">
        <v>21</v>
      </c>
      <c r="D132" s="1">
        <v>47</v>
      </c>
      <c r="E132" s="1">
        <v>12</v>
      </c>
      <c r="F132" s="1">
        <v>40</v>
      </c>
      <c r="G132" s="1">
        <v>24</v>
      </c>
      <c r="H132" s="1">
        <v>92</v>
      </c>
      <c r="I132" s="1">
        <v>73</v>
      </c>
      <c r="J132" s="1">
        <v>14</v>
      </c>
      <c r="K132" s="1">
        <v>41</v>
      </c>
      <c r="L132" s="1">
        <v>19</v>
      </c>
      <c r="M132" s="1">
        <v>32</v>
      </c>
      <c r="N132" s="1">
        <v>78</v>
      </c>
      <c r="O132" s="1">
        <v>15</v>
      </c>
      <c r="P132" s="1">
        <v>24</v>
      </c>
      <c r="Q132" s="1">
        <v>25</v>
      </c>
      <c r="R132" s="1">
        <v>29</v>
      </c>
      <c r="S132" s="1">
        <v>149</v>
      </c>
      <c r="T132" s="1">
        <v>15</v>
      </c>
      <c r="U132" s="1">
        <v>20</v>
      </c>
      <c r="V132" s="1">
        <v>15</v>
      </c>
      <c r="W132" s="1">
        <v>25</v>
      </c>
      <c r="X132" s="1">
        <v>20</v>
      </c>
      <c r="Y132" s="1">
        <v>47</v>
      </c>
      <c r="Z132" s="1">
        <v>31</v>
      </c>
      <c r="AA132" s="1">
        <v>13</v>
      </c>
      <c r="AB132" s="1">
        <v>12</v>
      </c>
      <c r="AC132" s="1">
        <v>160</v>
      </c>
      <c r="AD132" s="1">
        <v>12</v>
      </c>
      <c r="AE132" s="1">
        <v>36</v>
      </c>
      <c r="AF132" s="18">
        <f t="shared" ref="AF132:AF195" si="2">AVERAGE(B132:AE132)</f>
        <v>40.5</v>
      </c>
    </row>
    <row r="133" spans="1:32" x14ac:dyDescent="0.35">
      <c r="A133" s="1" t="s">
        <v>104</v>
      </c>
      <c r="B133" s="1">
        <v>79</v>
      </c>
      <c r="C133" s="1">
        <v>25</v>
      </c>
      <c r="D133" s="1">
        <v>33</v>
      </c>
      <c r="E133" s="1">
        <v>14</v>
      </c>
      <c r="F133" s="1">
        <v>78</v>
      </c>
      <c r="G133" s="1">
        <v>25</v>
      </c>
      <c r="H133" s="1">
        <v>33</v>
      </c>
      <c r="I133" s="1">
        <v>18</v>
      </c>
      <c r="J133" s="1">
        <v>111</v>
      </c>
      <c r="K133" s="1">
        <v>36</v>
      </c>
      <c r="L133" s="1">
        <v>45</v>
      </c>
      <c r="M133" s="1">
        <v>69</v>
      </c>
      <c r="N133" s="1">
        <v>56</v>
      </c>
      <c r="O133" s="1">
        <v>12</v>
      </c>
      <c r="P133" s="1">
        <v>50</v>
      </c>
      <c r="Q133" s="1">
        <v>13</v>
      </c>
      <c r="R133" s="1">
        <v>64</v>
      </c>
      <c r="S133" s="1">
        <v>17</v>
      </c>
      <c r="T133" s="1">
        <v>51</v>
      </c>
      <c r="U133" s="1">
        <v>55</v>
      </c>
      <c r="V133" s="1">
        <v>74</v>
      </c>
      <c r="W133" s="1">
        <v>19</v>
      </c>
      <c r="X133" s="1">
        <v>19</v>
      </c>
      <c r="Y133" s="1">
        <v>67</v>
      </c>
      <c r="Z133" s="1">
        <v>93</v>
      </c>
      <c r="AA133" s="1">
        <v>27</v>
      </c>
      <c r="AB133" s="1">
        <v>29</v>
      </c>
      <c r="AC133" s="1">
        <v>68</v>
      </c>
      <c r="AD133" s="1">
        <v>23</v>
      </c>
      <c r="AE133" s="1">
        <v>23</v>
      </c>
      <c r="AF133" s="18">
        <f t="shared" si="2"/>
        <v>44.2</v>
      </c>
    </row>
    <row r="134" spans="1:32" x14ac:dyDescent="0.35">
      <c r="A134" s="1" t="s">
        <v>187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8">
        <f t="shared" si="2"/>
        <v>0</v>
      </c>
    </row>
    <row r="135" spans="1:32" x14ac:dyDescent="0.35">
      <c r="A135" s="1" t="s">
        <v>160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8">
        <f t="shared" si="2"/>
        <v>0</v>
      </c>
    </row>
    <row r="136" spans="1:32" x14ac:dyDescent="0.35">
      <c r="A136" s="1" t="s">
        <v>105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8">
        <f t="shared" si="2"/>
        <v>0</v>
      </c>
    </row>
    <row r="137" spans="1:32" x14ac:dyDescent="0.35">
      <c r="A137" s="1" t="s">
        <v>106</v>
      </c>
      <c r="B137" s="1">
        <v>182</v>
      </c>
      <c r="C137" s="1">
        <v>19</v>
      </c>
      <c r="D137" s="1">
        <v>16</v>
      </c>
      <c r="E137" s="1">
        <v>30</v>
      </c>
      <c r="F137" s="1">
        <v>29</v>
      </c>
      <c r="G137" s="1">
        <v>75</v>
      </c>
      <c r="H137" s="1">
        <v>100</v>
      </c>
      <c r="I137" s="1">
        <v>61</v>
      </c>
      <c r="J137" s="1">
        <v>54</v>
      </c>
      <c r="K137" s="1">
        <v>28</v>
      </c>
      <c r="L137" s="1">
        <v>44</v>
      </c>
      <c r="M137" s="1">
        <v>43</v>
      </c>
      <c r="N137" s="1">
        <v>155</v>
      </c>
      <c r="O137" s="1">
        <v>12</v>
      </c>
      <c r="P137" s="1">
        <v>71</v>
      </c>
      <c r="Q137" s="1">
        <v>30</v>
      </c>
      <c r="R137" s="1">
        <v>71</v>
      </c>
      <c r="S137" s="1">
        <v>53</v>
      </c>
      <c r="T137" s="1">
        <v>13</v>
      </c>
      <c r="U137" s="1">
        <v>37</v>
      </c>
      <c r="V137" s="1">
        <v>17</v>
      </c>
      <c r="W137" s="1">
        <v>16</v>
      </c>
      <c r="X137" s="1">
        <v>55</v>
      </c>
      <c r="Y137" s="1">
        <v>18</v>
      </c>
      <c r="Z137" s="1">
        <v>13</v>
      </c>
      <c r="AA137" s="1">
        <v>28</v>
      </c>
      <c r="AB137" s="1">
        <v>27</v>
      </c>
      <c r="AC137" s="1">
        <v>58</v>
      </c>
      <c r="AD137" s="1">
        <v>36</v>
      </c>
      <c r="AE137" s="1">
        <v>21</v>
      </c>
      <c r="AF137" s="18">
        <f t="shared" si="2"/>
        <v>47.06666666666667</v>
      </c>
    </row>
    <row r="138" spans="1:32" x14ac:dyDescent="0.35">
      <c r="A138" s="1" t="s">
        <v>188</v>
      </c>
      <c r="B138" s="1">
        <v>39</v>
      </c>
      <c r="C138" s="1">
        <v>19</v>
      </c>
      <c r="D138" s="1">
        <v>25</v>
      </c>
      <c r="E138" s="1">
        <v>86</v>
      </c>
      <c r="F138" s="1">
        <v>12</v>
      </c>
      <c r="G138" s="1">
        <v>16</v>
      </c>
      <c r="H138" s="1">
        <v>70</v>
      </c>
      <c r="I138" s="1">
        <v>42</v>
      </c>
      <c r="J138" s="1">
        <v>74</v>
      </c>
      <c r="K138" s="1">
        <v>110</v>
      </c>
      <c r="L138" s="1">
        <v>14</v>
      </c>
      <c r="M138" s="1">
        <v>50</v>
      </c>
      <c r="N138" s="1">
        <v>39</v>
      </c>
      <c r="O138" s="1">
        <v>15</v>
      </c>
      <c r="P138" s="1">
        <v>59</v>
      </c>
      <c r="Q138" s="1">
        <v>131</v>
      </c>
      <c r="R138" s="1">
        <v>95</v>
      </c>
      <c r="S138" s="1">
        <v>26</v>
      </c>
      <c r="T138" s="1">
        <v>62</v>
      </c>
      <c r="U138" s="1">
        <v>74</v>
      </c>
      <c r="V138" s="1">
        <v>46</v>
      </c>
      <c r="W138" s="1">
        <v>88</v>
      </c>
      <c r="X138" s="1">
        <v>19</v>
      </c>
      <c r="Y138" s="1">
        <v>47</v>
      </c>
      <c r="Z138" s="1">
        <v>33</v>
      </c>
      <c r="AA138" s="1">
        <v>21</v>
      </c>
      <c r="AB138" s="1">
        <v>121</v>
      </c>
      <c r="AC138" s="1">
        <v>65</v>
      </c>
      <c r="AD138" s="1">
        <v>24</v>
      </c>
      <c r="AE138" s="1">
        <v>28</v>
      </c>
      <c r="AF138" s="18">
        <f t="shared" si="2"/>
        <v>51.666666666666664</v>
      </c>
    </row>
    <row r="139" spans="1:32" x14ac:dyDescent="0.35">
      <c r="A139" s="1" t="s">
        <v>107</v>
      </c>
      <c r="B139" s="1">
        <v>28</v>
      </c>
      <c r="C139" s="1">
        <v>13</v>
      </c>
      <c r="D139" s="1">
        <v>46</v>
      </c>
      <c r="E139" s="1">
        <v>29</v>
      </c>
      <c r="F139" s="1">
        <v>75</v>
      </c>
      <c r="G139" s="1">
        <v>21</v>
      </c>
      <c r="H139" s="1">
        <v>22</v>
      </c>
      <c r="I139" s="1">
        <v>23</v>
      </c>
      <c r="J139" s="1">
        <v>49</v>
      </c>
      <c r="K139" s="1">
        <v>34</v>
      </c>
      <c r="L139" s="1">
        <v>46</v>
      </c>
      <c r="M139" s="1">
        <v>118</v>
      </c>
      <c r="N139" s="1">
        <v>50</v>
      </c>
      <c r="O139" s="1">
        <v>15</v>
      </c>
      <c r="P139" s="1">
        <v>54</v>
      </c>
      <c r="Q139" s="1">
        <v>20</v>
      </c>
      <c r="R139" s="1">
        <v>50</v>
      </c>
      <c r="S139" s="1">
        <v>62</v>
      </c>
      <c r="T139" s="1">
        <v>118</v>
      </c>
      <c r="U139" s="1">
        <v>16</v>
      </c>
      <c r="V139" s="1">
        <v>15</v>
      </c>
      <c r="W139" s="1">
        <v>19</v>
      </c>
      <c r="X139" s="1">
        <v>52</v>
      </c>
      <c r="Y139" s="1">
        <v>34</v>
      </c>
      <c r="Z139" s="1">
        <v>16</v>
      </c>
      <c r="AA139" s="1">
        <v>19</v>
      </c>
      <c r="AB139" s="1">
        <v>93</v>
      </c>
      <c r="AC139" s="1">
        <v>24</v>
      </c>
      <c r="AD139" s="1">
        <v>47</v>
      </c>
      <c r="AE139" s="1">
        <v>17</v>
      </c>
      <c r="AF139" s="18">
        <f t="shared" si="2"/>
        <v>40.833333333333336</v>
      </c>
    </row>
    <row r="140" spans="1:32" x14ac:dyDescent="0.35">
      <c r="A140" s="1" t="s">
        <v>108</v>
      </c>
      <c r="B140" s="1">
        <v>29</v>
      </c>
      <c r="C140" s="1">
        <v>38</v>
      </c>
      <c r="D140" s="1">
        <v>47</v>
      </c>
      <c r="E140" s="1">
        <v>51</v>
      </c>
      <c r="F140" s="1">
        <v>84</v>
      </c>
      <c r="G140" s="1">
        <v>50</v>
      </c>
      <c r="H140" s="1">
        <v>52</v>
      </c>
      <c r="I140" s="1">
        <v>17</v>
      </c>
      <c r="J140" s="1">
        <v>23</v>
      </c>
      <c r="K140" s="1">
        <v>40</v>
      </c>
      <c r="L140" s="1">
        <v>32</v>
      </c>
      <c r="M140" s="1">
        <v>38</v>
      </c>
      <c r="N140" s="1">
        <v>25</v>
      </c>
      <c r="O140" s="1">
        <v>38</v>
      </c>
      <c r="P140" s="1">
        <v>44</v>
      </c>
      <c r="Q140" s="1">
        <v>34</v>
      </c>
      <c r="R140" s="1">
        <v>18</v>
      </c>
      <c r="S140" s="1">
        <v>19</v>
      </c>
      <c r="T140" s="1">
        <v>26</v>
      </c>
      <c r="U140" s="1">
        <v>13</v>
      </c>
      <c r="V140" s="1">
        <v>18</v>
      </c>
      <c r="W140" s="1">
        <v>56</v>
      </c>
      <c r="X140" s="1">
        <v>17</v>
      </c>
      <c r="Y140" s="1">
        <v>75</v>
      </c>
      <c r="Z140" s="1">
        <v>16</v>
      </c>
      <c r="AA140" s="1">
        <v>174</v>
      </c>
      <c r="AB140" s="1">
        <v>44</v>
      </c>
      <c r="AC140" s="1">
        <v>12</v>
      </c>
      <c r="AD140" s="1">
        <v>37</v>
      </c>
      <c r="AE140" s="1">
        <v>19</v>
      </c>
      <c r="AF140" s="18">
        <f t="shared" si="2"/>
        <v>39.533333333333331</v>
      </c>
    </row>
    <row r="141" spans="1:32" x14ac:dyDescent="0.35">
      <c r="A141" s="1" t="s">
        <v>109</v>
      </c>
      <c r="B141" s="1">
        <v>44</v>
      </c>
      <c r="C141" s="1">
        <v>79</v>
      </c>
      <c r="D141" s="1">
        <v>45</v>
      </c>
      <c r="E141" s="1">
        <v>60</v>
      </c>
      <c r="F141" s="1">
        <v>28</v>
      </c>
      <c r="G141" s="1">
        <v>16</v>
      </c>
      <c r="H141" s="1">
        <v>24</v>
      </c>
      <c r="I141" s="1">
        <v>58</v>
      </c>
      <c r="J141" s="1">
        <v>38</v>
      </c>
      <c r="K141" s="1">
        <v>52</v>
      </c>
      <c r="L141" s="1">
        <v>79</v>
      </c>
      <c r="M141" s="1">
        <v>13</v>
      </c>
      <c r="N141" s="1">
        <v>78</v>
      </c>
      <c r="O141" s="1">
        <v>68</v>
      </c>
      <c r="P141" s="1">
        <v>141</v>
      </c>
      <c r="Q141" s="1">
        <v>60</v>
      </c>
      <c r="R141" s="1">
        <v>99</v>
      </c>
      <c r="S141" s="1">
        <v>12</v>
      </c>
      <c r="T141" s="1">
        <v>27</v>
      </c>
      <c r="U141" s="1">
        <v>135</v>
      </c>
      <c r="V141" s="1">
        <v>33</v>
      </c>
      <c r="W141" s="1">
        <v>70</v>
      </c>
      <c r="X141" s="1">
        <v>61</v>
      </c>
      <c r="Y141" s="1">
        <v>31</v>
      </c>
      <c r="Z141" s="1">
        <v>20</v>
      </c>
      <c r="AA141" s="1">
        <v>50</v>
      </c>
      <c r="AB141" s="1">
        <v>16</v>
      </c>
      <c r="AC141" s="1">
        <v>76</v>
      </c>
      <c r="AD141" s="1">
        <v>82</v>
      </c>
      <c r="AE141" s="1">
        <v>23</v>
      </c>
      <c r="AF141" s="18">
        <f t="shared" si="2"/>
        <v>53.93333333333333</v>
      </c>
    </row>
    <row r="142" spans="1:32" x14ac:dyDescent="0.35">
      <c r="A142" s="1" t="s">
        <v>189</v>
      </c>
      <c r="B142" s="1">
        <v>19</v>
      </c>
      <c r="C142" s="1">
        <v>21</v>
      </c>
      <c r="D142" s="1">
        <v>35</v>
      </c>
      <c r="E142" s="1">
        <v>24</v>
      </c>
      <c r="F142" s="1">
        <v>51</v>
      </c>
      <c r="G142" s="1">
        <v>22</v>
      </c>
      <c r="H142" s="1">
        <v>35</v>
      </c>
      <c r="I142" s="1">
        <v>29</v>
      </c>
      <c r="J142" s="1">
        <v>107</v>
      </c>
      <c r="K142" s="1">
        <v>60</v>
      </c>
      <c r="L142" s="1">
        <v>16</v>
      </c>
      <c r="M142" s="1">
        <v>45</v>
      </c>
      <c r="N142" s="1">
        <v>64</v>
      </c>
      <c r="O142" s="1">
        <v>32</v>
      </c>
      <c r="P142" s="1">
        <v>54</v>
      </c>
      <c r="Q142" s="1">
        <v>74</v>
      </c>
      <c r="R142" s="1">
        <v>61</v>
      </c>
      <c r="S142" s="1">
        <v>40</v>
      </c>
      <c r="T142" s="1">
        <v>19</v>
      </c>
      <c r="U142" s="1">
        <v>37</v>
      </c>
      <c r="V142" s="1">
        <v>51</v>
      </c>
      <c r="W142" s="1">
        <v>43</v>
      </c>
      <c r="X142" s="1">
        <v>84</v>
      </c>
      <c r="Y142" s="1">
        <v>31</v>
      </c>
      <c r="Z142" s="1">
        <v>18</v>
      </c>
      <c r="AA142" s="1">
        <v>15</v>
      </c>
      <c r="AB142" s="1">
        <v>20</v>
      </c>
      <c r="AC142" s="1">
        <v>12</v>
      </c>
      <c r="AD142" s="1">
        <v>19</v>
      </c>
      <c r="AE142" s="1">
        <v>72</v>
      </c>
      <c r="AF142" s="18">
        <f t="shared" si="2"/>
        <v>40.333333333333336</v>
      </c>
    </row>
    <row r="143" spans="1:32" x14ac:dyDescent="0.35">
      <c r="A143" s="1" t="s">
        <v>110</v>
      </c>
      <c r="B143" s="1">
        <v>94</v>
      </c>
      <c r="C143" s="1">
        <v>39</v>
      </c>
      <c r="D143" s="1">
        <v>28</v>
      </c>
      <c r="E143" s="1">
        <v>107</v>
      </c>
      <c r="F143" s="1">
        <v>163</v>
      </c>
      <c r="G143" s="1">
        <v>138</v>
      </c>
      <c r="H143" s="1">
        <v>23</v>
      </c>
      <c r="I143" s="1">
        <v>109</v>
      </c>
      <c r="J143" s="1">
        <v>21</v>
      </c>
      <c r="K143" s="1">
        <v>44</v>
      </c>
      <c r="L143" s="1">
        <v>17</v>
      </c>
      <c r="M143" s="1">
        <v>53</v>
      </c>
      <c r="N143" s="1">
        <v>98</v>
      </c>
      <c r="O143" s="1">
        <v>12</v>
      </c>
      <c r="P143" s="1">
        <v>119</v>
      </c>
      <c r="Q143" s="1">
        <v>71</v>
      </c>
      <c r="R143" s="1">
        <v>41</v>
      </c>
      <c r="S143" s="1">
        <v>120</v>
      </c>
      <c r="T143" s="1">
        <v>156</v>
      </c>
      <c r="U143" s="1">
        <v>29</v>
      </c>
      <c r="V143" s="1">
        <v>26</v>
      </c>
      <c r="W143" s="1">
        <v>45</v>
      </c>
      <c r="X143" s="1">
        <v>12</v>
      </c>
      <c r="Y143" s="1">
        <v>30</v>
      </c>
      <c r="Z143" s="1">
        <v>39</v>
      </c>
      <c r="AA143" s="1">
        <v>28</v>
      </c>
      <c r="AB143" s="1">
        <v>120</v>
      </c>
      <c r="AC143" s="1">
        <v>17</v>
      </c>
      <c r="AD143" s="1">
        <v>52</v>
      </c>
      <c r="AE143" s="1">
        <v>17</v>
      </c>
      <c r="AF143" s="18">
        <f t="shared" si="2"/>
        <v>62.266666666666666</v>
      </c>
    </row>
    <row r="144" spans="1:32" x14ac:dyDescent="0.35">
      <c r="A144" s="1" t="s">
        <v>111</v>
      </c>
      <c r="B144" s="1">
        <v>13</v>
      </c>
      <c r="C144" s="1">
        <v>39</v>
      </c>
      <c r="D144" s="1">
        <v>111</v>
      </c>
      <c r="E144" s="1">
        <v>73</v>
      </c>
      <c r="F144" s="1">
        <v>35</v>
      </c>
      <c r="G144" s="1">
        <v>79</v>
      </c>
      <c r="H144" s="1">
        <v>26</v>
      </c>
      <c r="I144" s="1">
        <v>91</v>
      </c>
      <c r="J144" s="1">
        <v>24</v>
      </c>
      <c r="K144" s="1">
        <v>44</v>
      </c>
      <c r="L144" s="1">
        <v>17</v>
      </c>
      <c r="M144" s="1">
        <v>14</v>
      </c>
      <c r="N144" s="1">
        <v>36</v>
      </c>
      <c r="O144" s="1">
        <v>31</v>
      </c>
      <c r="P144" s="1">
        <v>34</v>
      </c>
      <c r="Q144" s="1">
        <v>21</v>
      </c>
      <c r="R144" s="1">
        <v>59</v>
      </c>
      <c r="S144" s="1">
        <v>25</v>
      </c>
      <c r="T144" s="1">
        <v>66</v>
      </c>
      <c r="U144" s="1">
        <v>23</v>
      </c>
      <c r="V144" s="1">
        <v>24</v>
      </c>
      <c r="W144" s="1">
        <v>23</v>
      </c>
      <c r="X144" s="1">
        <v>27</v>
      </c>
      <c r="Y144" s="1">
        <v>37</v>
      </c>
      <c r="Z144" s="1">
        <v>53</v>
      </c>
      <c r="AA144" s="1">
        <v>75</v>
      </c>
      <c r="AB144" s="1">
        <v>27</v>
      </c>
      <c r="AC144" s="1">
        <v>20</v>
      </c>
      <c r="AD144" s="1">
        <v>16</v>
      </c>
      <c r="AE144" s="1">
        <v>25</v>
      </c>
      <c r="AF144" s="18">
        <f t="shared" si="2"/>
        <v>39.6</v>
      </c>
    </row>
    <row r="145" spans="1:32" x14ac:dyDescent="0.35">
      <c r="A145" s="1" t="s">
        <v>112</v>
      </c>
      <c r="B145" s="1">
        <v>56</v>
      </c>
      <c r="C145" s="1">
        <v>20</v>
      </c>
      <c r="D145" s="1">
        <v>14</v>
      </c>
      <c r="E145" s="1">
        <v>16</v>
      </c>
      <c r="F145" s="1">
        <v>42</v>
      </c>
      <c r="G145" s="1">
        <v>106</v>
      </c>
      <c r="H145" s="1">
        <v>50</v>
      </c>
      <c r="I145" s="1">
        <v>42</v>
      </c>
      <c r="J145" s="1">
        <v>29</v>
      </c>
      <c r="K145" s="1">
        <v>57</v>
      </c>
      <c r="L145" s="1">
        <v>37</v>
      </c>
      <c r="M145" s="1">
        <v>15</v>
      </c>
      <c r="N145" s="1">
        <v>16</v>
      </c>
      <c r="O145" s="1">
        <v>126</v>
      </c>
      <c r="P145" s="1">
        <v>61</v>
      </c>
      <c r="Q145" s="1">
        <v>219</v>
      </c>
      <c r="R145" s="1">
        <v>50</v>
      </c>
      <c r="S145" s="1">
        <v>56</v>
      </c>
      <c r="T145" s="1">
        <v>42</v>
      </c>
      <c r="U145" s="1">
        <v>78</v>
      </c>
      <c r="V145" s="1">
        <v>38</v>
      </c>
      <c r="W145" s="1">
        <v>20</v>
      </c>
      <c r="X145" s="1">
        <v>115</v>
      </c>
      <c r="Y145" s="1">
        <v>30</v>
      </c>
      <c r="Z145" s="1">
        <v>12</v>
      </c>
      <c r="AA145" s="1">
        <v>18</v>
      </c>
      <c r="AB145" s="1">
        <v>29</v>
      </c>
      <c r="AC145" s="1">
        <v>38</v>
      </c>
      <c r="AD145" s="1">
        <v>36</v>
      </c>
      <c r="AE145" s="1">
        <v>97</v>
      </c>
      <c r="AF145" s="18">
        <f t="shared" si="2"/>
        <v>52.166666666666664</v>
      </c>
    </row>
    <row r="146" spans="1:32" x14ac:dyDescent="0.35">
      <c r="A146" s="1" t="s">
        <v>113</v>
      </c>
      <c r="B146" s="1">
        <v>74</v>
      </c>
      <c r="C146" s="1">
        <v>12</v>
      </c>
      <c r="D146" s="1">
        <v>14</v>
      </c>
      <c r="E146" s="1">
        <v>21</v>
      </c>
      <c r="F146" s="1">
        <v>92</v>
      </c>
      <c r="G146" s="1">
        <v>29</v>
      </c>
      <c r="H146" s="1">
        <v>43</v>
      </c>
      <c r="I146" s="1">
        <v>38</v>
      </c>
      <c r="J146" s="1">
        <v>47</v>
      </c>
      <c r="K146" s="1">
        <v>25</v>
      </c>
      <c r="L146" s="1">
        <v>40</v>
      </c>
      <c r="M146" s="1">
        <v>93</v>
      </c>
      <c r="N146" s="1">
        <v>87</v>
      </c>
      <c r="O146" s="1">
        <v>13</v>
      </c>
      <c r="P146" s="1">
        <v>24</v>
      </c>
      <c r="Q146" s="1">
        <v>44</v>
      </c>
      <c r="R146" s="1">
        <v>30</v>
      </c>
      <c r="S146" s="1">
        <v>27</v>
      </c>
      <c r="T146" s="1">
        <v>22</v>
      </c>
      <c r="U146" s="1">
        <v>109</v>
      </c>
      <c r="V146" s="1">
        <v>74</v>
      </c>
      <c r="W146" s="1">
        <v>24</v>
      </c>
      <c r="X146" s="1">
        <v>139</v>
      </c>
      <c r="Y146" s="1">
        <v>22</v>
      </c>
      <c r="Z146" s="1">
        <v>29</v>
      </c>
      <c r="AA146" s="1">
        <v>69</v>
      </c>
      <c r="AB146" s="1">
        <v>87</v>
      </c>
      <c r="AC146" s="1">
        <v>80</v>
      </c>
      <c r="AD146" s="1">
        <v>23</v>
      </c>
      <c r="AE146" s="1">
        <v>57</v>
      </c>
      <c r="AF146" s="18">
        <f t="shared" si="2"/>
        <v>49.6</v>
      </c>
    </row>
    <row r="147" spans="1:32" x14ac:dyDescent="0.35">
      <c r="A147" s="1" t="s">
        <v>114</v>
      </c>
      <c r="B147" s="1">
        <v>77</v>
      </c>
      <c r="C147" s="1">
        <v>32</v>
      </c>
      <c r="D147" s="1">
        <v>32</v>
      </c>
      <c r="E147" s="1">
        <v>51</v>
      </c>
      <c r="F147" s="1">
        <v>33</v>
      </c>
      <c r="G147" s="1">
        <v>55</v>
      </c>
      <c r="H147" s="1">
        <v>45</v>
      </c>
      <c r="I147" s="1">
        <v>38</v>
      </c>
      <c r="J147" s="1">
        <v>16</v>
      </c>
      <c r="K147" s="1">
        <v>121</v>
      </c>
      <c r="L147" s="1">
        <v>14</v>
      </c>
      <c r="M147" s="1">
        <v>80</v>
      </c>
      <c r="N147" s="1">
        <v>32</v>
      </c>
      <c r="O147" s="1">
        <v>18</v>
      </c>
      <c r="P147" s="1">
        <v>40</v>
      </c>
      <c r="Q147" s="1">
        <v>26</v>
      </c>
      <c r="R147" s="1">
        <v>36</v>
      </c>
      <c r="S147" s="1">
        <v>72</v>
      </c>
      <c r="T147" s="1">
        <v>59</v>
      </c>
      <c r="U147" s="1">
        <v>38</v>
      </c>
      <c r="V147" s="1">
        <v>40</v>
      </c>
      <c r="W147" s="1">
        <v>19</v>
      </c>
      <c r="X147" s="1">
        <v>25</v>
      </c>
      <c r="Y147" s="1">
        <v>23</v>
      </c>
      <c r="Z147" s="1">
        <v>38</v>
      </c>
      <c r="AA147" s="1">
        <v>12</v>
      </c>
      <c r="AB147" s="1">
        <v>55</v>
      </c>
      <c r="AC147" s="1">
        <v>40</v>
      </c>
      <c r="AD147" s="1">
        <v>19</v>
      </c>
      <c r="AE147" s="1">
        <v>12</v>
      </c>
      <c r="AF147" s="18">
        <f t="shared" si="2"/>
        <v>39.93333333333333</v>
      </c>
    </row>
    <row r="148" spans="1:32" x14ac:dyDescent="0.35">
      <c r="A148" s="1" t="s">
        <v>115</v>
      </c>
      <c r="B148" s="1">
        <v>19</v>
      </c>
      <c r="C148" s="1">
        <v>26</v>
      </c>
      <c r="D148" s="1">
        <v>76</v>
      </c>
      <c r="E148" s="1">
        <v>41</v>
      </c>
      <c r="F148" s="1">
        <v>18</v>
      </c>
      <c r="G148" s="1">
        <v>20</v>
      </c>
      <c r="H148" s="1">
        <v>62</v>
      </c>
      <c r="I148" s="1">
        <v>57</v>
      </c>
      <c r="J148" s="1">
        <v>27</v>
      </c>
      <c r="K148" s="1">
        <v>24</v>
      </c>
      <c r="L148" s="1">
        <v>32</v>
      </c>
      <c r="M148" s="1">
        <v>67</v>
      </c>
      <c r="N148" s="1">
        <v>48</v>
      </c>
      <c r="O148" s="1">
        <v>58</v>
      </c>
      <c r="P148" s="1">
        <v>12</v>
      </c>
      <c r="Q148" s="1">
        <v>68</v>
      </c>
      <c r="R148" s="1">
        <v>109</v>
      </c>
      <c r="S148" s="1">
        <v>16</v>
      </c>
      <c r="T148" s="1">
        <v>35</v>
      </c>
      <c r="U148" s="1">
        <v>28</v>
      </c>
      <c r="V148" s="1">
        <v>28</v>
      </c>
      <c r="W148" s="1">
        <v>26</v>
      </c>
      <c r="X148" s="1">
        <v>57</v>
      </c>
      <c r="Y148" s="1">
        <v>19</v>
      </c>
      <c r="Z148" s="1">
        <v>47</v>
      </c>
      <c r="AA148" s="1">
        <v>28</v>
      </c>
      <c r="AB148" s="1">
        <v>47</v>
      </c>
      <c r="AC148" s="1">
        <v>13</v>
      </c>
      <c r="AD148" s="1">
        <v>23</v>
      </c>
      <c r="AE148" s="1">
        <v>48</v>
      </c>
      <c r="AF148" s="18">
        <f t="shared" si="2"/>
        <v>39.299999999999997</v>
      </c>
    </row>
    <row r="149" spans="1:32" x14ac:dyDescent="0.35">
      <c r="A149" s="1" t="s">
        <v>190</v>
      </c>
      <c r="B149" s="1">
        <v>72</v>
      </c>
      <c r="C149" s="1">
        <v>115</v>
      </c>
      <c r="D149" s="1">
        <v>33</v>
      </c>
      <c r="E149" s="1">
        <v>20</v>
      </c>
      <c r="F149" s="1">
        <v>20</v>
      </c>
      <c r="G149" s="1">
        <v>61</v>
      </c>
      <c r="H149" s="1">
        <v>22</v>
      </c>
      <c r="I149" s="1">
        <v>72</v>
      </c>
      <c r="J149" s="1">
        <v>20</v>
      </c>
      <c r="K149" s="1">
        <v>41</v>
      </c>
      <c r="L149" s="1">
        <v>26</v>
      </c>
      <c r="M149" s="1">
        <v>55</v>
      </c>
      <c r="N149" s="1">
        <v>26</v>
      </c>
      <c r="O149" s="1">
        <v>15</v>
      </c>
      <c r="P149" s="1">
        <v>66</v>
      </c>
      <c r="Q149" s="1">
        <v>17</v>
      </c>
      <c r="R149" s="1">
        <v>15</v>
      </c>
      <c r="S149" s="1">
        <v>100</v>
      </c>
      <c r="T149" s="1">
        <v>58</v>
      </c>
      <c r="U149" s="1">
        <v>13</v>
      </c>
      <c r="V149" s="1">
        <v>36</v>
      </c>
      <c r="W149" s="1">
        <v>60</v>
      </c>
      <c r="X149" s="1">
        <v>119</v>
      </c>
      <c r="Y149" s="1">
        <v>21</v>
      </c>
      <c r="Z149" s="1">
        <v>67</v>
      </c>
      <c r="AA149" s="1">
        <v>32</v>
      </c>
      <c r="AB149" s="1">
        <v>64</v>
      </c>
      <c r="AC149" s="1">
        <v>39</v>
      </c>
      <c r="AD149" s="1">
        <v>142</v>
      </c>
      <c r="AE149" s="1">
        <v>12</v>
      </c>
      <c r="AF149" s="18">
        <f t="shared" si="2"/>
        <v>48.633333333333333</v>
      </c>
    </row>
    <row r="150" spans="1:32" x14ac:dyDescent="0.35">
      <c r="A150" s="1" t="s">
        <v>116</v>
      </c>
      <c r="B150" s="1">
        <v>140</v>
      </c>
      <c r="C150" s="1">
        <v>51</v>
      </c>
      <c r="D150" s="1">
        <v>32</v>
      </c>
      <c r="E150" s="1">
        <v>37</v>
      </c>
      <c r="F150" s="1">
        <v>29</v>
      </c>
      <c r="G150" s="1">
        <v>24</v>
      </c>
      <c r="H150" s="1">
        <v>17</v>
      </c>
      <c r="I150" s="1">
        <v>65</v>
      </c>
      <c r="J150" s="1">
        <v>21</v>
      </c>
      <c r="K150" s="1">
        <v>71</v>
      </c>
      <c r="L150" s="1">
        <v>95</v>
      </c>
      <c r="M150" s="1">
        <v>26</v>
      </c>
      <c r="N150" s="1">
        <v>25</v>
      </c>
      <c r="O150" s="1">
        <v>22</v>
      </c>
      <c r="P150" s="1">
        <v>21</v>
      </c>
      <c r="Q150" s="1">
        <v>20</v>
      </c>
      <c r="R150" s="1">
        <v>17</v>
      </c>
      <c r="S150" s="1">
        <v>16</v>
      </c>
      <c r="T150" s="1">
        <v>83</v>
      </c>
      <c r="U150" s="1">
        <v>17</v>
      </c>
      <c r="V150" s="1">
        <v>24</v>
      </c>
      <c r="W150" s="1">
        <v>66</v>
      </c>
      <c r="X150" s="1">
        <v>18</v>
      </c>
      <c r="Y150" s="1">
        <v>68</v>
      </c>
      <c r="Z150" s="1">
        <v>54</v>
      </c>
      <c r="AA150" s="1">
        <v>26</v>
      </c>
      <c r="AB150" s="1">
        <v>23</v>
      </c>
      <c r="AC150" s="1">
        <v>106</v>
      </c>
      <c r="AD150" s="1">
        <v>28</v>
      </c>
      <c r="AE150" s="1">
        <v>62</v>
      </c>
      <c r="AF150" s="18">
        <f t="shared" si="2"/>
        <v>43.466666666666669</v>
      </c>
    </row>
    <row r="151" spans="1:32" x14ac:dyDescent="0.35">
      <c r="A151" s="1" t="s">
        <v>197</v>
      </c>
      <c r="B151" s="1">
        <v>62</v>
      </c>
      <c r="C151" s="1">
        <v>54</v>
      </c>
      <c r="D151" s="1">
        <v>42</v>
      </c>
      <c r="E151" s="1">
        <v>14</v>
      </c>
      <c r="F151" s="1">
        <v>49</v>
      </c>
      <c r="G151" s="1">
        <v>65</v>
      </c>
      <c r="H151" s="1">
        <v>13</v>
      </c>
      <c r="I151" s="1">
        <v>45</v>
      </c>
      <c r="J151" s="1">
        <v>105</v>
      </c>
      <c r="K151" s="1">
        <v>49</v>
      </c>
      <c r="L151" s="1">
        <v>14</v>
      </c>
      <c r="M151" s="1">
        <v>61</v>
      </c>
      <c r="N151" s="1">
        <v>21</v>
      </c>
      <c r="O151" s="1">
        <v>26</v>
      </c>
      <c r="P151" s="1">
        <v>22</v>
      </c>
      <c r="Q151" s="1">
        <v>89</v>
      </c>
      <c r="R151" s="1">
        <v>15</v>
      </c>
      <c r="S151" s="1">
        <v>25</v>
      </c>
      <c r="T151" s="1">
        <v>36</v>
      </c>
      <c r="U151" s="1">
        <v>118</v>
      </c>
      <c r="V151" s="1">
        <v>88</v>
      </c>
      <c r="W151" s="1">
        <v>21</v>
      </c>
      <c r="X151" s="1">
        <v>195</v>
      </c>
      <c r="Y151" s="1">
        <v>58</v>
      </c>
      <c r="Z151" s="1">
        <v>18</v>
      </c>
      <c r="AA151" s="1">
        <v>27</v>
      </c>
      <c r="AB151" s="1">
        <v>41</v>
      </c>
      <c r="AC151" s="1">
        <v>25</v>
      </c>
      <c r="AD151" s="1">
        <v>48</v>
      </c>
      <c r="AE151" s="1">
        <v>38</v>
      </c>
      <c r="AF151" s="18">
        <f t="shared" si="2"/>
        <v>49.466666666666669</v>
      </c>
    </row>
    <row r="152" spans="1:32" x14ac:dyDescent="0.35">
      <c r="A152" s="1" t="s">
        <v>117</v>
      </c>
      <c r="B152" s="1">
        <v>51</v>
      </c>
      <c r="C152" s="1">
        <v>75</v>
      </c>
      <c r="D152" s="1">
        <v>101</v>
      </c>
      <c r="E152" s="1">
        <v>20</v>
      </c>
      <c r="F152" s="1">
        <v>13</v>
      </c>
      <c r="G152" s="1">
        <v>40</v>
      </c>
      <c r="H152" s="1">
        <v>107</v>
      </c>
      <c r="I152" s="1">
        <v>21</v>
      </c>
      <c r="J152" s="1">
        <v>18</v>
      </c>
      <c r="K152" s="1">
        <v>25</v>
      </c>
      <c r="L152" s="1">
        <v>30</v>
      </c>
      <c r="M152" s="1">
        <v>14</v>
      </c>
      <c r="N152" s="1">
        <v>29</v>
      </c>
      <c r="O152" s="1">
        <v>36</v>
      </c>
      <c r="P152" s="1">
        <v>29</v>
      </c>
      <c r="Q152" s="1">
        <v>34</v>
      </c>
      <c r="R152" s="1">
        <v>15</v>
      </c>
      <c r="S152" s="1">
        <v>37</v>
      </c>
      <c r="T152" s="1">
        <v>20</v>
      </c>
      <c r="U152" s="1">
        <v>42</v>
      </c>
      <c r="V152" s="1">
        <v>20</v>
      </c>
      <c r="W152" s="1">
        <v>123</v>
      </c>
      <c r="X152" s="1">
        <v>28</v>
      </c>
      <c r="Y152" s="1">
        <v>24</v>
      </c>
      <c r="Z152" s="1">
        <v>17</v>
      </c>
      <c r="AA152" s="1">
        <v>145</v>
      </c>
      <c r="AB152" s="1">
        <v>18</v>
      </c>
      <c r="AC152" s="1">
        <v>35</v>
      </c>
      <c r="AD152" s="1">
        <v>19</v>
      </c>
      <c r="AE152" s="1">
        <v>23</v>
      </c>
      <c r="AF152" s="18">
        <f t="shared" si="2"/>
        <v>40.299999999999997</v>
      </c>
    </row>
    <row r="153" spans="1:32" x14ac:dyDescent="0.35">
      <c r="A153" s="1" t="s">
        <v>198</v>
      </c>
      <c r="B153" s="1">
        <v>29</v>
      </c>
      <c r="C153" s="1">
        <v>128</v>
      </c>
      <c r="D153" s="1">
        <v>82</v>
      </c>
      <c r="E153" s="1">
        <v>39</v>
      </c>
      <c r="F153" s="1">
        <v>13</v>
      </c>
      <c r="G153" s="1">
        <v>51</v>
      </c>
      <c r="H153" s="1">
        <v>25</v>
      </c>
      <c r="I153" s="1">
        <v>87</v>
      </c>
      <c r="J153" s="1">
        <v>163</v>
      </c>
      <c r="K153" s="1">
        <v>18</v>
      </c>
      <c r="L153" s="1">
        <v>24</v>
      </c>
      <c r="M153" s="1">
        <v>77</v>
      </c>
      <c r="N153" s="1">
        <v>40</v>
      </c>
      <c r="O153" s="1">
        <v>25</v>
      </c>
      <c r="P153" s="1">
        <v>23</v>
      </c>
      <c r="Q153" s="1">
        <v>13</v>
      </c>
      <c r="R153" s="1">
        <v>15</v>
      </c>
      <c r="S153" s="1">
        <v>67</v>
      </c>
      <c r="T153" s="1">
        <v>148</v>
      </c>
      <c r="U153" s="1">
        <v>96</v>
      </c>
      <c r="V153" s="1">
        <v>39</v>
      </c>
      <c r="W153" s="1">
        <v>69</v>
      </c>
      <c r="X153" s="1">
        <v>128</v>
      </c>
      <c r="Y153" s="1">
        <v>51</v>
      </c>
      <c r="Z153" s="1">
        <v>16</v>
      </c>
      <c r="AA153" s="1">
        <v>32</v>
      </c>
      <c r="AB153" s="1">
        <v>133</v>
      </c>
      <c r="AC153" s="1">
        <v>42</v>
      </c>
      <c r="AD153" s="1">
        <v>23</v>
      </c>
      <c r="AE153" s="1">
        <v>22</v>
      </c>
      <c r="AF153" s="18">
        <f t="shared" si="2"/>
        <v>57.266666666666666</v>
      </c>
    </row>
    <row r="154" spans="1:32" x14ac:dyDescent="0.35">
      <c r="A154" s="1" t="s">
        <v>118</v>
      </c>
      <c r="B154" s="1">
        <v>24</v>
      </c>
      <c r="C154" s="1">
        <v>156</v>
      </c>
      <c r="D154" s="1">
        <v>75</v>
      </c>
      <c r="E154" s="1">
        <v>84</v>
      </c>
      <c r="F154" s="1">
        <v>31</v>
      </c>
      <c r="G154" s="1">
        <v>50</v>
      </c>
      <c r="H154" s="1">
        <v>34</v>
      </c>
      <c r="I154" s="1">
        <v>28</v>
      </c>
      <c r="J154" s="1">
        <v>63</v>
      </c>
      <c r="K154" s="1">
        <v>51</v>
      </c>
      <c r="L154" s="1">
        <v>39</v>
      </c>
      <c r="M154" s="1">
        <v>90</v>
      </c>
      <c r="N154" s="1">
        <v>25</v>
      </c>
      <c r="O154" s="1">
        <v>60</v>
      </c>
      <c r="P154" s="1">
        <v>62</v>
      </c>
      <c r="Q154" s="1">
        <v>16</v>
      </c>
      <c r="R154" s="1">
        <v>19</v>
      </c>
      <c r="S154" s="1">
        <v>99</v>
      </c>
      <c r="T154" s="1">
        <v>35</v>
      </c>
      <c r="U154" s="1">
        <v>12</v>
      </c>
      <c r="V154" s="1">
        <v>20</v>
      </c>
      <c r="W154" s="1">
        <v>49</v>
      </c>
      <c r="X154" s="1">
        <v>39</v>
      </c>
      <c r="Y154" s="1">
        <v>31</v>
      </c>
      <c r="Z154" s="1">
        <v>18</v>
      </c>
      <c r="AA154" s="1">
        <v>40</v>
      </c>
      <c r="AB154" s="1">
        <v>15</v>
      </c>
      <c r="AC154" s="1">
        <v>88</v>
      </c>
      <c r="AD154" s="1">
        <v>66</v>
      </c>
      <c r="AE154" s="1">
        <v>16</v>
      </c>
      <c r="AF154" s="18">
        <f t="shared" si="2"/>
        <v>47.833333333333336</v>
      </c>
    </row>
    <row r="155" spans="1:32" x14ac:dyDescent="0.35">
      <c r="A155" s="1" t="s">
        <v>119</v>
      </c>
      <c r="B155" s="1">
        <v>24</v>
      </c>
      <c r="C155" s="1">
        <v>130</v>
      </c>
      <c r="D155" s="1">
        <v>73</v>
      </c>
      <c r="E155" s="1">
        <v>49</v>
      </c>
      <c r="F155" s="1">
        <v>73</v>
      </c>
      <c r="G155" s="1">
        <v>48</v>
      </c>
      <c r="H155" s="1">
        <v>35</v>
      </c>
      <c r="I155" s="1">
        <v>36</v>
      </c>
      <c r="J155" s="1">
        <v>15</v>
      </c>
      <c r="K155" s="1">
        <v>79</v>
      </c>
      <c r="L155" s="1">
        <v>117</v>
      </c>
      <c r="M155" s="1">
        <v>18</v>
      </c>
      <c r="N155" s="1">
        <v>23</v>
      </c>
      <c r="O155" s="1">
        <v>54</v>
      </c>
      <c r="P155" s="1">
        <v>24</v>
      </c>
      <c r="Q155" s="1">
        <v>109</v>
      </c>
      <c r="R155" s="1">
        <v>14</v>
      </c>
      <c r="S155" s="1">
        <v>28</v>
      </c>
      <c r="T155" s="1">
        <v>13</v>
      </c>
      <c r="U155" s="1">
        <v>30</v>
      </c>
      <c r="V155" s="1">
        <v>60</v>
      </c>
      <c r="W155" s="1">
        <v>42</v>
      </c>
      <c r="X155" s="1">
        <v>43</v>
      </c>
      <c r="Y155" s="1">
        <v>54</v>
      </c>
      <c r="Z155" s="1">
        <v>21</v>
      </c>
      <c r="AA155" s="1">
        <v>96</v>
      </c>
      <c r="AB155" s="1">
        <v>59</v>
      </c>
      <c r="AC155" s="1">
        <v>32</v>
      </c>
      <c r="AD155" s="1">
        <v>77</v>
      </c>
      <c r="AE155" s="1">
        <v>102</v>
      </c>
      <c r="AF155" s="18">
        <f t="shared" si="2"/>
        <v>52.6</v>
      </c>
    </row>
    <row r="156" spans="1:32" x14ac:dyDescent="0.35">
      <c r="A156" s="1" t="s">
        <v>191</v>
      </c>
      <c r="B156" s="1">
        <v>79</v>
      </c>
      <c r="C156" s="1">
        <v>47</v>
      </c>
      <c r="D156" s="1">
        <v>26</v>
      </c>
      <c r="E156" s="1">
        <v>22</v>
      </c>
      <c r="F156" s="1">
        <v>53</v>
      </c>
      <c r="G156" s="1">
        <v>13</v>
      </c>
      <c r="H156" s="1">
        <v>50</v>
      </c>
      <c r="I156" s="1">
        <v>15</v>
      </c>
      <c r="J156" s="1">
        <v>19</v>
      </c>
      <c r="K156" s="1">
        <v>24</v>
      </c>
      <c r="L156" s="1">
        <v>88</v>
      </c>
      <c r="M156" s="1">
        <v>33</v>
      </c>
      <c r="N156" s="1">
        <v>49</v>
      </c>
      <c r="O156" s="1">
        <v>24</v>
      </c>
      <c r="P156" s="1">
        <v>69</v>
      </c>
      <c r="Q156" s="1">
        <v>17</v>
      </c>
      <c r="R156" s="1">
        <v>25</v>
      </c>
      <c r="S156" s="1">
        <v>66</v>
      </c>
      <c r="T156" s="1">
        <v>26</v>
      </c>
      <c r="U156" s="1">
        <v>82</v>
      </c>
      <c r="V156" s="1">
        <v>81</v>
      </c>
      <c r="W156" s="1">
        <v>13</v>
      </c>
      <c r="X156" s="1">
        <v>13</v>
      </c>
      <c r="Y156" s="1">
        <v>63</v>
      </c>
      <c r="Z156" s="1">
        <v>18</v>
      </c>
      <c r="AA156" s="1">
        <v>35</v>
      </c>
      <c r="AB156" s="1">
        <v>43</v>
      </c>
      <c r="AC156" s="1">
        <v>25</v>
      </c>
      <c r="AD156" s="1">
        <v>113</v>
      </c>
      <c r="AE156" s="1">
        <v>19</v>
      </c>
      <c r="AF156" s="18">
        <f t="shared" si="2"/>
        <v>41.666666666666664</v>
      </c>
    </row>
    <row r="157" spans="1:32" x14ac:dyDescent="0.35">
      <c r="A157" s="1" t="s">
        <v>120</v>
      </c>
      <c r="B157" s="1">
        <v>35</v>
      </c>
      <c r="C157" s="1">
        <v>95</v>
      </c>
      <c r="D157" s="1">
        <v>70</v>
      </c>
      <c r="E157" s="1">
        <v>32</v>
      </c>
      <c r="F157" s="1">
        <v>26</v>
      </c>
      <c r="G157" s="1">
        <v>56</v>
      </c>
      <c r="H157" s="1">
        <v>45</v>
      </c>
      <c r="I157" s="1">
        <v>78</v>
      </c>
      <c r="J157" s="1">
        <v>51</v>
      </c>
      <c r="K157" s="1">
        <v>30</v>
      </c>
      <c r="L157" s="1">
        <v>85</v>
      </c>
      <c r="M157" s="1">
        <v>17</v>
      </c>
      <c r="N157" s="1">
        <v>19</v>
      </c>
      <c r="O157" s="1">
        <v>29</v>
      </c>
      <c r="P157" s="1">
        <v>26</v>
      </c>
      <c r="Q157" s="1">
        <v>58</v>
      </c>
      <c r="R157" s="1">
        <v>56</v>
      </c>
      <c r="S157" s="1">
        <v>38</v>
      </c>
      <c r="T157" s="1">
        <v>30</v>
      </c>
      <c r="U157" s="1">
        <v>309</v>
      </c>
      <c r="V157" s="1">
        <v>32</v>
      </c>
      <c r="W157" s="1">
        <v>14</v>
      </c>
      <c r="X157" s="1">
        <v>23</v>
      </c>
      <c r="Y157" s="1">
        <v>14</v>
      </c>
      <c r="Z157" s="1">
        <v>13</v>
      </c>
      <c r="AA157" s="1">
        <v>19</v>
      </c>
      <c r="AB157" s="1">
        <v>36</v>
      </c>
      <c r="AC157" s="1">
        <v>50</v>
      </c>
      <c r="AD157" s="1">
        <v>21</v>
      </c>
      <c r="AE157" s="1">
        <v>27</v>
      </c>
      <c r="AF157" s="18">
        <f t="shared" si="2"/>
        <v>47.8</v>
      </c>
    </row>
    <row r="158" spans="1:32" x14ac:dyDescent="0.35">
      <c r="A158" s="1" t="s">
        <v>121</v>
      </c>
      <c r="B158" s="1">
        <v>121</v>
      </c>
      <c r="C158" s="1">
        <v>19</v>
      </c>
      <c r="D158" s="1">
        <v>107</v>
      </c>
      <c r="E158" s="1">
        <v>104</v>
      </c>
      <c r="F158" s="1">
        <v>17</v>
      </c>
      <c r="G158" s="1">
        <v>64</v>
      </c>
      <c r="H158" s="1">
        <v>15</v>
      </c>
      <c r="I158" s="1">
        <v>50</v>
      </c>
      <c r="J158" s="1">
        <v>41</v>
      </c>
      <c r="K158" s="1">
        <v>84</v>
      </c>
      <c r="L158" s="1">
        <v>18</v>
      </c>
      <c r="M158" s="1">
        <v>22</v>
      </c>
      <c r="N158" s="1">
        <v>23</v>
      </c>
      <c r="O158" s="1">
        <v>22</v>
      </c>
      <c r="P158" s="1">
        <v>109</v>
      </c>
      <c r="Q158" s="1">
        <v>13</v>
      </c>
      <c r="R158" s="1">
        <v>20</v>
      </c>
      <c r="S158" s="1">
        <v>50</v>
      </c>
      <c r="T158" s="1">
        <v>20</v>
      </c>
      <c r="U158" s="1">
        <v>94</v>
      </c>
      <c r="V158" s="1">
        <v>29</v>
      </c>
      <c r="W158" s="1">
        <v>53</v>
      </c>
      <c r="X158" s="1">
        <v>27</v>
      </c>
      <c r="Y158" s="1">
        <v>89</v>
      </c>
      <c r="Z158" s="1">
        <v>31</v>
      </c>
      <c r="AA158" s="1">
        <v>57</v>
      </c>
      <c r="AB158" s="1">
        <v>63</v>
      </c>
      <c r="AC158" s="1">
        <v>39</v>
      </c>
      <c r="AD158" s="1">
        <v>114</v>
      </c>
      <c r="AE158" s="1">
        <v>31</v>
      </c>
      <c r="AF158" s="18">
        <f t="shared" si="2"/>
        <v>51.533333333333331</v>
      </c>
    </row>
    <row r="159" spans="1:32" x14ac:dyDescent="0.35">
      <c r="A159" s="1" t="s">
        <v>141</v>
      </c>
      <c r="B159" s="1">
        <v>53</v>
      </c>
      <c r="C159" s="1">
        <v>64</v>
      </c>
      <c r="D159" s="1">
        <v>56</v>
      </c>
      <c r="E159" s="1">
        <v>32</v>
      </c>
      <c r="F159" s="1">
        <v>64</v>
      </c>
      <c r="G159" s="1">
        <v>131</v>
      </c>
      <c r="H159" s="1">
        <v>27</v>
      </c>
      <c r="I159" s="1">
        <v>27</v>
      </c>
      <c r="J159" s="1">
        <v>38</v>
      </c>
      <c r="K159" s="1">
        <v>66</v>
      </c>
      <c r="L159" s="1">
        <v>24</v>
      </c>
      <c r="M159" s="1">
        <v>27</v>
      </c>
      <c r="N159" s="1">
        <v>116</v>
      </c>
      <c r="O159" s="1">
        <v>58</v>
      </c>
      <c r="P159" s="1">
        <v>63</v>
      </c>
      <c r="Q159" s="1">
        <v>33</v>
      </c>
      <c r="R159" s="1">
        <v>110</v>
      </c>
      <c r="S159" s="1">
        <v>39</v>
      </c>
      <c r="T159" s="1">
        <v>65</v>
      </c>
      <c r="U159" s="1">
        <v>42</v>
      </c>
      <c r="V159" s="1">
        <v>53</v>
      </c>
      <c r="W159" s="1">
        <v>101</v>
      </c>
      <c r="X159" s="1">
        <v>22</v>
      </c>
      <c r="Y159" s="1">
        <v>114</v>
      </c>
      <c r="Z159" s="1">
        <v>21</v>
      </c>
      <c r="AA159" s="1">
        <v>82</v>
      </c>
      <c r="AB159" s="1">
        <v>17</v>
      </c>
      <c r="AC159" s="1">
        <v>37</v>
      </c>
      <c r="AD159" s="1">
        <v>74</v>
      </c>
      <c r="AE159" s="1">
        <v>52</v>
      </c>
      <c r="AF159" s="18">
        <f t="shared" si="2"/>
        <v>56.93333333333333</v>
      </c>
    </row>
    <row r="160" spans="1:32" x14ac:dyDescent="0.35">
      <c r="A160" s="1" t="s">
        <v>122</v>
      </c>
      <c r="B160" s="1">
        <v>79</v>
      </c>
      <c r="C160" s="1">
        <v>12</v>
      </c>
      <c r="D160" s="1">
        <v>21</v>
      </c>
      <c r="E160" s="1">
        <v>23</v>
      </c>
      <c r="F160" s="1">
        <v>18</v>
      </c>
      <c r="G160" s="1">
        <v>59</v>
      </c>
      <c r="H160" s="1">
        <v>32</v>
      </c>
      <c r="I160" s="1">
        <v>18</v>
      </c>
      <c r="J160" s="1">
        <v>73</v>
      </c>
      <c r="K160" s="1">
        <v>30</v>
      </c>
      <c r="L160" s="1">
        <v>43</v>
      </c>
      <c r="M160" s="1">
        <v>30</v>
      </c>
      <c r="N160" s="1">
        <v>26</v>
      </c>
      <c r="O160" s="1">
        <v>22</v>
      </c>
      <c r="P160" s="1">
        <v>13</v>
      </c>
      <c r="Q160" s="1">
        <v>13</v>
      </c>
      <c r="R160" s="1">
        <v>12</v>
      </c>
      <c r="S160" s="1">
        <v>18</v>
      </c>
      <c r="T160" s="1">
        <v>12</v>
      </c>
      <c r="U160" s="1">
        <v>19</v>
      </c>
      <c r="V160" s="1">
        <v>159</v>
      </c>
      <c r="W160" s="1">
        <v>34</v>
      </c>
      <c r="X160" s="1">
        <v>16</v>
      </c>
      <c r="Y160" s="1">
        <v>69</v>
      </c>
      <c r="Z160" s="1">
        <v>42</v>
      </c>
      <c r="AA160" s="1">
        <v>31</v>
      </c>
      <c r="AB160" s="1">
        <v>32</v>
      </c>
      <c r="AC160" s="1">
        <v>37</v>
      </c>
      <c r="AD160" s="1">
        <v>25</v>
      </c>
      <c r="AE160" s="1">
        <v>156</v>
      </c>
      <c r="AF160" s="18">
        <f t="shared" si="2"/>
        <v>39.133333333333333</v>
      </c>
    </row>
    <row r="161" spans="1:32" x14ac:dyDescent="0.35">
      <c r="A161" s="1" t="s">
        <v>165</v>
      </c>
      <c r="B161" s="1">
        <v>21</v>
      </c>
      <c r="C161" s="1">
        <v>13</v>
      </c>
      <c r="D161" s="1">
        <v>12</v>
      </c>
      <c r="E161" s="1">
        <v>40</v>
      </c>
      <c r="F161" s="1">
        <v>91</v>
      </c>
      <c r="G161" s="1">
        <v>17</v>
      </c>
      <c r="H161" s="1">
        <v>13</v>
      </c>
      <c r="I161" s="1">
        <v>18</v>
      </c>
      <c r="J161" s="1">
        <v>38</v>
      </c>
      <c r="K161" s="1">
        <v>12</v>
      </c>
      <c r="L161" s="1">
        <v>57</v>
      </c>
      <c r="M161" s="1">
        <v>13</v>
      </c>
      <c r="N161" s="1">
        <v>72</v>
      </c>
      <c r="O161" s="1">
        <v>23</v>
      </c>
      <c r="P161" s="1">
        <v>21</v>
      </c>
      <c r="Q161" s="1">
        <v>34</v>
      </c>
      <c r="R161" s="1">
        <v>14</v>
      </c>
      <c r="S161" s="1">
        <v>18</v>
      </c>
      <c r="T161" s="1">
        <v>24</v>
      </c>
      <c r="U161" s="1">
        <v>108</v>
      </c>
      <c r="V161" s="1">
        <v>12</v>
      </c>
      <c r="W161" s="1">
        <v>41</v>
      </c>
      <c r="X161" s="1">
        <v>51</v>
      </c>
      <c r="Y161" s="1">
        <v>126</v>
      </c>
      <c r="Z161" s="1">
        <v>82</v>
      </c>
      <c r="AA161" s="1">
        <v>24</v>
      </c>
      <c r="AB161" s="1">
        <v>67</v>
      </c>
      <c r="AC161" s="1">
        <v>14</v>
      </c>
      <c r="AD161" s="1">
        <v>24</v>
      </c>
      <c r="AE161" s="1">
        <v>20</v>
      </c>
      <c r="AF161" s="18">
        <f t="shared" si="2"/>
        <v>37.333333333333336</v>
      </c>
    </row>
    <row r="162" spans="1:32" x14ac:dyDescent="0.35">
      <c r="A162" s="1" t="s">
        <v>123</v>
      </c>
      <c r="B162" s="1">
        <v>23</v>
      </c>
      <c r="C162" s="1">
        <v>14</v>
      </c>
      <c r="D162" s="1">
        <v>23</v>
      </c>
      <c r="E162" s="1">
        <v>34</v>
      </c>
      <c r="F162" s="1">
        <v>59</v>
      </c>
      <c r="G162" s="1">
        <v>30</v>
      </c>
      <c r="H162" s="1">
        <v>39</v>
      </c>
      <c r="I162" s="1">
        <v>92</v>
      </c>
      <c r="J162" s="1">
        <v>32</v>
      </c>
      <c r="K162" s="1">
        <v>85</v>
      </c>
      <c r="L162" s="1">
        <v>138</v>
      </c>
      <c r="M162" s="1">
        <v>47</v>
      </c>
      <c r="N162" s="1">
        <v>24</v>
      </c>
      <c r="O162" s="1">
        <v>36</v>
      </c>
      <c r="P162" s="1">
        <v>61</v>
      </c>
      <c r="Q162" s="1">
        <v>12</v>
      </c>
      <c r="R162" s="1">
        <v>50</v>
      </c>
      <c r="S162" s="1">
        <v>22</v>
      </c>
      <c r="T162" s="1">
        <v>21</v>
      </c>
      <c r="U162" s="1">
        <v>44</v>
      </c>
      <c r="V162" s="1">
        <v>27</v>
      </c>
      <c r="W162" s="1">
        <v>14</v>
      </c>
      <c r="X162" s="1">
        <v>58</v>
      </c>
      <c r="Y162" s="1">
        <v>37</v>
      </c>
      <c r="Z162" s="1">
        <v>54</v>
      </c>
      <c r="AA162" s="1">
        <v>113</v>
      </c>
      <c r="AB162" s="1">
        <v>61</v>
      </c>
      <c r="AC162" s="1">
        <v>21</v>
      </c>
      <c r="AD162" s="1">
        <v>17</v>
      </c>
      <c r="AE162" s="1">
        <v>34</v>
      </c>
      <c r="AF162" s="18">
        <f t="shared" si="2"/>
        <v>44.06666666666667</v>
      </c>
    </row>
    <row r="163" spans="1:32" x14ac:dyDescent="0.35">
      <c r="A163" s="1" t="s">
        <v>124</v>
      </c>
      <c r="B163" s="1">
        <v>35</v>
      </c>
      <c r="C163" s="1">
        <v>40</v>
      </c>
      <c r="D163" s="1">
        <v>16</v>
      </c>
      <c r="E163" s="1">
        <v>41</v>
      </c>
      <c r="F163" s="1">
        <v>59</v>
      </c>
      <c r="G163" s="1">
        <v>17</v>
      </c>
      <c r="H163" s="1">
        <v>27</v>
      </c>
      <c r="I163" s="1">
        <v>38</v>
      </c>
      <c r="J163" s="1">
        <v>83</v>
      </c>
      <c r="K163" s="1">
        <v>52</v>
      </c>
      <c r="L163" s="1">
        <v>15</v>
      </c>
      <c r="M163" s="1">
        <v>15</v>
      </c>
      <c r="N163" s="1">
        <v>25</v>
      </c>
      <c r="O163" s="1">
        <v>41</v>
      </c>
      <c r="P163" s="1">
        <v>216</v>
      </c>
      <c r="Q163" s="1">
        <v>16</v>
      </c>
      <c r="R163" s="1">
        <v>154</v>
      </c>
      <c r="S163" s="1">
        <v>12</v>
      </c>
      <c r="T163" s="1">
        <v>23</v>
      </c>
      <c r="U163" s="1">
        <v>71</v>
      </c>
      <c r="V163" s="1">
        <v>126</v>
      </c>
      <c r="W163" s="1">
        <v>143</v>
      </c>
      <c r="X163" s="1">
        <v>149</v>
      </c>
      <c r="Y163" s="1">
        <v>23</v>
      </c>
      <c r="Z163" s="1">
        <v>27</v>
      </c>
      <c r="AA163" s="1">
        <v>15</v>
      </c>
      <c r="AB163" s="1">
        <v>14</v>
      </c>
      <c r="AC163" s="1">
        <v>31</v>
      </c>
      <c r="AD163" s="1">
        <v>19</v>
      </c>
      <c r="AE163" s="1">
        <v>86</v>
      </c>
      <c r="AF163" s="18">
        <f t="shared" si="2"/>
        <v>54.3</v>
      </c>
    </row>
    <row r="164" spans="1:32" x14ac:dyDescent="0.35">
      <c r="A164" s="1" t="s">
        <v>125</v>
      </c>
      <c r="B164" s="1">
        <v>122</v>
      </c>
      <c r="C164" s="1">
        <v>63</v>
      </c>
      <c r="D164" s="1">
        <v>31</v>
      </c>
      <c r="E164" s="1">
        <v>29</v>
      </c>
      <c r="F164" s="1">
        <v>16</v>
      </c>
      <c r="G164" s="1">
        <v>77</v>
      </c>
      <c r="H164" s="1">
        <v>12</v>
      </c>
      <c r="I164" s="1">
        <v>33</v>
      </c>
      <c r="J164" s="1">
        <v>17</v>
      </c>
      <c r="K164" s="1">
        <v>35</v>
      </c>
      <c r="L164" s="1">
        <v>12</v>
      </c>
      <c r="M164" s="1">
        <v>17</v>
      </c>
      <c r="N164" s="1">
        <v>54</v>
      </c>
      <c r="O164" s="1">
        <v>15</v>
      </c>
      <c r="P164" s="1">
        <v>28</v>
      </c>
      <c r="Q164" s="1">
        <v>24</v>
      </c>
      <c r="R164" s="1">
        <v>47</v>
      </c>
      <c r="S164" s="1">
        <v>75</v>
      </c>
      <c r="T164" s="1">
        <v>32</v>
      </c>
      <c r="U164" s="1">
        <v>25</v>
      </c>
      <c r="V164" s="1">
        <v>18</v>
      </c>
      <c r="W164" s="1">
        <v>22</v>
      </c>
      <c r="X164" s="1">
        <v>30</v>
      </c>
      <c r="Y164" s="1">
        <v>22</v>
      </c>
      <c r="Z164" s="1">
        <v>15</v>
      </c>
      <c r="AA164" s="1">
        <v>33</v>
      </c>
      <c r="AB164" s="1">
        <v>56</v>
      </c>
      <c r="AC164" s="1">
        <v>14</v>
      </c>
      <c r="AD164" s="1">
        <v>19</v>
      </c>
      <c r="AE164" s="1">
        <v>16</v>
      </c>
      <c r="AF164" s="18">
        <f t="shared" si="2"/>
        <v>33.633333333333333</v>
      </c>
    </row>
    <row r="165" spans="1:32" x14ac:dyDescent="0.35">
      <c r="A165" s="1" t="s">
        <v>126</v>
      </c>
      <c r="B165" s="1">
        <v>37</v>
      </c>
      <c r="C165" s="1">
        <v>15</v>
      </c>
      <c r="D165" s="1">
        <v>14</v>
      </c>
      <c r="E165" s="1">
        <v>21</v>
      </c>
      <c r="F165" s="1">
        <v>13</v>
      </c>
      <c r="G165" s="1">
        <v>82</v>
      </c>
      <c r="H165" s="1">
        <v>23</v>
      </c>
      <c r="I165" s="1">
        <v>46</v>
      </c>
      <c r="J165" s="1">
        <v>86</v>
      </c>
      <c r="K165" s="1">
        <v>35</v>
      </c>
      <c r="L165" s="1">
        <v>64</v>
      </c>
      <c r="M165" s="1">
        <v>62</v>
      </c>
      <c r="N165" s="1">
        <v>68</v>
      </c>
      <c r="O165" s="1">
        <v>58</v>
      </c>
      <c r="P165" s="1">
        <v>24</v>
      </c>
      <c r="Q165" s="1">
        <v>151</v>
      </c>
      <c r="R165" s="1">
        <v>36</v>
      </c>
      <c r="S165" s="1">
        <v>16</v>
      </c>
      <c r="T165" s="1">
        <v>54</v>
      </c>
      <c r="U165" s="1">
        <v>89</v>
      </c>
      <c r="V165" s="1">
        <v>22</v>
      </c>
      <c r="W165" s="1">
        <v>66</v>
      </c>
      <c r="X165" s="1">
        <v>12</v>
      </c>
      <c r="Y165" s="1">
        <v>58</v>
      </c>
      <c r="Z165" s="1">
        <v>30</v>
      </c>
      <c r="AA165" s="1">
        <v>14</v>
      </c>
      <c r="AB165" s="1">
        <v>25</v>
      </c>
      <c r="AC165" s="1">
        <v>96</v>
      </c>
      <c r="AD165" s="1">
        <v>57</v>
      </c>
      <c r="AE165" s="1">
        <v>30</v>
      </c>
      <c r="AF165" s="18">
        <f t="shared" si="2"/>
        <v>46.8</v>
      </c>
    </row>
    <row r="166" spans="1:32" x14ac:dyDescent="0.35">
      <c r="A166" s="1" t="s">
        <v>127</v>
      </c>
      <c r="B166" s="1">
        <v>15</v>
      </c>
      <c r="C166" s="1">
        <v>24</v>
      </c>
      <c r="D166" s="1">
        <v>19</v>
      </c>
      <c r="E166" s="1">
        <v>26</v>
      </c>
      <c r="F166" s="1">
        <v>25</v>
      </c>
      <c r="G166" s="1">
        <v>28</v>
      </c>
      <c r="H166" s="1">
        <v>20</v>
      </c>
      <c r="I166" s="1">
        <v>29</v>
      </c>
      <c r="J166" s="1">
        <v>30</v>
      </c>
      <c r="K166" s="1">
        <v>26</v>
      </c>
      <c r="L166" s="1">
        <v>34</v>
      </c>
      <c r="M166" s="1">
        <v>12</v>
      </c>
      <c r="N166" s="1">
        <v>18</v>
      </c>
      <c r="O166" s="1">
        <v>28</v>
      </c>
      <c r="P166" s="1">
        <v>71</v>
      </c>
      <c r="Q166" s="1">
        <v>71</v>
      </c>
      <c r="R166" s="1">
        <v>19</v>
      </c>
      <c r="S166" s="1">
        <v>55</v>
      </c>
      <c r="T166" s="1">
        <v>12</v>
      </c>
      <c r="U166" s="1">
        <v>44</v>
      </c>
      <c r="V166" s="1">
        <v>21</v>
      </c>
      <c r="W166" s="1">
        <v>50</v>
      </c>
      <c r="X166" s="1">
        <v>25</v>
      </c>
      <c r="Y166" s="1">
        <v>80</v>
      </c>
      <c r="Z166" s="1">
        <v>19</v>
      </c>
      <c r="AA166" s="1">
        <v>35</v>
      </c>
      <c r="AB166" s="1">
        <v>73</v>
      </c>
      <c r="AC166" s="1">
        <v>176</v>
      </c>
      <c r="AD166" s="1">
        <v>12</v>
      </c>
      <c r="AE166" s="1">
        <v>30</v>
      </c>
      <c r="AF166" s="18">
        <f t="shared" si="2"/>
        <v>37.56666666666667</v>
      </c>
    </row>
    <row r="167" spans="1:32" x14ac:dyDescent="0.35">
      <c r="A167" s="1" t="s">
        <v>128</v>
      </c>
      <c r="B167" s="1">
        <v>24</v>
      </c>
      <c r="C167" s="1">
        <v>34</v>
      </c>
      <c r="D167" s="1">
        <v>46</v>
      </c>
      <c r="E167" s="1">
        <v>43</v>
      </c>
      <c r="F167" s="1">
        <v>52</v>
      </c>
      <c r="G167" s="1">
        <v>60</v>
      </c>
      <c r="H167" s="1">
        <v>27</v>
      </c>
      <c r="I167" s="1">
        <v>67</v>
      </c>
      <c r="J167" s="1">
        <v>54</v>
      </c>
      <c r="K167" s="1">
        <v>161</v>
      </c>
      <c r="L167" s="1">
        <v>30</v>
      </c>
      <c r="M167" s="1">
        <v>39</v>
      </c>
      <c r="N167" s="1">
        <v>26</v>
      </c>
      <c r="O167" s="1">
        <v>62</v>
      </c>
      <c r="P167" s="1">
        <v>16</v>
      </c>
      <c r="Q167" s="1">
        <v>14</v>
      </c>
      <c r="R167" s="1">
        <v>29</v>
      </c>
      <c r="S167" s="1">
        <v>35</v>
      </c>
      <c r="T167" s="1">
        <v>46</v>
      </c>
      <c r="U167" s="1">
        <v>24</v>
      </c>
      <c r="V167" s="1">
        <v>20</v>
      </c>
      <c r="W167" s="1">
        <v>49</v>
      </c>
      <c r="X167" s="1">
        <v>43</v>
      </c>
      <c r="Y167" s="1">
        <v>63</v>
      </c>
      <c r="Z167" s="1">
        <v>17</v>
      </c>
      <c r="AA167" s="1">
        <v>20</v>
      </c>
      <c r="AB167" s="1">
        <v>94</v>
      </c>
      <c r="AC167" s="1">
        <v>14</v>
      </c>
      <c r="AD167" s="1">
        <v>40</v>
      </c>
      <c r="AE167" s="1">
        <v>18</v>
      </c>
      <c r="AF167" s="18">
        <f t="shared" si="2"/>
        <v>42.233333333333334</v>
      </c>
    </row>
    <row r="168" spans="1:32" x14ac:dyDescent="0.35">
      <c r="A168" s="1" t="s">
        <v>156</v>
      </c>
      <c r="B168" s="1">
        <v>96</v>
      </c>
      <c r="C168" s="1">
        <v>25</v>
      </c>
      <c r="D168" s="1">
        <v>12</v>
      </c>
      <c r="E168" s="1">
        <v>46</v>
      </c>
      <c r="F168" s="1">
        <v>42</v>
      </c>
      <c r="G168" s="1">
        <v>13</v>
      </c>
      <c r="H168" s="1">
        <v>31</v>
      </c>
      <c r="I168" s="1">
        <v>48</v>
      </c>
      <c r="J168" s="1">
        <v>53</v>
      </c>
      <c r="K168" s="1">
        <v>80</v>
      </c>
      <c r="L168" s="1">
        <v>83</v>
      </c>
      <c r="M168" s="1">
        <v>50</v>
      </c>
      <c r="N168" s="1">
        <v>88</v>
      </c>
      <c r="O168" s="1">
        <v>71</v>
      </c>
      <c r="P168" s="1">
        <v>22</v>
      </c>
      <c r="Q168" s="1">
        <v>42</v>
      </c>
      <c r="R168" s="1">
        <v>38</v>
      </c>
      <c r="S168" s="1">
        <v>75</v>
      </c>
      <c r="T168" s="1">
        <v>110</v>
      </c>
      <c r="U168" s="1">
        <v>44</v>
      </c>
      <c r="V168" s="1">
        <v>47</v>
      </c>
      <c r="W168" s="1">
        <v>23</v>
      </c>
      <c r="X168" s="1">
        <v>18</v>
      </c>
      <c r="Y168" s="1">
        <v>37</v>
      </c>
      <c r="Z168" s="1">
        <v>45</v>
      </c>
      <c r="AA168" s="1">
        <v>39</v>
      </c>
      <c r="AB168" s="1">
        <v>65</v>
      </c>
      <c r="AC168" s="1">
        <v>28</v>
      </c>
      <c r="AD168" s="1">
        <v>20</v>
      </c>
      <c r="AE168" s="1">
        <v>38</v>
      </c>
      <c r="AF168" s="18">
        <f t="shared" si="2"/>
        <v>47.633333333333333</v>
      </c>
    </row>
    <row r="169" spans="1:32" x14ac:dyDescent="0.35">
      <c r="A169" s="1" t="s">
        <v>129</v>
      </c>
      <c r="B169" s="1">
        <v>68</v>
      </c>
      <c r="C169" s="1">
        <v>36</v>
      </c>
      <c r="D169" s="1">
        <v>22</v>
      </c>
      <c r="E169" s="1">
        <v>20</v>
      </c>
      <c r="F169" s="1">
        <v>13</v>
      </c>
      <c r="G169" s="1">
        <v>195</v>
      </c>
      <c r="H169" s="1">
        <v>55</v>
      </c>
      <c r="I169" s="1">
        <v>18</v>
      </c>
      <c r="J169" s="1">
        <v>148</v>
      </c>
      <c r="K169" s="1">
        <v>135</v>
      </c>
      <c r="L169" s="1">
        <v>30</v>
      </c>
      <c r="M169" s="1">
        <v>141</v>
      </c>
      <c r="N169" s="1">
        <v>12</v>
      </c>
      <c r="O169" s="1">
        <v>17</v>
      </c>
      <c r="P169" s="1">
        <v>20</v>
      </c>
      <c r="Q169" s="1">
        <v>86</v>
      </c>
      <c r="R169" s="1">
        <v>89</v>
      </c>
      <c r="S169" s="1">
        <v>17</v>
      </c>
      <c r="T169" s="1">
        <v>23</v>
      </c>
      <c r="U169" s="1">
        <v>53</v>
      </c>
      <c r="V169" s="1">
        <v>38</v>
      </c>
      <c r="W169" s="1">
        <v>38</v>
      </c>
      <c r="X169" s="1">
        <v>37</v>
      </c>
      <c r="Y169" s="1">
        <v>53</v>
      </c>
      <c r="Z169" s="1">
        <v>23</v>
      </c>
      <c r="AA169" s="1">
        <v>32</v>
      </c>
      <c r="AB169" s="1">
        <v>30</v>
      </c>
      <c r="AC169" s="1">
        <v>30</v>
      </c>
      <c r="AD169" s="1">
        <v>36</v>
      </c>
      <c r="AE169" s="1">
        <v>38</v>
      </c>
      <c r="AF169" s="18">
        <f t="shared" si="2"/>
        <v>51.766666666666666</v>
      </c>
    </row>
    <row r="170" spans="1:32" x14ac:dyDescent="0.35">
      <c r="A170" s="1" t="s">
        <v>130</v>
      </c>
      <c r="B170" s="1">
        <v>22</v>
      </c>
      <c r="C170" s="1">
        <v>56</v>
      </c>
      <c r="D170" s="1">
        <v>17</v>
      </c>
      <c r="E170" s="1">
        <v>16</v>
      </c>
      <c r="F170" s="1">
        <v>108</v>
      </c>
      <c r="G170" s="1">
        <v>33</v>
      </c>
      <c r="H170" s="1">
        <v>32</v>
      </c>
      <c r="I170" s="1">
        <v>67</v>
      </c>
      <c r="J170" s="1">
        <v>45</v>
      </c>
      <c r="K170" s="1">
        <v>138</v>
      </c>
      <c r="L170" s="1">
        <v>22</v>
      </c>
      <c r="M170" s="1">
        <v>63</v>
      </c>
      <c r="N170" s="1">
        <v>18</v>
      </c>
      <c r="O170" s="1">
        <v>31</v>
      </c>
      <c r="P170" s="1">
        <v>37</v>
      </c>
      <c r="Q170" s="1">
        <v>25</v>
      </c>
      <c r="R170" s="1">
        <v>110</v>
      </c>
      <c r="S170" s="1">
        <v>125</v>
      </c>
      <c r="T170" s="1">
        <v>24</v>
      </c>
      <c r="U170" s="1">
        <v>44</v>
      </c>
      <c r="V170" s="1">
        <v>12</v>
      </c>
      <c r="W170" s="1">
        <v>45</v>
      </c>
      <c r="X170" s="1">
        <v>13</v>
      </c>
      <c r="Y170" s="1">
        <v>24</v>
      </c>
      <c r="Z170" s="1">
        <v>81</v>
      </c>
      <c r="AA170" s="1">
        <v>12</v>
      </c>
      <c r="AB170" s="1">
        <v>105</v>
      </c>
      <c r="AC170" s="1">
        <v>60</v>
      </c>
      <c r="AD170" s="1">
        <v>117</v>
      </c>
      <c r="AE170" s="1">
        <v>26</v>
      </c>
      <c r="AF170" s="18">
        <f t="shared" si="2"/>
        <v>50.93333333333333</v>
      </c>
    </row>
    <row r="171" spans="1:32" x14ac:dyDescent="0.35">
      <c r="A171" s="1" t="s">
        <v>192</v>
      </c>
      <c r="B171" s="1">
        <v>45</v>
      </c>
      <c r="C171" s="1">
        <v>90</v>
      </c>
      <c r="D171" s="1">
        <v>12</v>
      </c>
      <c r="E171" s="1">
        <v>40</v>
      </c>
      <c r="F171" s="1">
        <v>16</v>
      </c>
      <c r="G171" s="1">
        <v>27</v>
      </c>
      <c r="H171" s="1">
        <v>81</v>
      </c>
      <c r="I171" s="1">
        <v>31</v>
      </c>
      <c r="J171" s="1">
        <v>14</v>
      </c>
      <c r="K171" s="1">
        <v>15</v>
      </c>
      <c r="L171" s="1">
        <v>31</v>
      </c>
      <c r="M171" s="1">
        <v>78</v>
      </c>
      <c r="N171" s="1">
        <v>15</v>
      </c>
      <c r="O171" s="1">
        <v>24</v>
      </c>
      <c r="P171" s="1">
        <v>19</v>
      </c>
      <c r="Q171" s="1">
        <v>13</v>
      </c>
      <c r="R171" s="1">
        <v>22</v>
      </c>
      <c r="S171" s="1">
        <v>109</v>
      </c>
      <c r="T171" s="1">
        <v>43</v>
      </c>
      <c r="U171" s="1">
        <v>29</v>
      </c>
      <c r="V171" s="1">
        <v>248</v>
      </c>
      <c r="W171" s="1">
        <v>57</v>
      </c>
      <c r="X171" s="1">
        <v>162</v>
      </c>
      <c r="Y171" s="1">
        <v>55</v>
      </c>
      <c r="Z171" s="1">
        <v>19</v>
      </c>
      <c r="AA171" s="1">
        <v>49</v>
      </c>
      <c r="AB171" s="1">
        <v>12</v>
      </c>
      <c r="AC171" s="1">
        <v>28</v>
      </c>
      <c r="AD171" s="1">
        <v>133</v>
      </c>
      <c r="AE171" s="1">
        <v>48</v>
      </c>
      <c r="AF171" s="18">
        <f t="shared" si="2"/>
        <v>52.166666666666664</v>
      </c>
    </row>
    <row r="172" spans="1:32" x14ac:dyDescent="0.35">
      <c r="A172" s="1" t="s">
        <v>131</v>
      </c>
      <c r="B172" s="1">
        <v>13</v>
      </c>
      <c r="C172" s="1">
        <v>103</v>
      </c>
      <c r="D172" s="1">
        <v>78</v>
      </c>
      <c r="E172" s="1">
        <v>29</v>
      </c>
      <c r="F172" s="1">
        <v>22</v>
      </c>
      <c r="G172" s="1">
        <v>16</v>
      </c>
      <c r="H172" s="1">
        <v>13</v>
      </c>
      <c r="I172" s="1">
        <v>54</v>
      </c>
      <c r="J172" s="1">
        <v>24</v>
      </c>
      <c r="K172" s="1">
        <v>57</v>
      </c>
      <c r="L172" s="1">
        <v>63</v>
      </c>
      <c r="M172" s="1">
        <v>23</v>
      </c>
      <c r="N172" s="1">
        <v>15</v>
      </c>
      <c r="O172" s="1">
        <v>33</v>
      </c>
      <c r="P172" s="1">
        <v>17</v>
      </c>
      <c r="Q172" s="1">
        <v>19</v>
      </c>
      <c r="R172" s="1">
        <v>13</v>
      </c>
      <c r="S172" s="1">
        <v>35</v>
      </c>
      <c r="T172" s="1">
        <v>40</v>
      </c>
      <c r="U172" s="1">
        <v>60</v>
      </c>
      <c r="V172" s="1">
        <v>59</v>
      </c>
      <c r="W172" s="1">
        <v>137</v>
      </c>
      <c r="X172" s="1">
        <v>14</v>
      </c>
      <c r="Y172" s="1">
        <v>89</v>
      </c>
      <c r="Z172" s="1">
        <v>69</v>
      </c>
      <c r="AA172" s="1">
        <v>44</v>
      </c>
      <c r="AB172" s="1">
        <v>93</v>
      </c>
      <c r="AC172" s="1">
        <v>12</v>
      </c>
      <c r="AD172" s="1">
        <v>13</v>
      </c>
      <c r="AE172" s="1">
        <v>33</v>
      </c>
      <c r="AF172" s="18">
        <f t="shared" si="2"/>
        <v>43</v>
      </c>
    </row>
    <row r="173" spans="1:32" x14ac:dyDescent="0.35">
      <c r="A173" s="1" t="s">
        <v>132</v>
      </c>
      <c r="B173" s="1">
        <v>38</v>
      </c>
      <c r="C173" s="1">
        <v>48</v>
      </c>
      <c r="D173" s="1">
        <v>55</v>
      </c>
      <c r="E173" s="1">
        <v>55</v>
      </c>
      <c r="F173" s="1">
        <v>54</v>
      </c>
      <c r="G173" s="1">
        <v>17</v>
      </c>
      <c r="H173" s="1">
        <v>24</v>
      </c>
      <c r="I173" s="1">
        <v>106</v>
      </c>
      <c r="J173" s="1">
        <v>41</v>
      </c>
      <c r="K173" s="1">
        <v>16</v>
      </c>
      <c r="L173" s="1">
        <v>23</v>
      </c>
      <c r="M173" s="1">
        <v>19</v>
      </c>
      <c r="N173" s="1">
        <v>137</v>
      </c>
      <c r="O173" s="1">
        <v>32</v>
      </c>
      <c r="P173" s="1">
        <v>32</v>
      </c>
      <c r="Q173" s="1">
        <v>39</v>
      </c>
      <c r="R173" s="1">
        <v>12</v>
      </c>
      <c r="S173" s="1">
        <v>17</v>
      </c>
      <c r="T173" s="1">
        <v>75</v>
      </c>
      <c r="U173" s="1">
        <v>78</v>
      </c>
      <c r="V173" s="1">
        <v>26</v>
      </c>
      <c r="W173" s="1">
        <v>34</v>
      </c>
      <c r="X173" s="1">
        <v>17</v>
      </c>
      <c r="Y173" s="1">
        <v>21</v>
      </c>
      <c r="Z173" s="1">
        <v>29</v>
      </c>
      <c r="AA173" s="1">
        <v>40</v>
      </c>
      <c r="AB173" s="1">
        <v>29</v>
      </c>
      <c r="AC173" s="1">
        <v>51</v>
      </c>
      <c r="AD173" s="1">
        <v>14</v>
      </c>
      <c r="AE173" s="1">
        <v>156</v>
      </c>
      <c r="AF173" s="18">
        <f t="shared" si="2"/>
        <v>44.5</v>
      </c>
    </row>
    <row r="174" spans="1:32" x14ac:dyDescent="0.35">
      <c r="A174" s="1" t="s">
        <v>133</v>
      </c>
      <c r="B174" s="1">
        <v>82</v>
      </c>
      <c r="C174" s="1">
        <v>14</v>
      </c>
      <c r="D174" s="1">
        <v>72</v>
      </c>
      <c r="E174" s="1">
        <v>13</v>
      </c>
      <c r="F174" s="1">
        <v>37</v>
      </c>
      <c r="G174" s="1">
        <v>79</v>
      </c>
      <c r="H174" s="1">
        <v>20</v>
      </c>
      <c r="I174" s="1">
        <v>15</v>
      </c>
      <c r="J174" s="1">
        <v>28</v>
      </c>
      <c r="K174" s="1">
        <v>23</v>
      </c>
      <c r="L174" s="1">
        <v>36</v>
      </c>
      <c r="M174" s="1">
        <v>26</v>
      </c>
      <c r="N174" s="1">
        <v>77</v>
      </c>
      <c r="O174" s="1">
        <v>18</v>
      </c>
      <c r="P174" s="1">
        <v>16</v>
      </c>
      <c r="Q174" s="1">
        <v>70</v>
      </c>
      <c r="R174" s="1">
        <v>28</v>
      </c>
      <c r="S174" s="1">
        <v>32</v>
      </c>
      <c r="T174" s="1">
        <v>15</v>
      </c>
      <c r="U174" s="1">
        <v>79</v>
      </c>
      <c r="V174" s="1">
        <v>34</v>
      </c>
      <c r="W174" s="1">
        <v>24</v>
      </c>
      <c r="X174" s="1">
        <v>32</v>
      </c>
      <c r="Y174" s="1">
        <v>32</v>
      </c>
      <c r="Z174" s="1">
        <v>88</v>
      </c>
      <c r="AA174" s="1">
        <v>16</v>
      </c>
      <c r="AB174" s="1">
        <v>67</v>
      </c>
      <c r="AC174" s="1">
        <v>14</v>
      </c>
      <c r="AD174" s="1">
        <v>14</v>
      </c>
      <c r="AE174" s="1">
        <v>20</v>
      </c>
      <c r="AF174" s="18">
        <f t="shared" si="2"/>
        <v>37.366666666666667</v>
      </c>
    </row>
    <row r="175" spans="1:32" x14ac:dyDescent="0.35">
      <c r="A175" s="1" t="s">
        <v>134</v>
      </c>
      <c r="B175" s="1">
        <v>74</v>
      </c>
      <c r="C175" s="1">
        <v>84</v>
      </c>
      <c r="D175" s="1">
        <v>31</v>
      </c>
      <c r="E175" s="1">
        <v>31</v>
      </c>
      <c r="F175" s="1">
        <v>30</v>
      </c>
      <c r="G175" s="1">
        <v>26</v>
      </c>
      <c r="H175" s="1">
        <v>12</v>
      </c>
      <c r="I175" s="1">
        <v>62</v>
      </c>
      <c r="J175" s="1">
        <v>91</v>
      </c>
      <c r="K175" s="1">
        <v>42</v>
      </c>
      <c r="L175" s="1">
        <v>87</v>
      </c>
      <c r="M175" s="1">
        <v>13</v>
      </c>
      <c r="N175" s="1">
        <v>13</v>
      </c>
      <c r="O175" s="1">
        <v>99</v>
      </c>
      <c r="P175" s="1">
        <v>121</v>
      </c>
      <c r="Q175" s="1">
        <v>25</v>
      </c>
      <c r="R175" s="1">
        <v>13</v>
      </c>
      <c r="S175" s="1">
        <v>17</v>
      </c>
      <c r="T175" s="1">
        <v>38</v>
      </c>
      <c r="U175" s="1">
        <v>28</v>
      </c>
      <c r="V175" s="1">
        <v>53</v>
      </c>
      <c r="W175" s="1">
        <v>46</v>
      </c>
      <c r="X175" s="1">
        <v>92</v>
      </c>
      <c r="Y175" s="1">
        <v>38</v>
      </c>
      <c r="Z175" s="1">
        <v>56</v>
      </c>
      <c r="AA175" s="1">
        <v>47</v>
      </c>
      <c r="AB175" s="1">
        <v>51</v>
      </c>
      <c r="AC175" s="1">
        <v>36</v>
      </c>
      <c r="AD175" s="1">
        <v>29</v>
      </c>
      <c r="AE175" s="1">
        <v>14</v>
      </c>
      <c r="AF175" s="18">
        <f t="shared" si="2"/>
        <v>46.633333333333333</v>
      </c>
    </row>
    <row r="176" spans="1:32" x14ac:dyDescent="0.35">
      <c r="A176" s="1" t="s">
        <v>135</v>
      </c>
      <c r="B176" s="1">
        <v>12</v>
      </c>
      <c r="C176" s="1">
        <v>26</v>
      </c>
      <c r="D176" s="1">
        <v>13</v>
      </c>
      <c r="E176" s="1">
        <v>13</v>
      </c>
      <c r="F176" s="1">
        <v>53</v>
      </c>
      <c r="G176" s="1">
        <v>22</v>
      </c>
      <c r="H176" s="1">
        <v>13</v>
      </c>
      <c r="I176" s="1">
        <v>15</v>
      </c>
      <c r="J176" s="1">
        <v>42</v>
      </c>
      <c r="K176" s="1">
        <v>19</v>
      </c>
      <c r="L176" s="1">
        <v>50</v>
      </c>
      <c r="M176" s="1">
        <v>44</v>
      </c>
      <c r="N176" s="1">
        <v>33</v>
      </c>
      <c r="O176" s="1">
        <v>24</v>
      </c>
      <c r="P176" s="1">
        <v>99</v>
      </c>
      <c r="Q176" s="1">
        <v>56</v>
      </c>
      <c r="R176" s="1">
        <v>34</v>
      </c>
      <c r="S176" s="1">
        <v>53</v>
      </c>
      <c r="T176" s="1">
        <v>62</v>
      </c>
      <c r="U176" s="1">
        <v>67</v>
      </c>
      <c r="V176" s="1">
        <v>105</v>
      </c>
      <c r="W176" s="1">
        <v>15</v>
      </c>
      <c r="X176" s="1">
        <v>85</v>
      </c>
      <c r="Y176" s="1">
        <v>36</v>
      </c>
      <c r="Z176" s="1">
        <v>27</v>
      </c>
      <c r="AA176" s="1">
        <v>24</v>
      </c>
      <c r="AB176" s="1">
        <v>15</v>
      </c>
      <c r="AC176" s="1">
        <v>22</v>
      </c>
      <c r="AD176" s="1">
        <v>64</v>
      </c>
      <c r="AE176" s="1">
        <v>54</v>
      </c>
      <c r="AF176" s="18">
        <f t="shared" si="2"/>
        <v>39.9</v>
      </c>
    </row>
    <row r="177" spans="1:32" x14ac:dyDescent="0.35">
      <c r="A177" s="1" t="s">
        <v>162</v>
      </c>
      <c r="B177" s="1">
        <v>37</v>
      </c>
      <c r="C177" s="1">
        <v>25</v>
      </c>
      <c r="D177" s="1">
        <v>36</v>
      </c>
      <c r="E177" s="1">
        <v>86</v>
      </c>
      <c r="F177" s="1">
        <v>15</v>
      </c>
      <c r="G177" s="1">
        <v>223</v>
      </c>
      <c r="H177" s="1">
        <v>34</v>
      </c>
      <c r="I177" s="1">
        <v>46</v>
      </c>
      <c r="J177" s="1">
        <v>21</v>
      </c>
      <c r="K177" s="1">
        <v>285</v>
      </c>
      <c r="L177" s="1">
        <v>80</v>
      </c>
      <c r="M177" s="1">
        <v>26</v>
      </c>
      <c r="N177" s="1">
        <v>28</v>
      </c>
      <c r="O177" s="1">
        <v>34</v>
      </c>
      <c r="P177" s="1">
        <v>23</v>
      </c>
      <c r="Q177" s="1">
        <v>58</v>
      </c>
      <c r="R177" s="1">
        <v>49</v>
      </c>
      <c r="S177" s="1">
        <v>12</v>
      </c>
      <c r="T177" s="1">
        <v>19</v>
      </c>
      <c r="U177" s="1">
        <v>98</v>
      </c>
      <c r="V177" s="1">
        <v>20</v>
      </c>
      <c r="W177" s="1">
        <v>26</v>
      </c>
      <c r="X177" s="1">
        <v>91</v>
      </c>
      <c r="Y177" s="1">
        <v>30</v>
      </c>
      <c r="Z177" s="1">
        <v>17</v>
      </c>
      <c r="AA177" s="1">
        <v>31</v>
      </c>
      <c r="AB177" s="1">
        <v>35</v>
      </c>
      <c r="AC177" s="1">
        <v>127</v>
      </c>
      <c r="AD177" s="1">
        <v>20</v>
      </c>
      <c r="AE177" s="1">
        <v>15</v>
      </c>
      <c r="AF177" s="18">
        <f t="shared" si="2"/>
        <v>54.9</v>
      </c>
    </row>
    <row r="178" spans="1:32" x14ac:dyDescent="0.35">
      <c r="A178" s="1" t="s">
        <v>136</v>
      </c>
      <c r="B178" s="1">
        <v>35</v>
      </c>
      <c r="C178" s="1">
        <v>111</v>
      </c>
      <c r="D178" s="1">
        <v>64</v>
      </c>
      <c r="E178" s="1">
        <v>20</v>
      </c>
      <c r="F178" s="1">
        <v>38</v>
      </c>
      <c r="G178" s="1">
        <v>35</v>
      </c>
      <c r="H178" s="1">
        <v>29</v>
      </c>
      <c r="I178" s="1">
        <v>84</v>
      </c>
      <c r="J178" s="1">
        <v>56</v>
      </c>
      <c r="K178" s="1">
        <v>19</v>
      </c>
      <c r="L178" s="1">
        <v>32</v>
      </c>
      <c r="M178" s="1">
        <v>103</v>
      </c>
      <c r="N178" s="1">
        <v>30</v>
      </c>
      <c r="O178" s="1">
        <v>52</v>
      </c>
      <c r="P178" s="1">
        <v>23</v>
      </c>
      <c r="Q178" s="1">
        <v>35</v>
      </c>
      <c r="R178" s="1">
        <v>24</v>
      </c>
      <c r="S178" s="1">
        <v>14</v>
      </c>
      <c r="T178" s="1">
        <v>31</v>
      </c>
      <c r="U178" s="1">
        <v>23</v>
      </c>
      <c r="V178" s="1">
        <v>16</v>
      </c>
      <c r="W178" s="1">
        <v>39</v>
      </c>
      <c r="X178" s="1">
        <v>37</v>
      </c>
      <c r="Y178" s="1">
        <v>46</v>
      </c>
      <c r="Z178" s="1">
        <v>66</v>
      </c>
      <c r="AA178" s="1">
        <v>20</v>
      </c>
      <c r="AB178" s="1">
        <v>158</v>
      </c>
      <c r="AC178" s="1">
        <v>22</v>
      </c>
      <c r="AD178" s="1">
        <v>29</v>
      </c>
      <c r="AE178" s="1">
        <v>16</v>
      </c>
      <c r="AF178" s="18">
        <f t="shared" si="2"/>
        <v>43.56666666666667</v>
      </c>
    </row>
    <row r="179" spans="1:32" x14ac:dyDescent="0.35">
      <c r="A179" s="1" t="s">
        <v>142</v>
      </c>
      <c r="B179" s="1">
        <v>22</v>
      </c>
      <c r="C179" s="1">
        <v>36</v>
      </c>
      <c r="D179" s="1">
        <v>39</v>
      </c>
      <c r="E179" s="1">
        <v>41</v>
      </c>
      <c r="F179" s="1">
        <v>57</v>
      </c>
      <c r="G179" s="1">
        <v>12</v>
      </c>
      <c r="H179" s="1">
        <v>77</v>
      </c>
      <c r="I179" s="1">
        <v>29</v>
      </c>
      <c r="J179" s="1">
        <v>35</v>
      </c>
      <c r="K179" s="1">
        <v>40</v>
      </c>
      <c r="L179" s="1">
        <v>81</v>
      </c>
      <c r="M179" s="1">
        <v>18</v>
      </c>
      <c r="N179" s="1">
        <v>28</v>
      </c>
      <c r="O179" s="1">
        <v>97</v>
      </c>
      <c r="P179" s="1">
        <v>63</v>
      </c>
      <c r="Q179" s="1">
        <v>13</v>
      </c>
      <c r="R179" s="1">
        <v>212</v>
      </c>
      <c r="S179" s="1">
        <v>14</v>
      </c>
      <c r="T179" s="1">
        <v>39</v>
      </c>
      <c r="U179" s="1">
        <v>30</v>
      </c>
      <c r="V179" s="1">
        <v>49</v>
      </c>
      <c r="W179" s="1">
        <v>14</v>
      </c>
      <c r="X179" s="1">
        <v>44</v>
      </c>
      <c r="Y179" s="1">
        <v>65</v>
      </c>
      <c r="Z179" s="1">
        <v>82</v>
      </c>
      <c r="AA179" s="1">
        <v>13</v>
      </c>
      <c r="AB179" s="1">
        <v>64</v>
      </c>
      <c r="AC179" s="1">
        <v>25</v>
      </c>
      <c r="AD179" s="1">
        <v>22</v>
      </c>
      <c r="AE179" s="1">
        <v>59</v>
      </c>
      <c r="AF179" s="18">
        <f t="shared" si="2"/>
        <v>47.333333333333336</v>
      </c>
    </row>
    <row r="180" spans="1:32" x14ac:dyDescent="0.35">
      <c r="A180" s="1" t="s">
        <v>137</v>
      </c>
      <c r="B180" s="1">
        <v>47</v>
      </c>
      <c r="C180" s="1">
        <v>108</v>
      </c>
      <c r="D180" s="1">
        <v>38</v>
      </c>
      <c r="E180" s="1">
        <v>213</v>
      </c>
      <c r="F180" s="1">
        <v>16</v>
      </c>
      <c r="G180" s="1">
        <v>22</v>
      </c>
      <c r="H180" s="1">
        <v>34</v>
      </c>
      <c r="I180" s="1">
        <v>57</v>
      </c>
      <c r="J180" s="1">
        <v>26</v>
      </c>
      <c r="K180" s="1">
        <v>70</v>
      </c>
      <c r="L180" s="1">
        <v>55</v>
      </c>
      <c r="M180" s="1">
        <v>37</v>
      </c>
      <c r="N180" s="1">
        <v>50</v>
      </c>
      <c r="O180" s="1">
        <v>111</v>
      </c>
      <c r="P180" s="1">
        <v>87</v>
      </c>
      <c r="Q180" s="1">
        <v>20</v>
      </c>
      <c r="R180" s="1">
        <v>17</v>
      </c>
      <c r="S180" s="1">
        <v>32</v>
      </c>
      <c r="T180" s="1">
        <v>39</v>
      </c>
      <c r="U180" s="1">
        <v>37</v>
      </c>
      <c r="V180" s="1">
        <v>15</v>
      </c>
      <c r="W180" s="1">
        <v>18</v>
      </c>
      <c r="X180" s="1">
        <v>98</v>
      </c>
      <c r="Y180" s="1">
        <v>22</v>
      </c>
      <c r="Z180" s="1">
        <v>26</v>
      </c>
      <c r="AA180" s="1">
        <v>22</v>
      </c>
      <c r="AB180" s="1">
        <v>22</v>
      </c>
      <c r="AC180" s="1">
        <v>36</v>
      </c>
      <c r="AD180" s="1">
        <v>97</v>
      </c>
      <c r="AE180" s="1">
        <v>112</v>
      </c>
      <c r="AF180" s="18">
        <f t="shared" si="2"/>
        <v>52.8</v>
      </c>
    </row>
    <row r="181" spans="1:32" x14ac:dyDescent="0.35">
      <c r="A181" s="1" t="s">
        <v>138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8">
        <f t="shared" si="2"/>
        <v>0</v>
      </c>
    </row>
    <row r="182" spans="1:32" x14ac:dyDescent="0.35">
      <c r="A182" s="1" t="s">
        <v>139</v>
      </c>
      <c r="B182" s="1">
        <v>32</v>
      </c>
      <c r="C182" s="1">
        <v>61</v>
      </c>
      <c r="D182" s="1">
        <v>17</v>
      </c>
      <c r="E182" s="1">
        <v>110</v>
      </c>
      <c r="F182" s="1">
        <v>62</v>
      </c>
      <c r="G182" s="1">
        <v>20</v>
      </c>
      <c r="H182" s="1">
        <v>179</v>
      </c>
      <c r="I182" s="1">
        <v>12</v>
      </c>
      <c r="J182" s="1">
        <v>56</v>
      </c>
      <c r="K182" s="1">
        <v>42</v>
      </c>
      <c r="L182" s="1">
        <v>26</v>
      </c>
      <c r="M182" s="1">
        <v>73</v>
      </c>
      <c r="N182" s="1">
        <v>14</v>
      </c>
      <c r="O182" s="1">
        <v>83</v>
      </c>
      <c r="P182" s="1">
        <v>17</v>
      </c>
      <c r="Q182" s="1">
        <v>17</v>
      </c>
      <c r="R182" s="1">
        <v>34</v>
      </c>
      <c r="S182" s="1">
        <v>12</v>
      </c>
      <c r="T182" s="1">
        <v>164</v>
      </c>
      <c r="U182" s="1">
        <v>127</v>
      </c>
      <c r="V182" s="1">
        <v>40</v>
      </c>
      <c r="W182" s="1">
        <v>13</v>
      </c>
      <c r="X182" s="1">
        <v>24</v>
      </c>
      <c r="Y182" s="1">
        <v>15</v>
      </c>
      <c r="Z182" s="1">
        <v>56</v>
      </c>
      <c r="AA182" s="1">
        <v>85</v>
      </c>
      <c r="AB182" s="1">
        <v>67</v>
      </c>
      <c r="AC182" s="1">
        <v>35</v>
      </c>
      <c r="AD182" s="1">
        <v>121</v>
      </c>
      <c r="AE182" s="1">
        <v>20</v>
      </c>
      <c r="AF182" s="18">
        <f t="shared" si="2"/>
        <v>54.466666666666669</v>
      </c>
    </row>
    <row r="183" spans="1:32" x14ac:dyDescent="0.35">
      <c r="A183" s="1" t="s">
        <v>140</v>
      </c>
      <c r="B183" s="1">
        <v>13</v>
      </c>
      <c r="C183" s="1">
        <v>62</v>
      </c>
      <c r="D183" s="1">
        <v>126</v>
      </c>
      <c r="E183" s="1">
        <v>99</v>
      </c>
      <c r="F183" s="1">
        <v>45</v>
      </c>
      <c r="G183" s="1">
        <v>61</v>
      </c>
      <c r="H183" s="1">
        <v>102</v>
      </c>
      <c r="I183" s="1">
        <v>32</v>
      </c>
      <c r="J183" s="1">
        <v>15</v>
      </c>
      <c r="K183" s="1">
        <v>19</v>
      </c>
      <c r="L183" s="1">
        <v>18</v>
      </c>
      <c r="M183" s="1">
        <v>101</v>
      </c>
      <c r="N183" s="1">
        <v>49</v>
      </c>
      <c r="O183" s="1">
        <v>79</v>
      </c>
      <c r="P183" s="1">
        <v>16</v>
      </c>
      <c r="Q183" s="1">
        <v>15</v>
      </c>
      <c r="R183" s="1">
        <v>35</v>
      </c>
      <c r="S183" s="1">
        <v>34</v>
      </c>
      <c r="T183" s="1">
        <v>39</v>
      </c>
      <c r="U183" s="1">
        <v>83</v>
      </c>
      <c r="V183" s="1">
        <v>47</v>
      </c>
      <c r="W183" s="1">
        <v>165</v>
      </c>
      <c r="X183" s="1">
        <v>42</v>
      </c>
      <c r="Y183" s="1">
        <v>30</v>
      </c>
      <c r="Z183" s="1">
        <v>39</v>
      </c>
      <c r="AA183" s="1">
        <v>100</v>
      </c>
      <c r="AB183" s="1">
        <v>161</v>
      </c>
      <c r="AC183" s="1">
        <v>29</v>
      </c>
      <c r="AD183" s="1">
        <v>113</v>
      </c>
      <c r="AE183" s="1">
        <v>32</v>
      </c>
      <c r="AF183" s="18">
        <f t="shared" si="2"/>
        <v>60.033333333333331</v>
      </c>
    </row>
    <row r="184" spans="1:32" x14ac:dyDescent="0.35">
      <c r="A184" s="1" t="s">
        <v>143</v>
      </c>
      <c r="B184" s="1">
        <v>30</v>
      </c>
      <c r="C184" s="1">
        <v>33</v>
      </c>
      <c r="D184" s="1">
        <v>62</v>
      </c>
      <c r="E184" s="1">
        <v>19</v>
      </c>
      <c r="F184" s="1">
        <v>14</v>
      </c>
      <c r="G184" s="1">
        <v>24</v>
      </c>
      <c r="H184" s="1">
        <v>37</v>
      </c>
      <c r="I184" s="1">
        <v>209</v>
      </c>
      <c r="J184" s="1">
        <v>25</v>
      </c>
      <c r="K184" s="1">
        <v>27</v>
      </c>
      <c r="L184" s="1">
        <v>74</v>
      </c>
      <c r="M184" s="1">
        <v>85</v>
      </c>
      <c r="N184" s="1">
        <v>60</v>
      </c>
      <c r="O184" s="1">
        <v>56</v>
      </c>
      <c r="P184" s="1">
        <v>31</v>
      </c>
      <c r="Q184" s="1">
        <v>21</v>
      </c>
      <c r="R184" s="1">
        <v>56</v>
      </c>
      <c r="S184" s="1">
        <v>16</v>
      </c>
      <c r="T184" s="1">
        <v>50</v>
      </c>
      <c r="U184" s="1">
        <v>56</v>
      </c>
      <c r="V184" s="1">
        <v>26</v>
      </c>
      <c r="W184" s="1">
        <v>90</v>
      </c>
      <c r="X184" s="1">
        <v>13</v>
      </c>
      <c r="Y184" s="1">
        <v>50</v>
      </c>
      <c r="Z184" s="1">
        <v>17</v>
      </c>
      <c r="AA184" s="1">
        <v>38</v>
      </c>
      <c r="AB184" s="1">
        <v>12</v>
      </c>
      <c r="AC184" s="1">
        <v>18</v>
      </c>
      <c r="AD184" s="1">
        <v>31</v>
      </c>
      <c r="AE184" s="1">
        <v>19</v>
      </c>
      <c r="AF184" s="18">
        <f t="shared" si="2"/>
        <v>43.3</v>
      </c>
    </row>
    <row r="185" spans="1:32" x14ac:dyDescent="0.35">
      <c r="A185" s="1" t="s">
        <v>144</v>
      </c>
      <c r="B185" s="1">
        <v>25</v>
      </c>
      <c r="C185" s="1">
        <v>47</v>
      </c>
      <c r="D185" s="1">
        <v>13</v>
      </c>
      <c r="E185" s="1">
        <v>31</v>
      </c>
      <c r="F185" s="1">
        <v>46</v>
      </c>
      <c r="G185" s="1">
        <v>20</v>
      </c>
      <c r="H185" s="1">
        <v>21</v>
      </c>
      <c r="I185" s="1">
        <v>13</v>
      </c>
      <c r="J185" s="1">
        <v>45</v>
      </c>
      <c r="K185" s="1">
        <v>29</v>
      </c>
      <c r="L185" s="1">
        <v>30</v>
      </c>
      <c r="M185" s="1">
        <v>16</v>
      </c>
      <c r="N185" s="1">
        <v>62</v>
      </c>
      <c r="O185" s="1">
        <v>24</v>
      </c>
      <c r="P185" s="1">
        <v>46</v>
      </c>
      <c r="Q185" s="1">
        <v>33</v>
      </c>
      <c r="R185" s="1">
        <v>76</v>
      </c>
      <c r="S185" s="1">
        <v>19</v>
      </c>
      <c r="T185" s="1">
        <v>106</v>
      </c>
      <c r="U185" s="1">
        <v>166</v>
      </c>
      <c r="V185" s="1">
        <v>12</v>
      </c>
      <c r="W185" s="1">
        <v>51</v>
      </c>
      <c r="X185" s="1">
        <v>26</v>
      </c>
      <c r="Y185" s="1">
        <v>51</v>
      </c>
      <c r="Z185" s="1">
        <v>47</v>
      </c>
      <c r="AA185" s="1">
        <v>40</v>
      </c>
      <c r="AB185" s="1">
        <v>29</v>
      </c>
      <c r="AC185" s="1">
        <v>19</v>
      </c>
      <c r="AD185" s="1">
        <v>31</v>
      </c>
      <c r="AE185" s="1">
        <v>121</v>
      </c>
      <c r="AF185" s="18">
        <f t="shared" si="2"/>
        <v>43.166666666666664</v>
      </c>
    </row>
    <row r="186" spans="1:32" x14ac:dyDescent="0.35">
      <c r="A186" s="1" t="s">
        <v>145</v>
      </c>
      <c r="B186" s="1">
        <v>39</v>
      </c>
      <c r="C186" s="1">
        <v>16</v>
      </c>
      <c r="D186" s="1">
        <v>42</v>
      </c>
      <c r="E186" s="1">
        <v>26</v>
      </c>
      <c r="F186" s="1">
        <v>19</v>
      </c>
      <c r="G186" s="1">
        <v>36</v>
      </c>
      <c r="H186" s="1">
        <v>43</v>
      </c>
      <c r="I186" s="1">
        <v>41</v>
      </c>
      <c r="J186" s="1">
        <v>52</v>
      </c>
      <c r="K186" s="1">
        <v>30</v>
      </c>
      <c r="L186" s="1">
        <v>24</v>
      </c>
      <c r="M186" s="1">
        <v>12</v>
      </c>
      <c r="N186" s="1">
        <v>12</v>
      </c>
      <c r="O186" s="1">
        <v>42</v>
      </c>
      <c r="P186" s="1">
        <v>127</v>
      </c>
      <c r="Q186" s="1">
        <v>70</v>
      </c>
      <c r="R186" s="1">
        <v>42</v>
      </c>
      <c r="S186" s="1">
        <v>19</v>
      </c>
      <c r="T186" s="1">
        <v>19</v>
      </c>
      <c r="U186" s="1">
        <v>15</v>
      </c>
      <c r="V186" s="1">
        <v>36</v>
      </c>
      <c r="W186" s="1">
        <v>82</v>
      </c>
      <c r="X186" s="1">
        <v>14</v>
      </c>
      <c r="Y186" s="1">
        <v>60</v>
      </c>
      <c r="Z186" s="1">
        <v>21</v>
      </c>
      <c r="AA186" s="1">
        <v>33</v>
      </c>
      <c r="AB186" s="1">
        <v>17</v>
      </c>
      <c r="AC186" s="1">
        <v>14</v>
      </c>
      <c r="AD186" s="1">
        <v>31</v>
      </c>
      <c r="AE186" s="1">
        <v>23</v>
      </c>
      <c r="AF186" s="18">
        <f t="shared" si="2"/>
        <v>35.233333333333334</v>
      </c>
    </row>
    <row r="187" spans="1:32" x14ac:dyDescent="0.35">
      <c r="A187" s="1" t="s">
        <v>146</v>
      </c>
      <c r="B187" s="1">
        <v>23</v>
      </c>
      <c r="C187" s="1">
        <v>18</v>
      </c>
      <c r="D187" s="1">
        <v>31</v>
      </c>
      <c r="E187" s="1">
        <v>56</v>
      </c>
      <c r="F187" s="1">
        <v>93</v>
      </c>
      <c r="G187" s="1">
        <v>18</v>
      </c>
      <c r="H187" s="1">
        <v>49</v>
      </c>
      <c r="I187" s="1">
        <v>64</v>
      </c>
      <c r="J187" s="1">
        <v>31</v>
      </c>
      <c r="K187" s="1">
        <v>39</v>
      </c>
      <c r="L187" s="1">
        <v>13</v>
      </c>
      <c r="M187" s="1">
        <v>136</v>
      </c>
      <c r="N187" s="1">
        <v>45</v>
      </c>
      <c r="O187" s="1">
        <v>31</v>
      </c>
      <c r="P187" s="1">
        <v>62</v>
      </c>
      <c r="Q187" s="1">
        <v>54</v>
      </c>
      <c r="R187" s="1">
        <v>16</v>
      </c>
      <c r="S187" s="1">
        <v>14</v>
      </c>
      <c r="T187" s="1">
        <v>64</v>
      </c>
      <c r="U187" s="1">
        <v>86</v>
      </c>
      <c r="V187" s="1">
        <v>90</v>
      </c>
      <c r="W187" s="1">
        <v>24</v>
      </c>
      <c r="X187" s="1">
        <v>102</v>
      </c>
      <c r="Y187" s="1">
        <v>56</v>
      </c>
      <c r="Z187" s="1">
        <v>12</v>
      </c>
      <c r="AA187" s="1">
        <v>112</v>
      </c>
      <c r="AB187" s="1">
        <v>115</v>
      </c>
      <c r="AC187" s="1">
        <v>73</v>
      </c>
      <c r="AD187" s="1">
        <v>17</v>
      </c>
      <c r="AE187" s="1">
        <v>28</v>
      </c>
      <c r="AF187" s="18">
        <f t="shared" si="2"/>
        <v>52.4</v>
      </c>
    </row>
    <row r="188" spans="1:32" x14ac:dyDescent="0.35">
      <c r="A188" s="1" t="s">
        <v>147</v>
      </c>
      <c r="B188" s="1">
        <v>28</v>
      </c>
      <c r="C188" s="1">
        <v>24</v>
      </c>
      <c r="D188" s="1">
        <v>14</v>
      </c>
      <c r="E188" s="1">
        <v>26</v>
      </c>
      <c r="F188" s="1">
        <v>26</v>
      </c>
      <c r="G188" s="1">
        <v>20</v>
      </c>
      <c r="H188" s="1">
        <v>31</v>
      </c>
      <c r="I188" s="1">
        <v>60</v>
      </c>
      <c r="J188" s="1">
        <v>52</v>
      </c>
      <c r="K188" s="1">
        <v>162</v>
      </c>
      <c r="L188" s="1">
        <v>24</v>
      </c>
      <c r="M188" s="1">
        <v>23</v>
      </c>
      <c r="N188" s="1">
        <v>15</v>
      </c>
      <c r="O188" s="1">
        <v>18</v>
      </c>
      <c r="P188" s="1">
        <v>126</v>
      </c>
      <c r="Q188" s="1">
        <v>62</v>
      </c>
      <c r="R188" s="1">
        <v>41</v>
      </c>
      <c r="S188" s="1">
        <v>62</v>
      </c>
      <c r="T188" s="1">
        <v>202</v>
      </c>
      <c r="U188" s="1">
        <v>29</v>
      </c>
      <c r="V188" s="1">
        <v>23</v>
      </c>
      <c r="W188" s="1">
        <v>30</v>
      </c>
      <c r="X188" s="1">
        <v>119</v>
      </c>
      <c r="Y188" s="1">
        <v>123</v>
      </c>
      <c r="Z188" s="1">
        <v>21</v>
      </c>
      <c r="AA188" s="1">
        <v>59</v>
      </c>
      <c r="AB188" s="1">
        <v>28</v>
      </c>
      <c r="AC188" s="1">
        <v>22</v>
      </c>
      <c r="AD188" s="1">
        <v>32</v>
      </c>
      <c r="AE188" s="1">
        <v>20</v>
      </c>
      <c r="AF188" s="18">
        <f t="shared" si="2"/>
        <v>50.733333333333334</v>
      </c>
    </row>
    <row r="189" spans="1:32" x14ac:dyDescent="0.35">
      <c r="A189" s="1" t="s">
        <v>148</v>
      </c>
      <c r="B189" s="1">
        <v>28</v>
      </c>
      <c r="C189" s="1">
        <v>212</v>
      </c>
      <c r="D189" s="1">
        <v>75</v>
      </c>
      <c r="E189" s="1">
        <v>38</v>
      </c>
      <c r="F189" s="1">
        <v>44</v>
      </c>
      <c r="G189" s="1">
        <v>170</v>
      </c>
      <c r="H189" s="1">
        <v>51</v>
      </c>
      <c r="I189" s="1">
        <v>23</v>
      </c>
      <c r="J189" s="1">
        <v>31</v>
      </c>
      <c r="K189" s="1">
        <v>16</v>
      </c>
      <c r="L189" s="1">
        <v>19</v>
      </c>
      <c r="M189" s="1">
        <v>43</v>
      </c>
      <c r="N189" s="1">
        <v>78</v>
      </c>
      <c r="O189" s="1">
        <v>39</v>
      </c>
      <c r="P189" s="1">
        <v>26</v>
      </c>
      <c r="Q189" s="1">
        <v>28</v>
      </c>
      <c r="R189" s="1">
        <v>89</v>
      </c>
      <c r="S189" s="1">
        <v>20</v>
      </c>
      <c r="T189" s="1">
        <v>20</v>
      </c>
      <c r="U189" s="1">
        <v>26</v>
      </c>
      <c r="V189" s="1">
        <v>24</v>
      </c>
      <c r="W189" s="1">
        <v>18</v>
      </c>
      <c r="X189" s="1">
        <v>114</v>
      </c>
      <c r="Y189" s="1">
        <v>45</v>
      </c>
      <c r="Z189" s="1">
        <v>42</v>
      </c>
      <c r="AA189" s="1">
        <v>56</v>
      </c>
      <c r="AB189" s="1">
        <v>14</v>
      </c>
      <c r="AC189" s="1">
        <v>27</v>
      </c>
      <c r="AD189" s="1">
        <v>18</v>
      </c>
      <c r="AE189" s="1">
        <v>15</v>
      </c>
      <c r="AF189" s="18">
        <f t="shared" si="2"/>
        <v>48.3</v>
      </c>
    </row>
    <row r="190" spans="1:32" x14ac:dyDescent="0.35">
      <c r="A190" s="1" t="s">
        <v>149</v>
      </c>
      <c r="B190" s="1">
        <v>22</v>
      </c>
      <c r="C190" s="1">
        <v>212</v>
      </c>
      <c r="D190" s="1">
        <v>20</v>
      </c>
      <c r="E190" s="1">
        <v>64</v>
      </c>
      <c r="F190" s="1">
        <v>89</v>
      </c>
      <c r="G190" s="1">
        <v>75</v>
      </c>
      <c r="H190" s="1">
        <v>25</v>
      </c>
      <c r="I190" s="1">
        <v>61</v>
      </c>
      <c r="J190" s="1">
        <v>40</v>
      </c>
      <c r="K190" s="1">
        <v>43</v>
      </c>
      <c r="L190" s="1">
        <v>65</v>
      </c>
      <c r="M190" s="1">
        <v>64</v>
      </c>
      <c r="N190" s="1">
        <v>23</v>
      </c>
      <c r="O190" s="1">
        <v>41</v>
      </c>
      <c r="P190" s="1">
        <v>32</v>
      </c>
      <c r="Q190" s="1">
        <v>16</v>
      </c>
      <c r="R190" s="1">
        <v>24</v>
      </c>
      <c r="S190" s="1">
        <v>24</v>
      </c>
      <c r="T190" s="1">
        <v>48</v>
      </c>
      <c r="U190" s="1">
        <v>96</v>
      </c>
      <c r="V190" s="1">
        <v>17</v>
      </c>
      <c r="W190" s="1">
        <v>42</v>
      </c>
      <c r="X190" s="1">
        <v>21</v>
      </c>
      <c r="Y190" s="1">
        <v>104</v>
      </c>
      <c r="Z190" s="1">
        <v>19</v>
      </c>
      <c r="AA190" s="1">
        <v>12</v>
      </c>
      <c r="AB190" s="1">
        <v>52</v>
      </c>
      <c r="AC190" s="1">
        <v>57</v>
      </c>
      <c r="AD190" s="1">
        <v>14</v>
      </c>
      <c r="AE190" s="1">
        <v>27</v>
      </c>
      <c r="AF190" s="18">
        <f t="shared" si="2"/>
        <v>48.3</v>
      </c>
    </row>
    <row r="191" spans="1:32" x14ac:dyDescent="0.35">
      <c r="A191" s="1" t="s">
        <v>150</v>
      </c>
      <c r="B191" s="1">
        <v>90</v>
      </c>
      <c r="C191" s="1">
        <v>12</v>
      </c>
      <c r="D191" s="1">
        <v>47</v>
      </c>
      <c r="E191" s="1">
        <v>138</v>
      </c>
      <c r="F191" s="1">
        <v>72</v>
      </c>
      <c r="G191" s="1">
        <v>119</v>
      </c>
      <c r="H191" s="1">
        <v>55</v>
      </c>
      <c r="I191" s="1">
        <v>157</v>
      </c>
      <c r="J191" s="1">
        <v>31</v>
      </c>
      <c r="K191" s="1">
        <v>126</v>
      </c>
      <c r="L191" s="1">
        <v>42</v>
      </c>
      <c r="M191" s="1">
        <v>43</v>
      </c>
      <c r="N191" s="1">
        <v>69</v>
      </c>
      <c r="O191" s="1">
        <v>43</v>
      </c>
      <c r="P191" s="1">
        <v>34</v>
      </c>
      <c r="Q191" s="1">
        <v>113</v>
      </c>
      <c r="R191" s="1">
        <v>92</v>
      </c>
      <c r="S191" s="1">
        <v>56</v>
      </c>
      <c r="T191" s="1">
        <v>41</v>
      </c>
      <c r="U191" s="1">
        <v>68</v>
      </c>
      <c r="V191" s="1">
        <v>33</v>
      </c>
      <c r="W191" s="1">
        <v>58</v>
      </c>
      <c r="X191" s="1">
        <v>19</v>
      </c>
      <c r="Y191" s="1">
        <v>27</v>
      </c>
      <c r="Z191" s="1">
        <v>28</v>
      </c>
      <c r="AA191" s="1">
        <v>15</v>
      </c>
      <c r="AB191" s="1">
        <v>69</v>
      </c>
      <c r="AC191" s="1">
        <v>18</v>
      </c>
      <c r="AD191" s="1">
        <v>43</v>
      </c>
      <c r="AE191" s="1">
        <v>16</v>
      </c>
      <c r="AF191" s="18">
        <f t="shared" si="2"/>
        <v>59.133333333333333</v>
      </c>
    </row>
    <row r="192" spans="1:32" x14ac:dyDescent="0.35">
      <c r="A192" s="1" t="s">
        <v>159</v>
      </c>
      <c r="B192" s="1">
        <v>19</v>
      </c>
      <c r="C192" s="1">
        <v>51</v>
      </c>
      <c r="D192" s="1">
        <v>158</v>
      </c>
      <c r="E192" s="1">
        <v>13</v>
      </c>
      <c r="F192" s="1">
        <v>12</v>
      </c>
      <c r="G192" s="1">
        <v>55</v>
      </c>
      <c r="H192" s="1">
        <v>12</v>
      </c>
      <c r="I192" s="1">
        <v>15</v>
      </c>
      <c r="J192" s="1">
        <v>23</v>
      </c>
      <c r="K192" s="1">
        <v>110</v>
      </c>
      <c r="L192" s="1">
        <v>37</v>
      </c>
      <c r="M192" s="1">
        <v>15</v>
      </c>
      <c r="N192" s="1">
        <v>82</v>
      </c>
      <c r="O192" s="1">
        <v>14</v>
      </c>
      <c r="P192" s="1">
        <v>19</v>
      </c>
      <c r="Q192" s="1">
        <v>58</v>
      </c>
      <c r="R192" s="1">
        <v>13</v>
      </c>
      <c r="S192" s="1">
        <v>58</v>
      </c>
      <c r="T192" s="1">
        <v>13</v>
      </c>
      <c r="U192" s="1">
        <v>30</v>
      </c>
      <c r="V192" s="1">
        <v>30</v>
      </c>
      <c r="W192" s="1">
        <v>21</v>
      </c>
      <c r="X192" s="1">
        <v>34</v>
      </c>
      <c r="Y192" s="1">
        <v>26</v>
      </c>
      <c r="Z192" s="1">
        <v>13</v>
      </c>
      <c r="AA192" s="1">
        <v>55</v>
      </c>
      <c r="AB192" s="1">
        <v>38</v>
      </c>
      <c r="AC192" s="1">
        <v>80</v>
      </c>
      <c r="AD192" s="1">
        <v>30</v>
      </c>
      <c r="AE192" s="1">
        <v>16</v>
      </c>
      <c r="AF192" s="18">
        <f t="shared" si="2"/>
        <v>38.333333333333336</v>
      </c>
    </row>
    <row r="193" spans="1:32" x14ac:dyDescent="0.35">
      <c r="A193" s="1" t="s">
        <v>151</v>
      </c>
      <c r="B193" s="1">
        <v>20</v>
      </c>
      <c r="C193" s="1">
        <v>37</v>
      </c>
      <c r="D193" s="1">
        <v>66</v>
      </c>
      <c r="E193" s="1">
        <v>45</v>
      </c>
      <c r="F193" s="1">
        <v>68</v>
      </c>
      <c r="G193" s="1">
        <v>16</v>
      </c>
      <c r="H193" s="1">
        <v>29</v>
      </c>
      <c r="I193" s="1">
        <v>16</v>
      </c>
      <c r="J193" s="1">
        <v>81</v>
      </c>
      <c r="K193" s="1">
        <v>57</v>
      </c>
      <c r="L193" s="1">
        <v>28</v>
      </c>
      <c r="M193" s="1">
        <v>12</v>
      </c>
      <c r="N193" s="1">
        <v>28</v>
      </c>
      <c r="O193" s="1">
        <v>16</v>
      </c>
      <c r="P193" s="1">
        <v>25</v>
      </c>
      <c r="Q193" s="1">
        <v>104</v>
      </c>
      <c r="R193" s="1">
        <v>95</v>
      </c>
      <c r="S193" s="1">
        <v>74</v>
      </c>
      <c r="T193" s="1">
        <v>29</v>
      </c>
      <c r="U193" s="1">
        <v>19</v>
      </c>
      <c r="V193" s="1">
        <v>132</v>
      </c>
      <c r="W193" s="1">
        <v>64</v>
      </c>
      <c r="X193" s="1">
        <v>37</v>
      </c>
      <c r="Y193" s="1">
        <v>66</v>
      </c>
      <c r="Z193" s="1">
        <v>167</v>
      </c>
      <c r="AA193" s="1">
        <v>55</v>
      </c>
      <c r="AB193" s="1">
        <v>67</v>
      </c>
      <c r="AC193" s="1">
        <v>72</v>
      </c>
      <c r="AD193" s="1">
        <v>24</v>
      </c>
      <c r="AE193" s="1">
        <v>30</v>
      </c>
      <c r="AF193" s="18">
        <f t="shared" si="2"/>
        <v>52.633333333333333</v>
      </c>
    </row>
    <row r="194" spans="1:32" x14ac:dyDescent="0.35">
      <c r="A194" s="1" t="s">
        <v>152</v>
      </c>
      <c r="B194" s="1">
        <v>42</v>
      </c>
      <c r="C194" s="1">
        <v>34</v>
      </c>
      <c r="D194" s="1">
        <v>42</v>
      </c>
      <c r="E194" s="1">
        <v>52</v>
      </c>
      <c r="F194" s="1">
        <v>20</v>
      </c>
      <c r="G194" s="1">
        <v>33</v>
      </c>
      <c r="H194" s="1">
        <v>42</v>
      </c>
      <c r="I194" s="1">
        <v>96</v>
      </c>
      <c r="J194" s="1">
        <v>28</v>
      </c>
      <c r="K194" s="1">
        <v>35</v>
      </c>
      <c r="L194" s="1">
        <v>44</v>
      </c>
      <c r="M194" s="1">
        <v>14</v>
      </c>
      <c r="N194" s="1">
        <v>19</v>
      </c>
      <c r="O194" s="1">
        <v>36</v>
      </c>
      <c r="P194" s="1">
        <v>17</v>
      </c>
      <c r="Q194" s="1">
        <v>20</v>
      </c>
      <c r="R194" s="1">
        <v>51</v>
      </c>
      <c r="S194" s="1">
        <v>36</v>
      </c>
      <c r="T194" s="1">
        <v>39</v>
      </c>
      <c r="U194" s="1">
        <v>50</v>
      </c>
      <c r="V194" s="1">
        <v>35</v>
      </c>
      <c r="W194" s="1">
        <v>40</v>
      </c>
      <c r="X194" s="1">
        <v>33</v>
      </c>
      <c r="Y194" s="1">
        <v>31</v>
      </c>
      <c r="Z194" s="1">
        <v>82</v>
      </c>
      <c r="AA194" s="1">
        <v>53</v>
      </c>
      <c r="AB194" s="1">
        <v>12</v>
      </c>
      <c r="AC194" s="1">
        <v>65</v>
      </c>
      <c r="AD194" s="1">
        <v>28</v>
      </c>
      <c r="AE194" s="1">
        <v>30</v>
      </c>
      <c r="AF194" s="18">
        <f t="shared" si="2"/>
        <v>38.633333333333333</v>
      </c>
    </row>
    <row r="195" spans="1:32" x14ac:dyDescent="0.35">
      <c r="A195" s="1" t="s">
        <v>153</v>
      </c>
      <c r="B195" s="1">
        <v>13</v>
      </c>
      <c r="C195" s="1">
        <v>13</v>
      </c>
      <c r="D195" s="1">
        <v>27</v>
      </c>
      <c r="E195" s="1">
        <v>49</v>
      </c>
      <c r="F195" s="1">
        <v>15</v>
      </c>
      <c r="G195" s="1">
        <v>31</v>
      </c>
      <c r="H195" s="1">
        <v>142</v>
      </c>
      <c r="I195" s="1">
        <v>20</v>
      </c>
      <c r="J195" s="1">
        <v>69</v>
      </c>
      <c r="K195" s="1">
        <v>64</v>
      </c>
      <c r="L195" s="1">
        <v>54</v>
      </c>
      <c r="M195" s="1">
        <v>66</v>
      </c>
      <c r="N195" s="1">
        <v>21</v>
      </c>
      <c r="O195" s="1">
        <v>62</v>
      </c>
      <c r="P195" s="1">
        <v>19</v>
      </c>
      <c r="Q195" s="1">
        <v>36</v>
      </c>
      <c r="R195" s="1">
        <v>28</v>
      </c>
      <c r="S195" s="1">
        <v>27</v>
      </c>
      <c r="T195" s="1">
        <v>24</v>
      </c>
      <c r="U195" s="1">
        <v>69</v>
      </c>
      <c r="V195" s="1">
        <v>17</v>
      </c>
      <c r="W195" s="1">
        <v>12</v>
      </c>
      <c r="X195" s="1">
        <v>19</v>
      </c>
      <c r="Y195" s="1">
        <v>48</v>
      </c>
      <c r="Z195" s="1">
        <v>20</v>
      </c>
      <c r="AA195" s="1">
        <v>12</v>
      </c>
      <c r="AB195" s="1">
        <v>14</v>
      </c>
      <c r="AC195" s="1">
        <v>72</v>
      </c>
      <c r="AD195" s="1">
        <v>30</v>
      </c>
      <c r="AE195" s="1">
        <v>24</v>
      </c>
      <c r="AF195" s="18">
        <f t="shared" si="2"/>
        <v>37.233333333333334</v>
      </c>
    </row>
    <row r="196" spans="1:32" x14ac:dyDescent="0.35">
      <c r="A196" s="1" t="s">
        <v>193</v>
      </c>
      <c r="B196" s="1">
        <v>24</v>
      </c>
      <c r="C196" s="1">
        <v>49</v>
      </c>
      <c r="D196" s="1">
        <v>111</v>
      </c>
      <c r="E196" s="1">
        <v>21</v>
      </c>
      <c r="F196" s="1">
        <v>131</v>
      </c>
      <c r="G196" s="1">
        <v>37</v>
      </c>
      <c r="H196" s="1">
        <v>203</v>
      </c>
      <c r="I196" s="1">
        <v>36</v>
      </c>
      <c r="J196" s="1">
        <v>13</v>
      </c>
      <c r="K196" s="1">
        <v>29</v>
      </c>
      <c r="L196" s="1">
        <v>16</v>
      </c>
      <c r="M196" s="1">
        <v>43</v>
      </c>
      <c r="N196" s="1">
        <v>26</v>
      </c>
      <c r="O196" s="1">
        <v>47</v>
      </c>
      <c r="P196" s="1">
        <v>33</v>
      </c>
      <c r="Q196" s="1">
        <v>17</v>
      </c>
      <c r="R196" s="1">
        <v>32</v>
      </c>
      <c r="S196" s="1">
        <v>55</v>
      </c>
      <c r="T196" s="1">
        <v>14</v>
      </c>
      <c r="U196" s="1">
        <v>22</v>
      </c>
      <c r="V196" s="1">
        <v>26</v>
      </c>
      <c r="W196" s="1">
        <v>55</v>
      </c>
      <c r="X196" s="1">
        <v>23</v>
      </c>
      <c r="Y196" s="1">
        <v>16</v>
      </c>
      <c r="Z196" s="1">
        <v>85</v>
      </c>
      <c r="AA196" s="1">
        <v>13</v>
      </c>
      <c r="AB196" s="1">
        <v>29</v>
      </c>
      <c r="AC196" s="1">
        <v>68</v>
      </c>
      <c r="AD196" s="1">
        <v>62</v>
      </c>
      <c r="AE196" s="1">
        <v>67</v>
      </c>
      <c r="AF196" s="18">
        <f t="shared" ref="AF196:AF202" si="3">AVERAGE(B196:AE196)</f>
        <v>46.766666666666666</v>
      </c>
    </row>
    <row r="197" spans="1:32" x14ac:dyDescent="0.35">
      <c r="A197" s="1" t="s">
        <v>154</v>
      </c>
      <c r="B197" s="1">
        <v>33</v>
      </c>
      <c r="C197" s="1">
        <v>135</v>
      </c>
      <c r="D197" s="1">
        <v>18</v>
      </c>
      <c r="E197" s="1">
        <v>49</v>
      </c>
      <c r="F197" s="1">
        <v>25</v>
      </c>
      <c r="G197" s="1">
        <v>47</v>
      </c>
      <c r="H197" s="1">
        <v>44</v>
      </c>
      <c r="I197" s="1">
        <v>53</v>
      </c>
      <c r="J197" s="1">
        <v>18</v>
      </c>
      <c r="K197" s="1">
        <v>47</v>
      </c>
      <c r="L197" s="1">
        <v>17</v>
      </c>
      <c r="M197" s="1">
        <v>19</v>
      </c>
      <c r="N197" s="1">
        <v>21</v>
      </c>
      <c r="O197" s="1">
        <v>30</v>
      </c>
      <c r="P197" s="1">
        <v>55</v>
      </c>
      <c r="Q197" s="1">
        <v>21</v>
      </c>
      <c r="R197" s="1">
        <v>89</v>
      </c>
      <c r="S197" s="1">
        <v>32</v>
      </c>
      <c r="T197" s="1">
        <v>41</v>
      </c>
      <c r="U197" s="1">
        <v>29</v>
      </c>
      <c r="V197" s="1">
        <v>52</v>
      </c>
      <c r="W197" s="1">
        <v>27</v>
      </c>
      <c r="X197" s="1">
        <v>32</v>
      </c>
      <c r="Y197" s="1">
        <v>24</v>
      </c>
      <c r="Z197" s="1">
        <v>17</v>
      </c>
      <c r="AA197" s="1">
        <v>34</v>
      </c>
      <c r="AB197" s="1">
        <v>44</v>
      </c>
      <c r="AC197" s="1">
        <v>36</v>
      </c>
      <c r="AD197" s="1">
        <v>39</v>
      </c>
      <c r="AE197" s="1">
        <v>17</v>
      </c>
      <c r="AF197" s="18">
        <f t="shared" si="3"/>
        <v>38.166666666666664</v>
      </c>
    </row>
    <row r="198" spans="1:32" x14ac:dyDescent="0.35">
      <c r="A198" s="1" t="s">
        <v>155</v>
      </c>
      <c r="B198" s="1">
        <v>29</v>
      </c>
      <c r="C198" s="1">
        <v>14</v>
      </c>
      <c r="D198" s="1">
        <v>20</v>
      </c>
      <c r="E198" s="1">
        <v>141</v>
      </c>
      <c r="F198" s="1">
        <v>26</v>
      </c>
      <c r="G198" s="1">
        <v>23</v>
      </c>
      <c r="H198" s="1">
        <v>27</v>
      </c>
      <c r="I198" s="1">
        <v>42</v>
      </c>
      <c r="J198" s="1">
        <v>34</v>
      </c>
      <c r="K198" s="1">
        <v>51</v>
      </c>
      <c r="L198" s="1">
        <v>14</v>
      </c>
      <c r="M198" s="1">
        <v>25</v>
      </c>
      <c r="N198" s="1">
        <v>18</v>
      </c>
      <c r="O198" s="1">
        <v>80</v>
      </c>
      <c r="P198" s="1">
        <v>12</v>
      </c>
      <c r="Q198" s="1">
        <v>16</v>
      </c>
      <c r="R198" s="1">
        <v>15</v>
      </c>
      <c r="S198" s="1">
        <v>127</v>
      </c>
      <c r="T198" s="1">
        <v>56</v>
      </c>
      <c r="U198" s="1">
        <v>34</v>
      </c>
      <c r="V198" s="1">
        <v>109</v>
      </c>
      <c r="W198" s="1">
        <v>38</v>
      </c>
      <c r="X198" s="1">
        <v>98</v>
      </c>
      <c r="Y198" s="1">
        <v>23</v>
      </c>
      <c r="Z198" s="1">
        <v>79</v>
      </c>
      <c r="AA198" s="1">
        <v>17</v>
      </c>
      <c r="AB198" s="1">
        <v>33</v>
      </c>
      <c r="AC198" s="1">
        <v>40</v>
      </c>
      <c r="AD198" s="1">
        <v>92</v>
      </c>
      <c r="AE198" s="1">
        <v>24</v>
      </c>
      <c r="AF198" s="18">
        <f t="shared" si="3"/>
        <v>45.233333333333334</v>
      </c>
    </row>
    <row r="199" spans="1:32" x14ac:dyDescent="0.35">
      <c r="A199" s="1" t="s">
        <v>163</v>
      </c>
      <c r="B199" s="1">
        <v>78</v>
      </c>
      <c r="C199" s="1">
        <v>19</v>
      </c>
      <c r="D199" s="1">
        <v>68</v>
      </c>
      <c r="E199" s="1">
        <v>87</v>
      </c>
      <c r="F199" s="1">
        <v>62</v>
      </c>
      <c r="G199" s="1">
        <v>16</v>
      </c>
      <c r="H199" s="1">
        <v>76</v>
      </c>
      <c r="I199" s="1">
        <v>39</v>
      </c>
      <c r="J199" s="1">
        <v>52</v>
      </c>
      <c r="K199" s="1">
        <v>63</v>
      </c>
      <c r="L199" s="1">
        <v>68</v>
      </c>
      <c r="M199" s="1">
        <v>24</v>
      </c>
      <c r="N199" s="1">
        <v>24</v>
      </c>
      <c r="O199" s="1">
        <v>88</v>
      </c>
      <c r="P199" s="1">
        <v>76</v>
      </c>
      <c r="Q199" s="1">
        <v>21</v>
      </c>
      <c r="R199" s="1">
        <v>15</v>
      </c>
      <c r="S199" s="1">
        <v>30</v>
      </c>
      <c r="T199" s="1">
        <v>37</v>
      </c>
      <c r="U199" s="1">
        <v>20</v>
      </c>
      <c r="V199" s="1">
        <v>84</v>
      </c>
      <c r="W199" s="1">
        <v>32</v>
      </c>
      <c r="X199" s="1">
        <v>71</v>
      </c>
      <c r="Y199" s="1">
        <v>22</v>
      </c>
      <c r="Z199" s="1">
        <v>36</v>
      </c>
      <c r="AA199" s="1">
        <v>41</v>
      </c>
      <c r="AB199" s="1">
        <v>110</v>
      </c>
      <c r="AC199" s="1">
        <v>23</v>
      </c>
      <c r="AD199" s="1">
        <v>20</v>
      </c>
      <c r="AE199" s="1">
        <v>19</v>
      </c>
      <c r="AF199" s="18">
        <f t="shared" si="3"/>
        <v>47.366666666666667</v>
      </c>
    </row>
    <row r="200" spans="1:32" x14ac:dyDescent="0.35">
      <c r="A200" s="1" t="s">
        <v>194</v>
      </c>
      <c r="B200" s="1">
        <v>18</v>
      </c>
      <c r="C200" s="1">
        <v>128</v>
      </c>
      <c r="D200" s="1">
        <v>52</v>
      </c>
      <c r="E200" s="1">
        <v>47</v>
      </c>
      <c r="F200" s="1">
        <v>22</v>
      </c>
      <c r="G200" s="1">
        <v>21</v>
      </c>
      <c r="H200" s="1">
        <v>29</v>
      </c>
      <c r="I200" s="1">
        <v>16</v>
      </c>
      <c r="J200" s="1">
        <v>33</v>
      </c>
      <c r="K200" s="1">
        <v>179</v>
      </c>
      <c r="L200" s="1">
        <v>15</v>
      </c>
      <c r="M200" s="1">
        <v>21</v>
      </c>
      <c r="N200" s="1">
        <v>44</v>
      </c>
      <c r="O200" s="1">
        <v>36</v>
      </c>
      <c r="P200" s="1">
        <v>81</v>
      </c>
      <c r="Q200" s="1">
        <v>13</v>
      </c>
      <c r="R200" s="1">
        <v>40</v>
      </c>
      <c r="S200" s="1">
        <v>61</v>
      </c>
      <c r="T200" s="1">
        <v>18</v>
      </c>
      <c r="U200" s="1">
        <v>13</v>
      </c>
      <c r="V200" s="1">
        <v>27</v>
      </c>
      <c r="W200" s="1">
        <v>82</v>
      </c>
      <c r="X200" s="1">
        <v>13</v>
      </c>
      <c r="Y200" s="1">
        <v>36</v>
      </c>
      <c r="Z200" s="1">
        <v>54</v>
      </c>
      <c r="AA200" s="1">
        <v>32</v>
      </c>
      <c r="AB200" s="1">
        <v>25</v>
      </c>
      <c r="AC200" s="1">
        <v>12</v>
      </c>
      <c r="AD200" s="1">
        <v>40</v>
      </c>
      <c r="AE200" s="1">
        <v>19</v>
      </c>
      <c r="AF200" s="18">
        <f t="shared" si="3"/>
        <v>40.9</v>
      </c>
    </row>
    <row r="201" spans="1:32" x14ac:dyDescent="0.35">
      <c r="A201" s="1" t="s">
        <v>157</v>
      </c>
      <c r="B201" s="1">
        <v>34</v>
      </c>
      <c r="C201" s="1">
        <v>72</v>
      </c>
      <c r="D201" s="1">
        <v>29</v>
      </c>
      <c r="E201" s="1">
        <v>19</v>
      </c>
      <c r="F201" s="1">
        <v>109</v>
      </c>
      <c r="G201" s="1">
        <v>44</v>
      </c>
      <c r="H201" s="1">
        <v>13</v>
      </c>
      <c r="I201" s="1">
        <v>33</v>
      </c>
      <c r="J201" s="1">
        <v>67</v>
      </c>
      <c r="K201" s="1">
        <v>44</v>
      </c>
      <c r="L201" s="1">
        <v>41</v>
      </c>
      <c r="M201" s="1">
        <v>68</v>
      </c>
      <c r="N201" s="1">
        <v>16</v>
      </c>
      <c r="O201" s="1">
        <v>16</v>
      </c>
      <c r="P201" s="1">
        <v>25</v>
      </c>
      <c r="Q201" s="1">
        <v>27</v>
      </c>
      <c r="R201" s="1">
        <v>137</v>
      </c>
      <c r="S201" s="1">
        <v>16</v>
      </c>
      <c r="T201" s="1">
        <v>33</v>
      </c>
      <c r="U201" s="1">
        <v>24</v>
      </c>
      <c r="V201" s="1">
        <v>16</v>
      </c>
      <c r="W201" s="1">
        <v>155</v>
      </c>
      <c r="X201" s="1">
        <v>30</v>
      </c>
      <c r="Y201" s="1">
        <v>63</v>
      </c>
      <c r="Z201" s="1">
        <v>17</v>
      </c>
      <c r="AA201" s="1">
        <v>32</v>
      </c>
      <c r="AB201" s="1">
        <v>53</v>
      </c>
      <c r="AC201" s="1">
        <v>48</v>
      </c>
      <c r="AD201" s="1">
        <v>52</v>
      </c>
      <c r="AE201" s="1">
        <v>19</v>
      </c>
      <c r="AF201" s="18">
        <f t="shared" si="3"/>
        <v>45.06666666666667</v>
      </c>
    </row>
    <row r="202" spans="1:32" x14ac:dyDescent="0.35">
      <c r="A202" s="1" t="s">
        <v>158</v>
      </c>
      <c r="B202" s="1">
        <v>50</v>
      </c>
      <c r="C202" s="1">
        <v>28</v>
      </c>
      <c r="D202" s="1">
        <v>101</v>
      </c>
      <c r="E202" s="1">
        <v>38</v>
      </c>
      <c r="F202" s="1">
        <v>26</v>
      </c>
      <c r="G202" s="1">
        <v>45</v>
      </c>
      <c r="H202" s="1">
        <v>38</v>
      </c>
      <c r="I202" s="1">
        <v>65</v>
      </c>
      <c r="J202" s="1">
        <v>58</v>
      </c>
      <c r="K202" s="1">
        <v>30</v>
      </c>
      <c r="L202" s="1">
        <v>102</v>
      </c>
      <c r="M202" s="1">
        <v>26</v>
      </c>
      <c r="N202" s="1">
        <v>59</v>
      </c>
      <c r="O202" s="1">
        <v>93</v>
      </c>
      <c r="P202" s="1">
        <v>36</v>
      </c>
      <c r="Q202" s="1">
        <v>19</v>
      </c>
      <c r="R202" s="1">
        <v>46</v>
      </c>
      <c r="S202" s="1">
        <v>24</v>
      </c>
      <c r="T202" s="1">
        <v>30</v>
      </c>
      <c r="U202" s="1">
        <v>34</v>
      </c>
      <c r="V202" s="1">
        <v>209</v>
      </c>
      <c r="W202" s="1">
        <v>26</v>
      </c>
      <c r="X202" s="1">
        <v>56</v>
      </c>
      <c r="Y202" s="1">
        <v>69</v>
      </c>
      <c r="Z202" s="1">
        <v>27</v>
      </c>
      <c r="AA202" s="1">
        <v>89</v>
      </c>
      <c r="AB202" s="1">
        <v>22</v>
      </c>
      <c r="AC202" s="1">
        <v>116</v>
      </c>
      <c r="AD202" s="1">
        <v>19</v>
      </c>
      <c r="AE202" s="1">
        <v>50</v>
      </c>
      <c r="AF202" s="18">
        <f t="shared" si="3"/>
        <v>54.366666666666667</v>
      </c>
    </row>
    <row r="203" spans="1:32" x14ac:dyDescent="0.35">
      <c r="B203" s="1">
        <v>15</v>
      </c>
      <c r="C203" s="1">
        <v>95</v>
      </c>
      <c r="D203" s="1">
        <v>30</v>
      </c>
      <c r="E203" s="1">
        <v>14</v>
      </c>
      <c r="F203" s="1">
        <v>60</v>
      </c>
      <c r="G203" s="1">
        <v>34</v>
      </c>
      <c r="H203" s="1">
        <v>54</v>
      </c>
      <c r="I203" s="1">
        <v>22</v>
      </c>
      <c r="J203" s="1">
        <v>25</v>
      </c>
      <c r="K203" s="1">
        <v>33</v>
      </c>
      <c r="L203" s="1">
        <v>57</v>
      </c>
      <c r="M203" s="1">
        <v>32</v>
      </c>
      <c r="N203" s="1">
        <v>43</v>
      </c>
      <c r="O203" s="1">
        <v>54</v>
      </c>
      <c r="P203" s="1">
        <v>16</v>
      </c>
      <c r="Q203" s="1">
        <v>12</v>
      </c>
      <c r="R203" s="1">
        <v>19</v>
      </c>
      <c r="S203" s="1">
        <v>31</v>
      </c>
      <c r="T203" s="1">
        <v>97</v>
      </c>
      <c r="U203" s="1">
        <v>25</v>
      </c>
      <c r="V203" s="1">
        <v>72</v>
      </c>
      <c r="W203" s="1">
        <v>38</v>
      </c>
      <c r="X203" s="1">
        <v>22</v>
      </c>
      <c r="Y203" s="1">
        <v>34</v>
      </c>
      <c r="Z203" s="1">
        <v>29</v>
      </c>
      <c r="AA203" s="1">
        <v>19</v>
      </c>
      <c r="AB203" s="1">
        <v>17</v>
      </c>
      <c r="AC203" s="1">
        <v>210</v>
      </c>
      <c r="AD203" s="1">
        <v>28</v>
      </c>
      <c r="AE20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Unidades Vendidas (SEMESTRE)</vt:lpstr>
      <vt:lpstr>Data de Máquinas</vt:lpstr>
      <vt:lpstr>MODELO PL</vt:lpstr>
      <vt:lpstr>DATOS SIMULADOS</vt:lpstr>
      <vt:lpstr>DATOS FINALES</vt:lpstr>
      <vt:lpstr>Datos M1</vt:lpstr>
      <vt:lpstr>Datos M2</vt:lpstr>
      <vt:lpstr>Datos M3</vt:lpstr>
      <vt:lpstr>Datos M4</vt:lpstr>
      <vt:lpstr>Datos M5</vt:lpstr>
      <vt:lpstr>Datos M6</vt:lpstr>
      <vt:lpstr>Datos M7</vt:lpstr>
      <vt:lpstr>Datos M8</vt:lpstr>
      <vt:lpstr>Datos M9</vt:lpstr>
      <vt:lpstr>Datos M10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</dc:creator>
  <cp:lastModifiedBy>ASUS</cp:lastModifiedBy>
  <dcterms:created xsi:type="dcterms:W3CDTF">2024-07-17T19:28:46Z</dcterms:created>
  <dcterms:modified xsi:type="dcterms:W3CDTF">2026-08-11T20:19:49Z</dcterms:modified>
</cp:coreProperties>
</file>